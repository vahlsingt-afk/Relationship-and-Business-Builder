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4052E5BF-7757-4FDB-AFFB-FF329C0ACE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gistered" sheetId="1" r:id="rId1"/>
    <sheet name="Invite 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1" l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<sst xmlns="http://schemas.openxmlformats.org/spreadsheetml/2006/main" count="1088" uniqueCount="875">
  <si>
    <t>Full Name</t>
  </si>
  <si>
    <t>Email Address</t>
  </si>
  <si>
    <t>Company Name</t>
  </si>
  <si>
    <t>Title</t>
  </si>
  <si>
    <t>Registration Date</t>
  </si>
  <si>
    <t>Mobile Phone Number</t>
  </si>
  <si>
    <t>Anders, Bryan</t>
  </si>
  <si>
    <t>bryan.anders@compass-usa.com</t>
  </si>
  <si>
    <t>Compass Group USA</t>
  </si>
  <si>
    <t>Director, Customer-Facing Technology Partnerships</t>
  </si>
  <si>
    <t>(704) 574-5401</t>
  </si>
  <si>
    <t>Bradshaw, Jeffrey</t>
  </si>
  <si>
    <t>jbradshaw@bojangles.com</t>
  </si>
  <si>
    <t>Bojangles</t>
  </si>
  <si>
    <t>Director of Operations Tech</t>
  </si>
  <si>
    <t>7276430516</t>
  </si>
  <si>
    <t>Burtis, Seth</t>
  </si>
  <si>
    <t>seth@5and5.com</t>
  </si>
  <si>
    <t>5&amp;5</t>
  </si>
  <si>
    <t>Chief Operating Officer</t>
  </si>
  <si>
    <t>4077734216</t>
  </si>
  <si>
    <t>Carson, James</t>
  </si>
  <si>
    <t>james@5and5.com</t>
  </si>
  <si>
    <t>Director of Technical Operations</t>
  </si>
  <si>
    <t>704-292-5147</t>
  </si>
  <si>
    <t>Diaz, Alexandra</t>
  </si>
  <si>
    <t>alex.diaz.4@pandarg.com</t>
  </si>
  <si>
    <t>Panda Restaurant Group</t>
  </si>
  <si>
    <t>Restaurant Technology Administrator</t>
  </si>
  <si>
    <t>2135706525</t>
  </si>
  <si>
    <t>Enright, Paul</t>
  </si>
  <si>
    <t>paul.enright@braums.com</t>
  </si>
  <si>
    <t>Braums</t>
  </si>
  <si>
    <t>Retail Systems Manger</t>
  </si>
  <si>
    <t>4056591953</t>
  </si>
  <si>
    <t>Fisher, Steven</t>
  </si>
  <si>
    <t>sfisher@doroinc.com</t>
  </si>
  <si>
    <t>Northland Management Services</t>
  </si>
  <si>
    <t>Sr Director IT</t>
  </si>
  <si>
    <t>7155631641</t>
  </si>
  <si>
    <t>Hafemeister, Jay</t>
  </si>
  <si>
    <t>jay@jhfoodsltd.com</t>
  </si>
  <si>
    <t>JH Foods Ltd</t>
  </si>
  <si>
    <t>Partner</t>
  </si>
  <si>
    <t>720-232-0727</t>
  </si>
  <si>
    <t>Ipock, Adam</t>
  </si>
  <si>
    <t>aipock@boddienoell.com</t>
  </si>
  <si>
    <t>Boddie-Noell Enterprises, Inc.</t>
  </si>
  <si>
    <t>Sr Director of IS Technical Services</t>
  </si>
  <si>
    <t>252-903-3218</t>
  </si>
  <si>
    <t>Kevin, Kevin</t>
  </si>
  <si>
    <t>Kevin.Lucas@Braums.com</t>
  </si>
  <si>
    <t>Braum's Ice Cream and Dairy</t>
  </si>
  <si>
    <t>POS</t>
  </si>
  <si>
    <t>704-277-5005</t>
  </si>
  <si>
    <t>Kim, Lloyd</t>
  </si>
  <si>
    <t>lkim@parisbaguette.com</t>
  </si>
  <si>
    <t>Paris Baguette</t>
  </si>
  <si>
    <t>Director of Implementations and Systems</t>
  </si>
  <si>
    <t>929-232-0625 </t>
  </si>
  <si>
    <t>Kimball, Dean</t>
  </si>
  <si>
    <t>dean.kimball@yadavgroup.net</t>
  </si>
  <si>
    <t>Yadav Enterprises</t>
  </si>
  <si>
    <t>CIO</t>
  </si>
  <si>
    <t>2107715014</t>
  </si>
  <si>
    <t>Klabacka, Angie</t>
  </si>
  <si>
    <t>angie@moogx.ai</t>
  </si>
  <si>
    <t>MoogX | DsMenu</t>
  </si>
  <si>
    <t>SVP</t>
  </si>
  <si>
    <t>7028196357</t>
  </si>
  <si>
    <t>Klabacka, Mathew</t>
  </si>
  <si>
    <t>mattk@moogx.ai</t>
  </si>
  <si>
    <t>CEo</t>
  </si>
  <si>
    <t>9043104363</t>
  </si>
  <si>
    <t>Larimer, Robert</t>
  </si>
  <si>
    <t>boblarimer@boddienoell.com</t>
  </si>
  <si>
    <t>SVP of Information Services</t>
  </si>
  <si>
    <t>2522669242</t>
  </si>
  <si>
    <t>McGhee, Jason</t>
  </si>
  <si>
    <t>jmcghee@bojangles.com</t>
  </si>
  <si>
    <t>Sr Dir IT Solutions &amp; Data Mgmt</t>
  </si>
  <si>
    <t>704-299-1820</t>
  </si>
  <si>
    <t>Miller, Cameron</t>
  </si>
  <si>
    <t>Csmiller@superiorstarco.com</t>
  </si>
  <si>
    <t>Superior Star</t>
  </si>
  <si>
    <t>Franchise</t>
  </si>
  <si>
    <t>5025995009</t>
  </si>
  <si>
    <t>Miller, Paula</t>
  </si>
  <si>
    <t>Pmiller@superiorstarco.com</t>
  </si>
  <si>
    <t>Superiorstar</t>
  </si>
  <si>
    <t>417-529-1847</t>
  </si>
  <si>
    <t>Ming, Xing</t>
  </si>
  <si>
    <t>xing.ming@pandarg.com</t>
  </si>
  <si>
    <t>Panda Restaurant Group, Inc.</t>
  </si>
  <si>
    <t>Director, Restaurant Technology</t>
  </si>
  <si>
    <t>6267999898</t>
  </si>
  <si>
    <t>Mollenkopf, Ryan</t>
  </si>
  <si>
    <t>rmollenkopf@ckr.com</t>
  </si>
  <si>
    <t>CKE</t>
  </si>
  <si>
    <t>VP IT</t>
  </si>
  <si>
    <t>3174467898</t>
  </si>
  <si>
    <t>Morton, Adam</t>
  </si>
  <si>
    <t>amorton@ckr.com</t>
  </si>
  <si>
    <t>CKE Restaurants</t>
  </si>
  <si>
    <t>Director of IT Engineering &amp; Restaurant Technology</t>
  </si>
  <si>
    <t>6155389215</t>
  </si>
  <si>
    <t>Newton, Tim</t>
  </si>
  <si>
    <t>tim.newton@ljsilvers.com</t>
  </si>
  <si>
    <t>Long John Silver's</t>
  </si>
  <si>
    <t>Chief Technology Officer &amp; Head of Brand Operations</t>
  </si>
  <si>
    <t>5026411157</t>
  </si>
  <si>
    <t>Noor-Crockett, Q</t>
  </si>
  <si>
    <t>q.noor-crockett@compass-usa.com</t>
  </si>
  <si>
    <t>Compass Group</t>
  </si>
  <si>
    <t>Sr. Director, Vendor Strategy Office</t>
  </si>
  <si>
    <t>6145980200</t>
  </si>
  <si>
    <t>Nuhn, Jeremiah</t>
  </si>
  <si>
    <t>jeremiahnuhn@boddienoell.com</t>
  </si>
  <si>
    <t>Boddie Noell Enterprises, Inc.</t>
  </si>
  <si>
    <t>Restaurant Systems Manager</t>
  </si>
  <si>
    <t>3096350490</t>
  </si>
  <si>
    <t>Oppito, patricia</t>
  </si>
  <si>
    <t>patricia@welkinsolutions.us</t>
  </si>
  <si>
    <t>Welkin Solutions</t>
  </si>
  <si>
    <t>VP SALES</t>
  </si>
  <si>
    <t>917 520532</t>
  </si>
  <si>
    <t>Phillips, Jerry</t>
  </si>
  <si>
    <t>jphillips@wbhq.com</t>
  </si>
  <si>
    <t>Whataburger</t>
  </si>
  <si>
    <t>Vice President: Technology</t>
  </si>
  <si>
    <t>2104888500</t>
  </si>
  <si>
    <t>Scaccio, Nick</t>
  </si>
  <si>
    <t>nscaccio@parisbaguette.com</t>
  </si>
  <si>
    <t>CDO</t>
  </si>
  <si>
    <t>6467346348</t>
  </si>
  <si>
    <t>Schultz, Nathan</t>
  </si>
  <si>
    <t>nschultz@euthinc.com</t>
  </si>
  <si>
    <t>8156874337</t>
  </si>
  <si>
    <t>Scott, Ian</t>
  </si>
  <si>
    <t>scott-ian@aramark.com</t>
  </si>
  <si>
    <t>Aramark</t>
  </si>
  <si>
    <t>VP - Technology Workplace Experience</t>
  </si>
  <si>
    <t>6106376196</t>
  </si>
  <si>
    <t>Wetzell, Marta</t>
  </si>
  <si>
    <t>Marta.Wetzell@compass-usa.com</t>
  </si>
  <si>
    <t>Compass Group, USA</t>
  </si>
  <si>
    <t>Sr Category Manager</t>
  </si>
  <si>
    <t>7042875328</t>
  </si>
  <si>
    <t>Yip, Thomas</t>
  </si>
  <si>
    <t>thomas.yip@pandarg.com</t>
  </si>
  <si>
    <t>Lead Restaurant Technology Engineer</t>
  </si>
  <si>
    <t>6266768734</t>
  </si>
  <si>
    <t>First Name</t>
  </si>
  <si>
    <t>Last Name</t>
  </si>
  <si>
    <t>Email</t>
  </si>
  <si>
    <t>Company</t>
  </si>
  <si>
    <t>Mohamed</t>
  </si>
  <si>
    <t>Aby</t>
  </si>
  <si>
    <t>aby@abygroups.com</t>
  </si>
  <si>
    <t>ABY (Checkers, Popeyes)</t>
  </si>
  <si>
    <t>Birju</t>
  </si>
  <si>
    <t>Amin</t>
  </si>
  <si>
    <t>Birju.Amin@yum.com</t>
  </si>
  <si>
    <t>Taco Bell</t>
  </si>
  <si>
    <t>Scott</t>
  </si>
  <si>
    <t>Andrzejewski</t>
  </si>
  <si>
    <t>scott.andrzejewski@ymail.com</t>
  </si>
  <si>
    <t>Burger King</t>
  </si>
  <si>
    <t>Jason</t>
  </si>
  <si>
    <t>Antony</t>
  </si>
  <si>
    <t>jason.antony@ljsilvers.com</t>
  </si>
  <si>
    <t>Long John Silvers</t>
  </si>
  <si>
    <t>Jose</t>
  </si>
  <si>
    <t>Armario</t>
  </si>
  <si>
    <t>jarmario@bojangles.com</t>
  </si>
  <si>
    <t>Brian</t>
  </si>
  <si>
    <t>Arrington</t>
  </si>
  <si>
    <t>barrington@amgva.com</t>
  </si>
  <si>
    <t>Arrington Enterprises - Bojangles</t>
  </si>
  <si>
    <t>David</t>
  </si>
  <si>
    <t>darrington@amgva.com</t>
  </si>
  <si>
    <t>Sam</t>
  </si>
  <si>
    <t>Ashley</t>
  </si>
  <si>
    <t>samantha.ashley@compassdigital.io</t>
  </si>
  <si>
    <t>Compass</t>
  </si>
  <si>
    <t>Mary Beth</t>
  </si>
  <si>
    <t>Badgette</t>
  </si>
  <si>
    <t>marybeth@rtadvisors.com</t>
  </si>
  <si>
    <t>RTA Advisors</t>
  </si>
  <si>
    <t>Pam</t>
  </si>
  <si>
    <t>Bakker</t>
  </si>
  <si>
    <t>pbakker@mcl-enterprises.com</t>
  </si>
  <si>
    <t>Steve</t>
  </si>
  <si>
    <t>Barker-Ball</t>
  </si>
  <si>
    <t>SBARKERBALL@ckr.com</t>
  </si>
  <si>
    <t>CKR</t>
  </si>
  <si>
    <t>Jim</t>
  </si>
  <si>
    <t>Barlow</t>
  </si>
  <si>
    <t>Jim.Barlow@gpshospitality.com</t>
  </si>
  <si>
    <t>Celeste</t>
  </si>
  <si>
    <t>Barnes</t>
  </si>
  <si>
    <t>Celeste.Barnes@foodtravelexperts.com</t>
  </si>
  <si>
    <t>SSP</t>
  </si>
  <si>
    <t>Matt</t>
  </si>
  <si>
    <t>Bars</t>
  </si>
  <si>
    <t>mbars@amplergroup.com</t>
  </si>
  <si>
    <t>Eric</t>
  </si>
  <si>
    <t>Baugh</t>
  </si>
  <si>
    <t>Eric.Baugh@loves.com</t>
  </si>
  <si>
    <t>Loves</t>
  </si>
  <si>
    <t>Robert</t>
  </si>
  <si>
    <t>Bearden</t>
  </si>
  <si>
    <t>Robert@teamjck.com</t>
  </si>
  <si>
    <t>JCK</t>
  </si>
  <si>
    <t>Jay</t>
  </si>
  <si>
    <t>Bedrosian</t>
  </si>
  <si>
    <t>jbedrosian@aesgroupllc.com</t>
  </si>
  <si>
    <t>AES (Arby's)</t>
  </si>
  <si>
    <t>Paola</t>
  </si>
  <si>
    <t>Beltran</t>
  </si>
  <si>
    <t>pbeltran@cgi.com.sv</t>
  </si>
  <si>
    <t>Bergeson</t>
  </si>
  <si>
    <t>bergy817@aol.com</t>
  </si>
  <si>
    <t>Morning Star</t>
  </si>
  <si>
    <t>Danyel</t>
  </si>
  <si>
    <t>Bischof</t>
  </si>
  <si>
    <t>danyel.bischof@7brew.com</t>
  </si>
  <si>
    <t>7 Brew</t>
  </si>
  <si>
    <t>Kelly</t>
  </si>
  <si>
    <t>Blankstein</t>
  </si>
  <si>
    <t>kblankstein@aw.ca</t>
  </si>
  <si>
    <t>A&amp;W</t>
  </si>
  <si>
    <t>Robbie</t>
  </si>
  <si>
    <t>Bomar</t>
  </si>
  <si>
    <t>rsbomar@skylinechili.com</t>
  </si>
  <si>
    <t>Skyline Chili</t>
  </si>
  <si>
    <t>Tom</t>
  </si>
  <si>
    <t>Borland</t>
  </si>
  <si>
    <t>TBOLAND@Bojangles.com</t>
  </si>
  <si>
    <t>James</t>
  </si>
  <si>
    <t>Boushka</t>
  </si>
  <si>
    <t>boushka-james@aramark.com</t>
  </si>
  <si>
    <t>Shawn</t>
  </si>
  <si>
    <t>Bramble</t>
  </si>
  <si>
    <t>shawn.bramble@corporatechefs.com</t>
  </si>
  <si>
    <t>Elior</t>
  </si>
  <si>
    <t>Danny</t>
  </si>
  <si>
    <t>Branch</t>
  </si>
  <si>
    <t>dbranch@ambse.com</t>
  </si>
  <si>
    <t>MBS</t>
  </si>
  <si>
    <t>Beth</t>
  </si>
  <si>
    <t>Brewer</t>
  </si>
  <si>
    <t>bethb@burgerville.com</t>
  </si>
  <si>
    <t>Burgerville</t>
  </si>
  <si>
    <t>Augusto</t>
  </si>
  <si>
    <t>Brogno</t>
  </si>
  <si>
    <t>abrogno@ga.com.mx</t>
  </si>
  <si>
    <t>GA (Grupo Asesores)</t>
  </si>
  <si>
    <t>Wayne</t>
  </si>
  <si>
    <t>Burke</t>
  </si>
  <si>
    <t>wburke@bkcfm.com</t>
  </si>
  <si>
    <t>Garrett</t>
  </si>
  <si>
    <t>Busch</t>
  </si>
  <si>
    <t>garrett.busch@ambse.com</t>
  </si>
  <si>
    <t>AMBSE</t>
  </si>
  <si>
    <t>Paul</t>
  </si>
  <si>
    <t>Calice</t>
  </si>
  <si>
    <t>paul.calice@compassdigital.io</t>
  </si>
  <si>
    <t>Allyson</t>
  </si>
  <si>
    <t>Campbell</t>
  </si>
  <si>
    <t>acampbell@bocountry.com</t>
  </si>
  <si>
    <t>BOJ of WNC - Bojangles</t>
  </si>
  <si>
    <t>Crystal</t>
  </si>
  <si>
    <t>Canavan</t>
  </si>
  <si>
    <t>Crystal.Canavan@yum.com</t>
  </si>
  <si>
    <t>Habit Burger</t>
  </si>
  <si>
    <t>heather</t>
  </si>
  <si>
    <t>carpenter</t>
  </si>
  <si>
    <t>heather.carpenter@spbhospitality.com</t>
  </si>
  <si>
    <t>Krystal</t>
  </si>
  <si>
    <t>Ryan</t>
  </si>
  <si>
    <t>Carter</t>
  </si>
  <si>
    <t>ryancarter@boddienoell.com</t>
  </si>
  <si>
    <t>Boddie Noell</t>
  </si>
  <si>
    <t>Stacey</t>
  </si>
  <si>
    <t>Chapman</t>
  </si>
  <si>
    <t>staceyc@burgerville.com</t>
  </si>
  <si>
    <t>Tariq</t>
  </si>
  <si>
    <t>Chaudhry</t>
  </si>
  <si>
    <t>tchaudhry@aw.ca</t>
  </si>
  <si>
    <t>Roopesh</t>
  </si>
  <si>
    <t>Chetty</t>
  </si>
  <si>
    <t>roopesh.chetty@sodexo.com</t>
  </si>
  <si>
    <t>Sodexo</t>
  </si>
  <si>
    <t>Chitsey</t>
  </si>
  <si>
    <t>Steve.Chitsey@loves.com</t>
  </si>
  <si>
    <t>Jean</t>
  </si>
  <si>
    <t>Choi</t>
  </si>
  <si>
    <t>jean.choi@pandarg.com</t>
  </si>
  <si>
    <t>Marshall</t>
  </si>
  <si>
    <t>Clapper</t>
  </si>
  <si>
    <t>mclapper@Levyrestaurants.com</t>
  </si>
  <si>
    <t>Levy</t>
  </si>
  <si>
    <t>Clark</t>
  </si>
  <si>
    <t>pclark@braums.com</t>
  </si>
  <si>
    <t>Jeremy</t>
  </si>
  <si>
    <t>Collins</t>
  </si>
  <si>
    <t>jeremycollins@georgiafoodsllc.com</t>
  </si>
  <si>
    <t>Georgia Foods</t>
  </si>
  <si>
    <t>Joe</t>
  </si>
  <si>
    <t>Cotton</t>
  </si>
  <si>
    <t>joe.cotton@loves.com</t>
  </si>
  <si>
    <t>Pat</t>
  </si>
  <si>
    <t>Cox</t>
  </si>
  <si>
    <t>patcox@wbhq.com</t>
  </si>
  <si>
    <t>Peter</t>
  </si>
  <si>
    <t>Czimback</t>
  </si>
  <si>
    <t>czimback-peter@aramark.com</t>
  </si>
  <si>
    <t>Jimmy</t>
  </si>
  <si>
    <t>Dang</t>
  </si>
  <si>
    <t>jdang@sunholdings.net</t>
  </si>
  <si>
    <t>Taco Bueno</t>
  </si>
  <si>
    <t>Bruce</t>
  </si>
  <si>
    <t>Daniels</t>
  </si>
  <si>
    <t>bruce.daniels@carolinafh.com</t>
  </si>
  <si>
    <t>Latasha</t>
  </si>
  <si>
    <t>Defendi</t>
  </si>
  <si>
    <t>ldefendini@inspirebrands.com</t>
  </si>
  <si>
    <t>Inspire Brands</t>
  </si>
  <si>
    <t>Lauren</t>
  </si>
  <si>
    <t>Del Duca</t>
  </si>
  <si>
    <t>ldelduca@refuelmarket.com</t>
  </si>
  <si>
    <t>Refuel Market</t>
  </si>
  <si>
    <t>Richard</t>
  </si>
  <si>
    <t>Del Valle</t>
  </si>
  <si>
    <t>rdelvalle@bojangles.com</t>
  </si>
  <si>
    <t>Henry</t>
  </si>
  <si>
    <t>Delourvier</t>
  </si>
  <si>
    <t>henry@b-restaurants.com</t>
  </si>
  <si>
    <t>DeVivo</t>
  </si>
  <si>
    <t>JDeVivo@bojanglesrdu.com</t>
  </si>
  <si>
    <t>Tri-Arc - Bojangles</t>
  </si>
  <si>
    <t>Zak</t>
  </si>
  <si>
    <t>Devore</t>
  </si>
  <si>
    <t>zdevore@buy2stores.com</t>
  </si>
  <si>
    <t>Buy2 C-Stores</t>
  </si>
  <si>
    <t>Mark</t>
  </si>
  <si>
    <t>Diaz</t>
  </si>
  <si>
    <t>mark.diaz@spbhospitality.com</t>
  </si>
  <si>
    <t>Ash</t>
  </si>
  <si>
    <t>Dinakaran</t>
  </si>
  <si>
    <t>ash.dinakaran@bojangles.com</t>
  </si>
  <si>
    <t>Georgia Foods - Bojangles</t>
  </si>
  <si>
    <t>Gerald</t>
  </si>
  <si>
    <t>Dixon</t>
  </si>
  <si>
    <t>gdixon@dennys.com</t>
  </si>
  <si>
    <t>Dennys</t>
  </si>
  <si>
    <t>Donnelly</t>
  </si>
  <si>
    <t>tdonnelly@charterfoods.net</t>
  </si>
  <si>
    <t>Liz</t>
  </si>
  <si>
    <t>Driscoll</t>
  </si>
  <si>
    <t>driscoll-elizabeth@aramark.com</t>
  </si>
  <si>
    <t>Eliud</t>
  </si>
  <si>
    <t>Elizondo</t>
  </si>
  <si>
    <t>eliud@grupoelma.com</t>
  </si>
  <si>
    <t>Subway</t>
  </si>
  <si>
    <t>Bassem</t>
  </si>
  <si>
    <t>Elsayed</t>
  </si>
  <si>
    <t>belsayed@rawsonfoods.com</t>
  </si>
  <si>
    <t>Rawson (Wendy's)</t>
  </si>
  <si>
    <t>George</t>
  </si>
  <si>
    <t>Fotiadis</t>
  </si>
  <si>
    <t>fotiadis_ge@subway.com</t>
  </si>
  <si>
    <t>Rick</t>
  </si>
  <si>
    <t>Frederick</t>
  </si>
  <si>
    <t>rfrederick@goodcentssubs.com</t>
  </si>
  <si>
    <t>Goodcents Subs</t>
  </si>
  <si>
    <t>Aimee</t>
  </si>
  <si>
    <t>Gallion</t>
  </si>
  <si>
    <t>agallion@wbhq.com</t>
  </si>
  <si>
    <t>Brad</t>
  </si>
  <si>
    <t>Gardon</t>
  </si>
  <si>
    <t>brad.gardone@ljsilvers.com</t>
  </si>
  <si>
    <t>Andy</t>
  </si>
  <si>
    <t>Garcione</t>
  </si>
  <si>
    <t>agiacone@ckr.com</t>
  </si>
  <si>
    <t>Roark</t>
  </si>
  <si>
    <t>Evan</t>
  </si>
  <si>
    <t>Gerrard</t>
  </si>
  <si>
    <t>evan.gerrard@dexterra.com</t>
  </si>
  <si>
    <t>Horizon North</t>
  </si>
  <si>
    <t>Sumi</t>
  </si>
  <si>
    <t>Ghosh</t>
  </si>
  <si>
    <t>Dutch Bros</t>
  </si>
  <si>
    <t>Harsh</t>
  </si>
  <si>
    <t>Ghai</t>
  </si>
  <si>
    <t>Harsh@ghaimanagement.com</t>
  </si>
  <si>
    <t>Gilbert</t>
  </si>
  <si>
    <t>jgilbert@rrg99.com</t>
  </si>
  <si>
    <t>RRG - Bojangles</t>
  </si>
  <si>
    <t>Mike</t>
  </si>
  <si>
    <t>Gillespie</t>
  </si>
  <si>
    <t>Mike.Gillespie@sodexo.com</t>
  </si>
  <si>
    <t>Matthew</t>
  </si>
  <si>
    <t>Gilmour</t>
  </si>
  <si>
    <t>it@bigboy.com</t>
  </si>
  <si>
    <t>Big Boy</t>
  </si>
  <si>
    <t>mgilmour@bigboy.com</t>
  </si>
  <si>
    <t>Antonio</t>
  </si>
  <si>
    <t>Giordano</t>
  </si>
  <si>
    <t>antonio.giordano@mytec.com</t>
  </si>
  <si>
    <t>Mytec</t>
  </si>
  <si>
    <t>Matteo</t>
  </si>
  <si>
    <t>matteo.giordano@mytec.com</t>
  </si>
  <si>
    <t>Becca</t>
  </si>
  <si>
    <t>Goforth</t>
  </si>
  <si>
    <t>becca.goforth@7brew.com</t>
  </si>
  <si>
    <t>Goldhersz</t>
  </si>
  <si>
    <t>egoldhersz@rbi.com</t>
  </si>
  <si>
    <t>Griffin</t>
  </si>
  <si>
    <t>mgriffin@wbhq.com</t>
  </si>
  <si>
    <t>Guith</t>
  </si>
  <si>
    <t>jguith@ckr.com</t>
  </si>
  <si>
    <t>Kathy</t>
  </si>
  <si>
    <t>Hakiki</t>
  </si>
  <si>
    <t>kathy.hakiki@braves.com</t>
  </si>
  <si>
    <t>Atlanta Braves</t>
  </si>
  <si>
    <t>Doug</t>
  </si>
  <si>
    <t>Hammer</t>
  </si>
  <si>
    <t>dhammer@refuelmarket.com</t>
  </si>
  <si>
    <t>Alexis</t>
  </si>
  <si>
    <t>Hanes</t>
  </si>
  <si>
    <t>alexis.hanes@compassdigital.io</t>
  </si>
  <si>
    <t>Josh</t>
  </si>
  <si>
    <t>Hardin</t>
  </si>
  <si>
    <t>jhardin@ckr.com</t>
  </si>
  <si>
    <t>Daniel</t>
  </si>
  <si>
    <t>Harmse</t>
  </si>
  <si>
    <t>danielh@nandos.com</t>
  </si>
  <si>
    <t>Nando's</t>
  </si>
  <si>
    <t>Bryan</t>
  </si>
  <si>
    <t>Harris</t>
  </si>
  <si>
    <t>bryan.harris@hawks.com</t>
  </si>
  <si>
    <t>Atlanta Hawks</t>
  </si>
  <si>
    <t>Haslbeck</t>
  </si>
  <si>
    <t>rhaslbeck@aw.ca</t>
  </si>
  <si>
    <t>Dee Dee</t>
  </si>
  <si>
    <t>Hassel</t>
  </si>
  <si>
    <t>deborah.hassel@ljsilvers.com</t>
  </si>
  <si>
    <t>Hersch</t>
  </si>
  <si>
    <t>Robert.Hersh@peiwei.com</t>
  </si>
  <si>
    <t>Mandarin / Pei Wei Express</t>
  </si>
  <si>
    <t>Darren</t>
  </si>
  <si>
    <t>Hestad</t>
  </si>
  <si>
    <t>dhestad@qdi.com</t>
  </si>
  <si>
    <t>Hicks</t>
  </si>
  <si>
    <t>rhicks@tomdanenterprises.com</t>
  </si>
  <si>
    <t>Tommy's Famous</t>
  </si>
  <si>
    <t>Drew</t>
  </si>
  <si>
    <t>Holdiman</t>
  </si>
  <si>
    <t>aholdiman@hhs1.com</t>
  </si>
  <si>
    <t>HHS</t>
  </si>
  <si>
    <t>Alec</t>
  </si>
  <si>
    <t>Hudson</t>
  </si>
  <si>
    <t>Alec.Hudson@peiwei.com</t>
  </si>
  <si>
    <t>Chris</t>
  </si>
  <si>
    <t>Incorvati</t>
  </si>
  <si>
    <t>cinvorvati@eatatjacks.com</t>
  </si>
  <si>
    <t>Jacks Family Rest</t>
  </si>
  <si>
    <t>Orane</t>
  </si>
  <si>
    <t>Ivey</t>
  </si>
  <si>
    <t>orane.ivey@inspirebrands.com</t>
  </si>
  <si>
    <t>Jackowski</t>
  </si>
  <si>
    <t>bjackowski@hhs1.com</t>
  </si>
  <si>
    <t>Hospital Housekeeping Systems</t>
  </si>
  <si>
    <t>Jensen</t>
  </si>
  <si>
    <t>bjensen@ocburgerboys.com</t>
  </si>
  <si>
    <t>Akash</t>
  </si>
  <si>
    <t>Joshua</t>
  </si>
  <si>
    <t>Johanek</t>
  </si>
  <si>
    <t>jjohanek@frgi.com</t>
  </si>
  <si>
    <t>Pollo Tropical</t>
  </si>
  <si>
    <t>Dustin</t>
  </si>
  <si>
    <t>Johnson</t>
  </si>
  <si>
    <t>dustinj@campbelloilcompany.com</t>
  </si>
  <si>
    <t>TGM / Campbell Oil (Arby's, Biggby, Little Caesars)</t>
  </si>
  <si>
    <t>Russell</t>
  </si>
  <si>
    <t>Joyner</t>
  </si>
  <si>
    <t>russell.joyner@ambse.com</t>
  </si>
  <si>
    <t>Michael</t>
  </si>
  <si>
    <t>Kaminski</t>
  </si>
  <si>
    <t>michael@7brew.com</t>
  </si>
  <si>
    <t>Todd</t>
  </si>
  <si>
    <t>Kaufman</t>
  </si>
  <si>
    <t>todd.kaufman@foodtravelexperts.com</t>
  </si>
  <si>
    <t>Dan</t>
  </si>
  <si>
    <t>Keaton</t>
  </si>
  <si>
    <t>dan.keaton@plummarket.com</t>
  </si>
  <si>
    <t>Plum Market</t>
  </si>
  <si>
    <t>King</t>
  </si>
  <si>
    <t>matthew.king@elior-na.com</t>
  </si>
  <si>
    <t>dustin@secobrand.com</t>
  </si>
  <si>
    <t>FOCUS FZ</t>
  </si>
  <si>
    <t>Don</t>
  </si>
  <si>
    <t>donald.king@goodeatingcompanyus.com</t>
  </si>
  <si>
    <t>Kiskunas</t>
  </si>
  <si>
    <t>mark.kiskunas@bojangles.com</t>
  </si>
  <si>
    <t>BO_BENTON INC</t>
  </si>
  <si>
    <t>Angie</t>
  </si>
  <si>
    <t>Klabacka</t>
  </si>
  <si>
    <t>klabacka.angie@gmail.com</t>
  </si>
  <si>
    <t>Townies Pizzeria</t>
  </si>
  <si>
    <t>Mathew</t>
  </si>
  <si>
    <t>mattk@towniespizzeria.com</t>
  </si>
  <si>
    <t>Brek</t>
  </si>
  <si>
    <t>Kohler</t>
  </si>
  <si>
    <t>bkohler@mastoran.com</t>
  </si>
  <si>
    <t>Andrew</t>
  </si>
  <si>
    <t>Kohn</t>
  </si>
  <si>
    <t>akohn@inspirebrands.com</t>
  </si>
  <si>
    <t>Ken</t>
  </si>
  <si>
    <t>Koziol</t>
  </si>
  <si>
    <t>kkoziol@bojangles.com</t>
  </si>
  <si>
    <t>Elva</t>
  </si>
  <si>
    <t>Krebsback</t>
  </si>
  <si>
    <t>Elva.Krebsbach@idq.com</t>
  </si>
  <si>
    <t>Dairy Queen</t>
  </si>
  <si>
    <t>Venki</t>
  </si>
  <si>
    <t>Krishnababu</t>
  </si>
  <si>
    <t>venki.krishnababu@dutchbros.com</t>
  </si>
  <si>
    <t>Lane</t>
  </si>
  <si>
    <t>clane@tacobueno.com</t>
  </si>
  <si>
    <t>Lau</t>
  </si>
  <si>
    <t>matthew.lau@irmgusa.com</t>
  </si>
  <si>
    <t>IRMG</t>
  </si>
  <si>
    <t>Minh</t>
  </si>
  <si>
    <t>Le</t>
  </si>
  <si>
    <t>mle@dennys.com</t>
  </si>
  <si>
    <t>Denny's</t>
  </si>
  <si>
    <t>Kerry</t>
  </si>
  <si>
    <t>Leo</t>
  </si>
  <si>
    <t>k.leo@shipleydonuts.com</t>
  </si>
  <si>
    <t>Shipley Donuts</t>
  </si>
  <si>
    <t>Norberto</t>
  </si>
  <si>
    <t>Leyva Lopez</t>
  </si>
  <si>
    <t>norberto.leyva@timhortonsmx.com</t>
  </si>
  <si>
    <t>Tim Hortons (Mexico)</t>
  </si>
  <si>
    <t>Rich</t>
  </si>
  <si>
    <t>Liebscher</t>
  </si>
  <si>
    <t>rliebscher@eatnpark.com</t>
  </si>
  <si>
    <t>Parkhurst</t>
  </si>
  <si>
    <t>Lim</t>
  </si>
  <si>
    <t>bryan.lim@pandarg.com</t>
  </si>
  <si>
    <t>Derek</t>
  </si>
  <si>
    <t>Linders</t>
  </si>
  <si>
    <t>derek@brixholdings.com</t>
  </si>
  <si>
    <t>Brix Holdings</t>
  </si>
  <si>
    <t>Lo Bello</t>
  </si>
  <si>
    <t>russ@phoenixorganization.com</t>
  </si>
  <si>
    <t>Rob</t>
  </si>
  <si>
    <t>Longo</t>
  </si>
  <si>
    <t>rob.longo@mbibrands.com</t>
  </si>
  <si>
    <t>MBI Brands</t>
  </si>
  <si>
    <t>Lothamer</t>
  </si>
  <si>
    <t>michael.lothamer@braves.com</t>
  </si>
  <si>
    <t>Lother</t>
  </si>
  <si>
    <t>brian.lother@elior-na.com</t>
  </si>
  <si>
    <t>Eliior</t>
  </si>
  <si>
    <t>Lisa</t>
  </si>
  <si>
    <t>Luben</t>
  </si>
  <si>
    <t>lluben@country-fair.com</t>
  </si>
  <si>
    <t>Country Fair</t>
  </si>
  <si>
    <t>Lucy</t>
  </si>
  <si>
    <t>blucy@ckr.com</t>
  </si>
  <si>
    <t>Ludy</t>
  </si>
  <si>
    <t>chris.ludy@compassdigital.io</t>
  </si>
  <si>
    <t>Luviano</t>
  </si>
  <si>
    <t>jluviano@rrg99.com</t>
  </si>
  <si>
    <t>Randolph Restaurant Group</t>
  </si>
  <si>
    <t>Kenneth</t>
  </si>
  <si>
    <t>Ly</t>
  </si>
  <si>
    <t>kenneth.ly@pandarg.com</t>
  </si>
  <si>
    <t>Veronica</t>
  </si>
  <si>
    <t>Main</t>
  </si>
  <si>
    <t>Veronica.Main@foodtravelexperts.com</t>
  </si>
  <si>
    <t>Kyle</t>
  </si>
  <si>
    <t>Matthee</t>
  </si>
  <si>
    <t>kmatthee@aw.ca</t>
  </si>
  <si>
    <t>McCallister</t>
  </si>
  <si>
    <t>andrew@jeremiahsice.com</t>
  </si>
  <si>
    <t>Jeremiah's</t>
  </si>
  <si>
    <t>Cathy</t>
  </si>
  <si>
    <t>McGill</t>
  </si>
  <si>
    <t>cmcgill@ckr.com</t>
  </si>
  <si>
    <t>McIntyre</t>
  </si>
  <si>
    <t>kmacintyre@parkhurstdining.com</t>
  </si>
  <si>
    <t>Kevin</t>
  </si>
  <si>
    <t>McKenna</t>
  </si>
  <si>
    <t>McKenna-Kevin@aramark.com</t>
  </si>
  <si>
    <t>John</t>
  </si>
  <si>
    <t>McKinney</t>
  </si>
  <si>
    <t>John.McKinney@seaworld.com</t>
  </si>
  <si>
    <t>Sea World</t>
  </si>
  <si>
    <t>McLean</t>
  </si>
  <si>
    <t>jmclean@aw.ca</t>
  </si>
  <si>
    <t>Keith</t>
  </si>
  <si>
    <t>McLellan</t>
  </si>
  <si>
    <t>KMcLellan@wbhq.com</t>
  </si>
  <si>
    <t>Randall</t>
  </si>
  <si>
    <t>McNeil</t>
  </si>
  <si>
    <t>randallmcneil@georgiafoodsllc.com</t>
  </si>
  <si>
    <t>Georgia Foods LLC</t>
  </si>
  <si>
    <t>Cam</t>
  </si>
  <si>
    <t>McRae</t>
  </si>
  <si>
    <t>Cam.McRae@bojangles.com</t>
  </si>
  <si>
    <t>Tands - Bojangles</t>
  </si>
  <si>
    <t>Marc</t>
  </si>
  <si>
    <t>Mediate</t>
  </si>
  <si>
    <t>marc@abygroups.com</t>
  </si>
  <si>
    <t>Mehmet</t>
  </si>
  <si>
    <t>mehmetm@egs.co.uk</t>
  </si>
  <si>
    <t>EGS (Electronic &amp; General Services Ltd)</t>
  </si>
  <si>
    <t>Ozkul</t>
  </si>
  <si>
    <t>ozkulm@egs.co.uk</t>
  </si>
  <si>
    <t>Mary</t>
  </si>
  <si>
    <t>Melvin</t>
  </si>
  <si>
    <t>mmelvin@dennys.com</t>
  </si>
  <si>
    <t>Mento</t>
  </si>
  <si>
    <t>tmento@carrols.com</t>
  </si>
  <si>
    <t>Carrols Restaurant Group</t>
  </si>
  <si>
    <t>Meuser</t>
  </si>
  <si>
    <t>jmeuser@rbi.com</t>
  </si>
  <si>
    <t>Popeyes</t>
  </si>
  <si>
    <t>Sean</t>
  </si>
  <si>
    <t>Migneco</t>
  </si>
  <si>
    <t>smigneco@inspirebrands.com</t>
  </si>
  <si>
    <t>Milburn</t>
  </si>
  <si>
    <t>brianmilburn@boddienoell.com</t>
  </si>
  <si>
    <t>Juan Pablo</t>
  </si>
  <si>
    <t>Miramon</t>
  </si>
  <si>
    <t>jmiramon@ga.com.mx</t>
  </si>
  <si>
    <t>GA Tech Solutions</t>
  </si>
  <si>
    <t>Moffatt</t>
  </si>
  <si>
    <t>john.moffatt@sodexo.com</t>
  </si>
  <si>
    <t>Monaco</t>
  </si>
  <si>
    <t>Henry.Monaco@braves.com</t>
  </si>
  <si>
    <t>Colin</t>
  </si>
  <si>
    <t>Moor</t>
  </si>
  <si>
    <t>cmoor@aw.ca</t>
  </si>
  <si>
    <t>Nathan</t>
  </si>
  <si>
    <t>Mucher</t>
  </si>
  <si>
    <t>nmucher@carrols.com</t>
  </si>
  <si>
    <t>Nayak</t>
  </si>
  <si>
    <t>jay.nayak@elior-na.com</t>
  </si>
  <si>
    <t>Joel</t>
  </si>
  <si>
    <t>Neikirk</t>
  </si>
  <si>
    <t>jneikirk@rsilink.com</t>
  </si>
  <si>
    <t>Charlie</t>
  </si>
  <si>
    <t>Newberger</t>
  </si>
  <si>
    <t>Charlie.Newberger@us.mcd.com</t>
  </si>
  <si>
    <t>Mcdonalds</t>
  </si>
  <si>
    <t>Newell</t>
  </si>
  <si>
    <t>kevin.newell@supremefoods.com</t>
  </si>
  <si>
    <t>Burger King / Popeyes</t>
  </si>
  <si>
    <t>Ben</t>
  </si>
  <si>
    <t>Ongoco</t>
  </si>
  <si>
    <t>bongoco@gmsit.com</t>
  </si>
  <si>
    <t>GMS</t>
  </si>
  <si>
    <t>Pahl</t>
  </si>
  <si>
    <t>todd@capstonerestaurants.com</t>
  </si>
  <si>
    <t>Capstone (CKE)</t>
  </si>
  <si>
    <t>Vadim</t>
  </si>
  <si>
    <t>Parizher</t>
  </si>
  <si>
    <t>vadim.parizher@yum.com</t>
  </si>
  <si>
    <t>Nasiem</t>
  </si>
  <si>
    <t>Patel</t>
  </si>
  <si>
    <t>npatel@aw.ca</t>
  </si>
  <si>
    <t>jpatel@bk-fl.com</t>
  </si>
  <si>
    <t>Neil</t>
  </si>
  <si>
    <t>npatelpartners@gmail.com</t>
  </si>
  <si>
    <t>Pennant-Jones</t>
  </si>
  <si>
    <t>david@paradigminvest.com</t>
  </si>
  <si>
    <t>Paradigm (CKE)</t>
  </si>
  <si>
    <t>Louis</t>
  </si>
  <si>
    <t>Penny</t>
  </si>
  <si>
    <t>lpenny@heinens.com</t>
  </si>
  <si>
    <t>Heinens</t>
  </si>
  <si>
    <t>Perovich</t>
  </si>
  <si>
    <t>Jason.Perovich@yoshinoyaamerica.com</t>
  </si>
  <si>
    <t>Yoshinoya</t>
  </si>
  <si>
    <t>Karl</t>
  </si>
  <si>
    <t>Pierburg</t>
  </si>
  <si>
    <t>Kpierburg@falcons.nfl.com</t>
  </si>
  <si>
    <t>Atlanta Falcons/ AMBSE</t>
  </si>
  <si>
    <t>Sundar</t>
  </si>
  <si>
    <t>Pillai</t>
  </si>
  <si>
    <t>spillai@thefalconsgroup.com</t>
  </si>
  <si>
    <t>Falcons Group</t>
  </si>
  <si>
    <t>Pope</t>
  </si>
  <si>
    <t>kpope@ambse.com</t>
  </si>
  <si>
    <t>AMB Sports &amp; Entertainment</t>
  </si>
  <si>
    <t>Susan</t>
  </si>
  <si>
    <t>Potts</t>
  </si>
  <si>
    <t>susan.potts@ljsilvers.com</t>
  </si>
  <si>
    <t>Powell</t>
  </si>
  <si>
    <t>russell.powell@bojangles.com</t>
  </si>
  <si>
    <t>CHKB - Bojangles</t>
  </si>
  <si>
    <t>Prejean</t>
  </si>
  <si>
    <t>pprejean@wbhq.com</t>
  </si>
  <si>
    <t>Subha</t>
  </si>
  <si>
    <t>rajagopalan</t>
  </si>
  <si>
    <t>subha.rajagopalan@dutchbros.com</t>
  </si>
  <si>
    <t>Jugveer</t>
  </si>
  <si>
    <t>Randhawa</t>
  </si>
  <si>
    <t>jugveer@compassdigital.io</t>
  </si>
  <si>
    <t>Razzano</t>
  </si>
  <si>
    <t>christopher.razzano@us.mcd.com</t>
  </si>
  <si>
    <t>Cosmc's</t>
  </si>
  <si>
    <t>Reid</t>
  </si>
  <si>
    <t>mreid@dennys.com</t>
  </si>
  <si>
    <t>Jeff</t>
  </si>
  <si>
    <t>Rigsby</t>
  </si>
  <si>
    <t>jrigsby@bocountry.com</t>
  </si>
  <si>
    <t>Roach</t>
  </si>
  <si>
    <t>chris.roach@dutchbros.com</t>
  </si>
  <si>
    <t>Robinson</t>
  </si>
  <si>
    <t>todd.robinson@guckenheimer.com</t>
  </si>
  <si>
    <t>ISS/GKN</t>
  </si>
  <si>
    <t>Gabe</t>
  </si>
  <si>
    <t>Roderiguez</t>
  </si>
  <si>
    <t>gabe.rodriguez@tijuanaflats.com</t>
  </si>
  <si>
    <t>Tijuana Flats</t>
  </si>
  <si>
    <t>Dylan</t>
  </si>
  <si>
    <t>Roeder</t>
  </si>
  <si>
    <t>roeder@swigdrinks.com</t>
  </si>
  <si>
    <t>Swig</t>
  </si>
  <si>
    <t>Rohwer</t>
  </si>
  <si>
    <t>marc.rohwer@qdoba.com</t>
  </si>
  <si>
    <t>Qdoba</t>
  </si>
  <si>
    <t>Kim</t>
  </si>
  <si>
    <t>Rometo</t>
  </si>
  <si>
    <t>kim.rometo@hawks.com</t>
  </si>
  <si>
    <t>ATL Hawks</t>
  </si>
  <si>
    <t>Rosen</t>
  </si>
  <si>
    <t>mattr@onerosen.com</t>
  </si>
  <si>
    <t>Thibault</t>
  </si>
  <si>
    <t>Roux</t>
  </si>
  <si>
    <t>Troux@rbi.com</t>
  </si>
  <si>
    <t>Rubin</t>
  </si>
  <si>
    <t>doug.rubin@compass-usa.com</t>
  </si>
  <si>
    <t>Francois</t>
  </si>
  <si>
    <t>Russ</t>
  </si>
  <si>
    <t>francois.russ@spbhospitality.com</t>
  </si>
  <si>
    <t>Austin</t>
  </si>
  <si>
    <t>Sanders</t>
  </si>
  <si>
    <t>austin.sanders@dutchbros.com</t>
  </si>
  <si>
    <t>Christian</t>
  </si>
  <si>
    <t>Sastre</t>
  </si>
  <si>
    <t>csastre@ga.com.mx</t>
  </si>
  <si>
    <t>Grupo Asesores (GA)</t>
  </si>
  <si>
    <t>Dennis</t>
  </si>
  <si>
    <t>Schmidt</t>
  </si>
  <si>
    <t>dennisschmidt@dennys.com</t>
  </si>
  <si>
    <t>Devin</t>
  </si>
  <si>
    <t>Schneider</t>
  </si>
  <si>
    <t>devin@jeremiahsice.com</t>
  </si>
  <si>
    <t>Nicole</t>
  </si>
  <si>
    <t>Schwanbenbauer</t>
  </si>
  <si>
    <t>nschwabe@eatnpark.com</t>
  </si>
  <si>
    <t>Stephen</t>
  </si>
  <si>
    <t>Schwartz</t>
  </si>
  <si>
    <t>steve.schwartz@foodtravelexperts.com</t>
  </si>
  <si>
    <t>Justin</t>
  </si>
  <si>
    <t>jlscott@skylinechili.com</t>
  </si>
  <si>
    <t>Tim</t>
  </si>
  <si>
    <t>Seiber</t>
  </si>
  <si>
    <t>tseiber@dennys.com</t>
  </si>
  <si>
    <t>Shannon</t>
  </si>
  <si>
    <t>jshannon@wbhq.com</t>
  </si>
  <si>
    <t>Ann</t>
  </si>
  <si>
    <t>Sherer</t>
  </si>
  <si>
    <t>asherer@frgi.com</t>
  </si>
  <si>
    <t>Fiesta</t>
  </si>
  <si>
    <t>Smith</t>
  </si>
  <si>
    <t>todd.smith@swigdrinks.com</t>
  </si>
  <si>
    <t>Sosa</t>
  </si>
  <si>
    <t>bsosa@tomdanenterprises.com</t>
  </si>
  <si>
    <t>Spendel</t>
  </si>
  <si>
    <t>ewspendel@skylinechili.com</t>
  </si>
  <si>
    <t>Mitchell</t>
  </si>
  <si>
    <t>Strouts</t>
  </si>
  <si>
    <t>mitchell.strouts@compass-usa.com</t>
  </si>
  <si>
    <t>Jared</t>
  </si>
  <si>
    <t>Tanney</t>
  </si>
  <si>
    <t>jtanney@inspirebrands.com</t>
  </si>
  <si>
    <t>Harrison</t>
  </si>
  <si>
    <t>Taylor</t>
  </si>
  <si>
    <t>harrison.taylor@braves.com</t>
  </si>
  <si>
    <t>Thayer</t>
  </si>
  <si>
    <t>matthew.thayer@us.issworld.com</t>
  </si>
  <si>
    <t>Tyler</t>
  </si>
  <si>
    <t>Thiriot</t>
  </si>
  <si>
    <t>tyler.thiriot@swigdrinks.com</t>
  </si>
  <si>
    <t>Gary</t>
  </si>
  <si>
    <t>Thomas</t>
  </si>
  <si>
    <t>gary.thomas@gpshospitality.com</t>
  </si>
  <si>
    <t>Tonkin</t>
  </si>
  <si>
    <t>rltonkin@skylinechili.com</t>
  </si>
  <si>
    <t>Toone</t>
  </si>
  <si>
    <t>kelly.toone@plumfoodservice.com</t>
  </si>
  <si>
    <t>Tuttle</t>
  </si>
  <si>
    <t>rtuttle@sscpmanagement.com</t>
  </si>
  <si>
    <t>Corner Bakery</t>
  </si>
  <si>
    <t>Yerling</t>
  </si>
  <si>
    <t>Vallejos</t>
  </si>
  <si>
    <t>Yerling.Vallejos@yoshinoyaamerica.com</t>
  </si>
  <si>
    <t>Verostek</t>
  </si>
  <si>
    <t>rverostek@dennys.com</t>
  </si>
  <si>
    <t>Williams</t>
  </si>
  <si>
    <t>Vic</t>
  </si>
  <si>
    <t>vwilliams@ambse.com</t>
  </si>
  <si>
    <t>Ayaz</t>
  </si>
  <si>
    <t>Virji</t>
  </si>
  <si>
    <t>ayaz@areyouhungrybk.com</t>
  </si>
  <si>
    <t>Ryne</t>
  </si>
  <si>
    <t>Wages</t>
  </si>
  <si>
    <t>rwages@focusbrands.com</t>
  </si>
  <si>
    <t>GoTo Foods</t>
  </si>
  <si>
    <t>Walker</t>
  </si>
  <si>
    <t>john@hsmi.biz</t>
  </si>
  <si>
    <t>Hardees of SW Missouri</t>
  </si>
  <si>
    <t>Chase</t>
  </si>
  <si>
    <t>Wardrop</t>
  </si>
  <si>
    <t>wardrop@swigdrinks.com</t>
  </si>
  <si>
    <t>Wathen</t>
  </si>
  <si>
    <t>rwathen@ckr.com</t>
  </si>
  <si>
    <t>Dominic</t>
  </si>
  <si>
    <t>Waulk</t>
  </si>
  <si>
    <t>ddwaulk@skylinechili.com</t>
  </si>
  <si>
    <t>Kimberly</t>
  </si>
  <si>
    <t>webb</t>
  </si>
  <si>
    <t>kimberly.webb@inspirebrands.com</t>
  </si>
  <si>
    <t>Welker</t>
  </si>
  <si>
    <t>tyler.welker@braves.com</t>
  </si>
  <si>
    <t>Atlanta Braves Retail</t>
  </si>
  <si>
    <t>Wesolowski</t>
  </si>
  <si>
    <t>Joshua.Wesolowski@us.mcd.com</t>
  </si>
  <si>
    <t>CosMc’s people</t>
  </si>
  <si>
    <t>Marta</t>
  </si>
  <si>
    <t>Wetzell</t>
  </si>
  <si>
    <t>Marta.Wetzell@compassdigital.io</t>
  </si>
  <si>
    <t>Whitaker</t>
  </si>
  <si>
    <t>dwhitaker@Bojangles.com</t>
  </si>
  <si>
    <t>mwilliams@capstonerestaurants.com</t>
  </si>
  <si>
    <t>Capstone</t>
  </si>
  <si>
    <t>Alisa</t>
  </si>
  <si>
    <t>Wold</t>
  </si>
  <si>
    <t>awold@racksonrestaurants.com</t>
  </si>
  <si>
    <t>Rackson (BK)</t>
  </si>
  <si>
    <t>Alex</t>
  </si>
  <si>
    <t>Wolfe</t>
  </si>
  <si>
    <t>awolfe@inspirebrands.com</t>
  </si>
  <si>
    <t>Greg</t>
  </si>
  <si>
    <t>Workman</t>
  </si>
  <si>
    <t>gworkman@glencoelv.com</t>
  </si>
  <si>
    <t>Bethany</t>
  </si>
  <si>
    <t>Woytkiw</t>
  </si>
  <si>
    <t>bethany.woytkiw@dexterra.com</t>
  </si>
  <si>
    <t>Fred</t>
  </si>
  <si>
    <t>Zdarko</t>
  </si>
  <si>
    <t>fzdarko@country-fair.com</t>
  </si>
  <si>
    <t>Rachel</t>
  </si>
  <si>
    <t>Zeisel</t>
  </si>
  <si>
    <t>Rzeisel@delawarenorth.com</t>
  </si>
  <si>
    <t>Delaware 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</si>
</sst>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rgb="FF0000FF"/>
      <name val="Calibri Light"/>
      <scheme val="major"/>
    </font>
    <font>
      <sz val="12"/>
      <color theme="1"/>
      <name val="Calibri Light"/>
      <scheme val="major"/>
    </font>
    <font>
      <b/>
      <sz val="12"/>
      <color theme="1"/>
      <name val="Calibri Light"/>
      <scheme val="major"/>
    </font>
    <font>
      <sz val="11"/>
      <color rgb="FF434343"/>
      <name val="Arial"/>
      <family val="2"/>
    </font>
    <font>
      <sz val="11"/>
      <color rgb="FF5E5E5E"/>
      <name val="Arial"/>
      <family val="2"/>
    </font>
    <font>
      <sz val="11"/>
      <color rgb="FF222222"/>
      <name val="Arial"/>
      <family val="2"/>
    </font>
    <font>
      <u/>
      <sz val="11"/>
      <color rgb="FF434343"/>
      <name val="Arial"/>
      <family val="2"/>
    </font>
    <font>
      <u/>
      <sz val="11"/>
      <color rgb="FF1155CC"/>
      <name val="Arial"/>
      <family val="2"/>
    </font>
    <font>
      <strike/>
      <sz val="11"/>
      <color rgb="FF434343"/>
      <name val="Arial"/>
      <family val="2"/>
    </font>
    <font>
      <sz val="11"/>
      <color rgb="FF555555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49" fontId="2" fillId="0" borderId="0" xfId="1" applyNumberFormat="1" applyFont="1" applyFill="1" applyAlignment="1">
      <alignment wrapText="1"/>
    </xf>
    <xf numFmtId="49" fontId="3" fillId="0" borderId="0" xfId="0" applyNumberFormat="1" applyFont="1" applyAlignment="1">
      <alignment wrapText="1"/>
    </xf>
    <xf numFmtId="22" fontId="3" fillId="0" borderId="0" xfId="0" applyNumberFormat="1" applyFont="1"/>
    <xf numFmtId="0" fontId="4" fillId="0" borderId="1" xfId="0" applyFont="1" applyBorder="1" applyAlignment="1">
      <alignment vertical="center" wrapText="1"/>
    </xf>
    <xf numFmtId="0" fontId="3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0" borderId="0" xfId="1" applyFont="1" applyFill="1" applyBorder="1" applyAlignment="1">
      <alignment horizontal="left" wrapText="1"/>
    </xf>
    <xf numFmtId="0" fontId="14" fillId="0" borderId="2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cvent.com/subscribers/events2/Invitee/InviteeDetails?evtstub=05ee00c4-3db3-4771-baaf-a435d55e8ea6&amp;inviteestub=cb65f6cc-73a4-431f-ad4f-eb2f556cae6e" TargetMode="External"/><Relationship Id="rId13" Type="http://schemas.openxmlformats.org/officeDocument/2006/relationships/hyperlink" Target="https://app.cvent.com/subscribers/events2/Invitee/InviteeDetails?evtstub=05ee00c4-3db3-4771-baaf-a435d55e8ea6&amp;inviteestub=c52d617e-5c71-4fd8-b101-6a244bdf87a1" TargetMode="External"/><Relationship Id="rId18" Type="http://schemas.openxmlformats.org/officeDocument/2006/relationships/hyperlink" Target="https://app.cvent.com/subscribers/events2/Invitee/InviteeDetails?evtstub=05ee00c4-3db3-4771-baaf-a435d55e8ea6&amp;inviteestub=6624781b-c277-4df9-9123-42c415f1756d" TargetMode="External"/><Relationship Id="rId26" Type="http://schemas.openxmlformats.org/officeDocument/2006/relationships/hyperlink" Target="https://app.cvent.com/subscribers/events2/Invitee/InviteeDetails?evtstub=05ee00c4-3db3-4771-baaf-a435d55e8ea6&amp;inviteestub=ad4afe7e-a69a-46c9-9dbc-a3b533709de4" TargetMode="External"/><Relationship Id="rId3" Type="http://schemas.openxmlformats.org/officeDocument/2006/relationships/hyperlink" Target="https://app.cvent.com/subscribers/events2/Invitee/InviteeDetails?evtstub=05ee00c4-3db3-4771-baaf-a435d55e8ea6&amp;inviteestub=01397a36-6d62-48f9-a5a8-ac54e50c4ee9" TargetMode="External"/><Relationship Id="rId21" Type="http://schemas.openxmlformats.org/officeDocument/2006/relationships/hyperlink" Target="https://app.cvent.com/subscribers/events2/Invitee/InviteeDetails?evtstub=05ee00c4-3db3-4771-baaf-a435d55e8ea6&amp;inviteestub=dbc24eda-345f-4ac3-a7d0-5124fabbd3bf" TargetMode="External"/><Relationship Id="rId7" Type="http://schemas.openxmlformats.org/officeDocument/2006/relationships/hyperlink" Target="https://app.cvent.com/subscribers/events2/Invitee/InviteeDetails?evtstub=05ee00c4-3db3-4771-baaf-a435d55e8ea6&amp;inviteestub=ac5fefef-4b20-4ce8-99c4-229b7079f0f8" TargetMode="External"/><Relationship Id="rId12" Type="http://schemas.openxmlformats.org/officeDocument/2006/relationships/hyperlink" Target="https://app.cvent.com/subscribers/events2/Invitee/InviteeDetails?evtstub=05ee00c4-3db3-4771-baaf-a435d55e8ea6&amp;inviteestub=9f72d617-5966-490c-a27c-bd1cdc88ebb3" TargetMode="External"/><Relationship Id="rId17" Type="http://schemas.openxmlformats.org/officeDocument/2006/relationships/hyperlink" Target="https://app.cvent.com/subscribers/events2/Invitee/InviteeDetails?evtstub=05ee00c4-3db3-4771-baaf-a435d55e8ea6&amp;inviteestub=84ded8a2-068a-44c3-b2c0-ab5c521f51fd" TargetMode="External"/><Relationship Id="rId25" Type="http://schemas.openxmlformats.org/officeDocument/2006/relationships/hyperlink" Target="https://app.cvent.com/subscribers/events2/Invitee/InviteeDetails?evtstub=05ee00c4-3db3-4771-baaf-a435d55e8ea6&amp;inviteestub=681e7037-2dc7-490f-a685-3633c0d21871" TargetMode="External"/><Relationship Id="rId2" Type="http://schemas.openxmlformats.org/officeDocument/2006/relationships/hyperlink" Target="https://app.cvent.com/subscribers/events2/Invitee/InviteeDetails?evtstub=05ee00c4-3db3-4771-baaf-a435d55e8ea6&amp;inviteestub=08d8565f-23f9-4eb6-be73-e6e695574f97" TargetMode="External"/><Relationship Id="rId16" Type="http://schemas.openxmlformats.org/officeDocument/2006/relationships/hyperlink" Target="https://app.cvent.com/subscribers/events2/Invitee/InviteeDetails?evtstub=05ee00c4-3db3-4771-baaf-a435d55e8ea6&amp;inviteestub=23c1fc1e-8e91-49b9-9dae-f3d82375233d" TargetMode="External"/><Relationship Id="rId20" Type="http://schemas.openxmlformats.org/officeDocument/2006/relationships/hyperlink" Target="https://app.cvent.com/subscribers/events2/Invitee/InviteeDetails?evtstub=05ee00c4-3db3-4771-baaf-a435d55e8ea6&amp;inviteestub=cf29febd-56bc-4ab9-afff-410e68f6709f" TargetMode="External"/><Relationship Id="rId29" Type="http://schemas.openxmlformats.org/officeDocument/2006/relationships/hyperlink" Target="https://app.cvent.com/subscribers/events2/Invitee/InviteeDetails?evtstub=05ee00c4-3db3-4771-baaf-a435d55e8ea6&amp;inviteestub=1f243bdc-02dc-4b5a-9725-0943dd51c785" TargetMode="External"/><Relationship Id="rId1" Type="http://schemas.openxmlformats.org/officeDocument/2006/relationships/hyperlink" Target="https://app.cvent.com/subscribers/events2/Invitee/InviteeDetails?evtstub=05ee00c4-3db3-4771-baaf-a435d55e8ea6&amp;inviteestub=84f574b9-0fc7-43bd-8972-6e6772225c64" TargetMode="External"/><Relationship Id="rId6" Type="http://schemas.openxmlformats.org/officeDocument/2006/relationships/hyperlink" Target="https://app.cvent.com/subscribers/events2/Invitee/InviteeDetails?evtstub=05ee00c4-3db3-4771-baaf-a435d55e8ea6&amp;inviteestub=159174a2-e27e-4e3e-8a84-a003f407b0e8" TargetMode="External"/><Relationship Id="rId11" Type="http://schemas.openxmlformats.org/officeDocument/2006/relationships/hyperlink" Target="https://app.cvent.com/subscribers/events2/Invitee/InviteeDetails?evtstub=05ee00c4-3db3-4771-baaf-a435d55e8ea6&amp;inviteestub=0a063665-9c74-4a3f-af50-f202529ee8f4" TargetMode="External"/><Relationship Id="rId24" Type="http://schemas.openxmlformats.org/officeDocument/2006/relationships/hyperlink" Target="https://app.cvent.com/subscribers/events2/Invitee/InviteeDetails?evtstub=05ee00c4-3db3-4771-baaf-a435d55e8ea6&amp;inviteestub=2128ce4c-0358-4cab-a1be-885569b9dca4" TargetMode="External"/><Relationship Id="rId5" Type="http://schemas.openxmlformats.org/officeDocument/2006/relationships/hyperlink" Target="https://app.cvent.com/subscribers/events2/Invitee/InviteeDetails?evtstub=05ee00c4-3db3-4771-baaf-a435d55e8ea6&amp;inviteestub=ca15bb8b-3e5d-4753-8bbe-557b09b6d165" TargetMode="External"/><Relationship Id="rId15" Type="http://schemas.openxmlformats.org/officeDocument/2006/relationships/hyperlink" Target="https://app.cvent.com/subscribers/events2/Invitee/InviteeDetails?evtstub=05ee00c4-3db3-4771-baaf-a435d55e8ea6&amp;inviteestub=15897ee6-2937-499c-8df2-736c4b5be180" TargetMode="External"/><Relationship Id="rId23" Type="http://schemas.openxmlformats.org/officeDocument/2006/relationships/hyperlink" Target="https://app.cvent.com/subscribers/events2/Invitee/InviteeDetails?evtstub=05ee00c4-3db3-4771-baaf-a435d55e8ea6&amp;inviteestub=a4270253-aa81-4953-8da4-7132f9628b6b" TargetMode="External"/><Relationship Id="rId28" Type="http://schemas.openxmlformats.org/officeDocument/2006/relationships/hyperlink" Target="https://app.cvent.com/subscribers/events2/Invitee/InviteeDetails?evtstub=05ee00c4-3db3-4771-baaf-a435d55e8ea6&amp;inviteestub=b40115b8-797c-42e7-b8db-caf6e7fa362f" TargetMode="External"/><Relationship Id="rId10" Type="http://schemas.openxmlformats.org/officeDocument/2006/relationships/hyperlink" Target="https://app.cvent.com/subscribers/events2/Invitee/InviteeDetails?evtstub=05ee00c4-3db3-4771-baaf-a435d55e8ea6&amp;inviteestub=ecfc57ff-afda-46e3-8ea8-c01045e1a04e" TargetMode="External"/><Relationship Id="rId19" Type="http://schemas.openxmlformats.org/officeDocument/2006/relationships/hyperlink" Target="https://app.cvent.com/subscribers/events2/Invitee/InviteeDetails?evtstub=05ee00c4-3db3-4771-baaf-a435d55e8ea6&amp;inviteestub=ff08b1df-fed6-4ca5-935c-cecdde745df7" TargetMode="External"/><Relationship Id="rId31" Type="http://schemas.openxmlformats.org/officeDocument/2006/relationships/hyperlink" Target="https://app.cvent.com/subscribers/events2/Invitee/InviteeDetails?evtstub=05ee00c4-3db3-4771-baaf-a435d55e8ea6&amp;inviteestub=09b17eca-feae-4e29-bced-f4997b15e063" TargetMode="External"/><Relationship Id="rId4" Type="http://schemas.openxmlformats.org/officeDocument/2006/relationships/hyperlink" Target="https://app.cvent.com/subscribers/events2/Invitee/InviteeDetails?evtstub=05ee00c4-3db3-4771-baaf-a435d55e8ea6&amp;inviteestub=e5242dd3-1968-4a2f-bbca-4aa684079de7" TargetMode="External"/><Relationship Id="rId9" Type="http://schemas.openxmlformats.org/officeDocument/2006/relationships/hyperlink" Target="https://app.cvent.com/subscribers/events2/Invitee/InviteeDetails?evtstub=05ee00c4-3db3-4771-baaf-a435d55e8ea6&amp;inviteestub=b32a5c40-884a-4175-8fa1-415336e6177c" TargetMode="External"/><Relationship Id="rId14" Type="http://schemas.openxmlformats.org/officeDocument/2006/relationships/hyperlink" Target="https://app.cvent.com/subscribers/events2/Invitee/InviteeDetails?evtstub=05ee00c4-3db3-4771-baaf-a435d55e8ea6&amp;inviteestub=b2977af8-f1ad-457b-a12a-172f6dc39997" TargetMode="External"/><Relationship Id="rId22" Type="http://schemas.openxmlformats.org/officeDocument/2006/relationships/hyperlink" Target="https://app.cvent.com/subscribers/events2/Invitee/InviteeDetails?evtstub=05ee00c4-3db3-4771-baaf-a435d55e8ea6&amp;inviteestub=9732da23-7fe8-4b9d-a28c-0da4eeb7bf89" TargetMode="External"/><Relationship Id="rId27" Type="http://schemas.openxmlformats.org/officeDocument/2006/relationships/hyperlink" Target="https://app.cvent.com/subscribers/events2/Invitee/InviteeDetails?evtstub=05ee00c4-3db3-4771-baaf-a435d55e8ea6&amp;inviteestub=660ea009-ab33-40fc-92e4-876793169bba" TargetMode="External"/><Relationship Id="rId30" Type="http://schemas.openxmlformats.org/officeDocument/2006/relationships/hyperlink" Target="https://app.cvent.com/subscribers/events2/Invitee/InviteeDetails?evtstub=05ee00c4-3db3-4771-baaf-a435d55e8ea6&amp;inviteestub=bcac80cd-8f3b-4fb3-80a2-a63374a37f0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wspendel@skylinechil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C9" sqref="C9"/>
    </sheetView>
  </sheetViews>
  <sheetFormatPr defaultRowHeight="28.5" customHeight="1"/>
  <cols>
    <col min="1" max="1" width="22.85546875" style="5" customWidth="1"/>
    <col min="2" max="2" width="45.5703125" style="5" customWidth="1"/>
    <col min="3" max="3" width="36.140625" style="5" customWidth="1"/>
    <col min="4" max="4" width="48.85546875" style="5" customWidth="1"/>
    <col min="5" max="5" width="25.7109375" style="5" customWidth="1"/>
    <col min="6" max="6" width="24.5703125" style="5" customWidth="1"/>
    <col min="7" max="16384" width="9.140625" style="5"/>
  </cols>
  <sheetData>
    <row r="1" spans="1:6" ht="28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8.5" customHeight="1">
      <c r="A2" s="1" t="s">
        <v>6</v>
      </c>
      <c r="B2" s="2" t="s">
        <v>7</v>
      </c>
      <c r="C2" s="2" t="s">
        <v>8</v>
      </c>
      <c r="D2" s="2" t="s">
        <v>9</v>
      </c>
      <c r="E2" s="3">
        <f>DATE(2026,7,6)+TIME(9,45,47)</f>
        <v>46209.406793981485</v>
      </c>
      <c r="F2" s="2" t="s">
        <v>10</v>
      </c>
    </row>
    <row r="3" spans="1:6" ht="28.5" customHeight="1">
      <c r="A3" s="1" t="s">
        <v>11</v>
      </c>
      <c r="B3" s="2" t="s">
        <v>12</v>
      </c>
      <c r="C3" s="2" t="s">
        <v>13</v>
      </c>
      <c r="D3" s="2" t="s">
        <v>14</v>
      </c>
      <c r="E3" s="3">
        <f>DATE(2026,6,17)+TIME(15,20,37)</f>
        <v>46190.639317129629</v>
      </c>
      <c r="F3" s="2" t="s">
        <v>15</v>
      </c>
    </row>
    <row r="4" spans="1:6" ht="28.5" customHeight="1">
      <c r="A4" s="1" t="s">
        <v>16</v>
      </c>
      <c r="B4" s="2" t="s">
        <v>17</v>
      </c>
      <c r="C4" s="2" t="s">
        <v>18</v>
      </c>
      <c r="D4" s="2" t="s">
        <v>19</v>
      </c>
      <c r="E4" s="3">
        <f>DATE(2026,4,23)+TIME(13,32,13)</f>
        <v>46135.564039351855</v>
      </c>
      <c r="F4" s="2" t="s">
        <v>20</v>
      </c>
    </row>
    <row r="5" spans="1:6" ht="28.5" customHeight="1">
      <c r="A5" s="1" t="s">
        <v>21</v>
      </c>
      <c r="B5" s="2" t="s">
        <v>22</v>
      </c>
      <c r="C5" s="2" t="s">
        <v>18</v>
      </c>
      <c r="D5" s="2" t="s">
        <v>23</v>
      </c>
      <c r="E5" s="3">
        <f>DATE(2026,4,23)+TIME(13,43,33)</f>
        <v>46135.571909722225</v>
      </c>
      <c r="F5" s="2" t="s">
        <v>24</v>
      </c>
    </row>
    <row r="6" spans="1:6" ht="28.5" customHeight="1">
      <c r="A6" s="1" t="s">
        <v>25</v>
      </c>
      <c r="B6" s="2" t="s">
        <v>26</v>
      </c>
      <c r="C6" s="2" t="s">
        <v>27</v>
      </c>
      <c r="D6" s="2" t="s">
        <v>28</v>
      </c>
      <c r="E6" s="3">
        <f>DATE(2026,7,6)+TIME(14,40,19)</f>
        <v>46209.611331018517</v>
      </c>
      <c r="F6" s="2" t="s">
        <v>29</v>
      </c>
    </row>
    <row r="7" spans="1:6" ht="28.5" customHeight="1">
      <c r="A7" s="1" t="s">
        <v>30</v>
      </c>
      <c r="B7" s="2" t="s">
        <v>31</v>
      </c>
      <c r="C7" s="2" t="s">
        <v>32</v>
      </c>
      <c r="D7" s="2" t="s">
        <v>33</v>
      </c>
      <c r="E7" s="3">
        <f>DATE(2026,6,22)+TIME(8,49,11)</f>
        <v>46195.367488425924</v>
      </c>
      <c r="F7" s="2" t="s">
        <v>34</v>
      </c>
    </row>
    <row r="8" spans="1:6" ht="28.5" customHeight="1">
      <c r="A8" s="1" t="s">
        <v>35</v>
      </c>
      <c r="B8" s="2" t="s">
        <v>36</v>
      </c>
      <c r="C8" s="2" t="s">
        <v>37</v>
      </c>
      <c r="D8" s="2" t="s">
        <v>38</v>
      </c>
      <c r="E8" s="3">
        <f>DATE(2026,4,23)+TIME(3,57,50)</f>
        <v>46135.165162037039</v>
      </c>
      <c r="F8" s="2" t="s">
        <v>39</v>
      </c>
    </row>
    <row r="9" spans="1:6" ht="28.5" customHeight="1">
      <c r="A9" s="1" t="s">
        <v>40</v>
      </c>
      <c r="B9" s="2" t="s">
        <v>41</v>
      </c>
      <c r="C9" s="2" t="s">
        <v>42</v>
      </c>
      <c r="D9" s="2" t="s">
        <v>43</v>
      </c>
      <c r="E9" s="3">
        <f>DATE(2026,6,11)+TIME(13,57,16)</f>
        <v>46184.581435185188</v>
      </c>
      <c r="F9" s="2" t="s">
        <v>44</v>
      </c>
    </row>
    <row r="10" spans="1:6" ht="28.5" customHeight="1">
      <c r="A10" s="1" t="s">
        <v>45</v>
      </c>
      <c r="B10" s="2" t="s">
        <v>46</v>
      </c>
      <c r="C10" s="2" t="s">
        <v>47</v>
      </c>
      <c r="D10" s="2" t="s">
        <v>48</v>
      </c>
      <c r="E10" s="3">
        <f>DATE(2026,6,20)+TIME(14,23,13)</f>
        <v>46193.599456018521</v>
      </c>
      <c r="F10" s="2" t="s">
        <v>49</v>
      </c>
    </row>
    <row r="11" spans="1:6" ht="28.5" customHeight="1">
      <c r="A11" s="1" t="s">
        <v>50</v>
      </c>
      <c r="B11" s="2" t="s">
        <v>51</v>
      </c>
      <c r="C11" s="2" t="s">
        <v>52</v>
      </c>
      <c r="D11" s="2" t="s">
        <v>53</v>
      </c>
      <c r="E11" s="3">
        <f>DATE(2026,6,4)+TIME(17,18,42)</f>
        <v>46177.721319444441</v>
      </c>
      <c r="F11" s="2" t="s">
        <v>54</v>
      </c>
    </row>
    <row r="12" spans="1:6" ht="28.5" customHeight="1">
      <c r="A12" s="1" t="s">
        <v>55</v>
      </c>
      <c r="B12" s="2" t="s">
        <v>56</v>
      </c>
      <c r="C12" s="2" t="s">
        <v>57</v>
      </c>
      <c r="D12" s="2" t="s">
        <v>58</v>
      </c>
      <c r="E12" s="3">
        <f>DATE(2026,6,25)+TIME(11,50,1)</f>
        <v>46198.493067129632</v>
      </c>
      <c r="F12" s="2" t="s">
        <v>59</v>
      </c>
    </row>
    <row r="13" spans="1:6" ht="28.5" customHeight="1">
      <c r="A13" s="1" t="s">
        <v>60</v>
      </c>
      <c r="B13" s="2" t="s">
        <v>61</v>
      </c>
      <c r="C13" s="2" t="s">
        <v>62</v>
      </c>
      <c r="D13" s="2" t="s">
        <v>63</v>
      </c>
      <c r="E13" s="3">
        <f>DATE(2026,4,30)+TIME(10,54,45)</f>
        <v>46142.454687500001</v>
      </c>
      <c r="F13" s="2" t="s">
        <v>64</v>
      </c>
    </row>
    <row r="14" spans="1:6" ht="28.5" customHeight="1">
      <c r="A14" s="1" t="s">
        <v>65</v>
      </c>
      <c r="B14" s="2" t="s">
        <v>66</v>
      </c>
      <c r="C14" s="2" t="s">
        <v>67</v>
      </c>
      <c r="D14" s="2" t="s">
        <v>68</v>
      </c>
      <c r="E14" s="3">
        <f>DATE(2026,6,10)+TIME(23,4,42)</f>
        <v>46183.961597222224</v>
      </c>
      <c r="F14" s="2" t="s">
        <v>69</v>
      </c>
    </row>
    <row r="15" spans="1:6" ht="28.5" customHeight="1">
      <c r="A15" s="1" t="s">
        <v>70</v>
      </c>
      <c r="B15" s="2" t="s">
        <v>71</v>
      </c>
      <c r="C15" s="2" t="s">
        <v>67</v>
      </c>
      <c r="D15" s="2" t="s">
        <v>72</v>
      </c>
      <c r="E15" s="3">
        <f>DATE(2026,6,10)+TIME(22,29,7)</f>
        <v>46183.936886574076</v>
      </c>
      <c r="F15" s="2" t="s">
        <v>73</v>
      </c>
    </row>
    <row r="16" spans="1:6" ht="28.5" customHeight="1">
      <c r="A16" s="1" t="s">
        <v>74</v>
      </c>
      <c r="B16" s="2" t="s">
        <v>75</v>
      </c>
      <c r="C16" s="2" t="s">
        <v>47</v>
      </c>
      <c r="D16" s="2" t="s">
        <v>76</v>
      </c>
      <c r="E16" s="3">
        <f>DATE(2026,5,26)+TIME(19,6,54)</f>
        <v>46168.796458333331</v>
      </c>
      <c r="F16" s="2" t="s">
        <v>77</v>
      </c>
    </row>
    <row r="17" spans="1:6" ht="28.5" customHeight="1">
      <c r="A17" s="1" t="s">
        <v>78</v>
      </c>
      <c r="B17" s="2" t="s">
        <v>79</v>
      </c>
      <c r="C17" s="2" t="s">
        <v>13</v>
      </c>
      <c r="D17" s="2" t="s">
        <v>80</v>
      </c>
      <c r="E17" s="3">
        <f>DATE(2026,6,17)+TIME(15,19,52)</f>
        <v>46190.638796296298</v>
      </c>
      <c r="F17" s="2" t="s">
        <v>81</v>
      </c>
    </row>
    <row r="18" spans="1:6" ht="28.5" customHeight="1">
      <c r="A18" s="1" t="s">
        <v>82</v>
      </c>
      <c r="B18" s="2" t="s">
        <v>83</v>
      </c>
      <c r="C18" s="2" t="s">
        <v>84</v>
      </c>
      <c r="D18" s="2" t="s">
        <v>85</v>
      </c>
      <c r="E18" s="3">
        <f>DATE(2026,6,16)+TIME(16,6,55)</f>
        <v>46189.671469907407</v>
      </c>
      <c r="F18" s="2" t="s">
        <v>86</v>
      </c>
    </row>
    <row r="19" spans="1:6" ht="28.5" customHeight="1">
      <c r="A19" s="1" t="s">
        <v>87</v>
      </c>
      <c r="B19" s="2" t="s">
        <v>88</v>
      </c>
      <c r="C19" s="2" t="s">
        <v>89</v>
      </c>
      <c r="D19" s="2" t="s">
        <v>85</v>
      </c>
      <c r="E19" s="3">
        <f>DATE(2026,6,16)+TIME(16,53,14)</f>
        <v>46189.703634259262</v>
      </c>
      <c r="F19" s="2" t="s">
        <v>90</v>
      </c>
    </row>
    <row r="20" spans="1:6" ht="28.5" customHeight="1">
      <c r="A20" s="1" t="s">
        <v>91</v>
      </c>
      <c r="B20" s="2" t="s">
        <v>92</v>
      </c>
      <c r="C20" s="2" t="s">
        <v>93</v>
      </c>
      <c r="D20" s="2" t="s">
        <v>94</v>
      </c>
      <c r="E20" s="3">
        <f>DATE(2026,5,28)+TIME(20,36,34)</f>
        <v>46170.858726851853</v>
      </c>
      <c r="F20" s="2" t="s">
        <v>95</v>
      </c>
    </row>
    <row r="21" spans="1:6" ht="28.5" customHeight="1">
      <c r="A21" s="1" t="s">
        <v>96</v>
      </c>
      <c r="B21" s="2" t="s">
        <v>97</v>
      </c>
      <c r="C21" s="2" t="s">
        <v>98</v>
      </c>
      <c r="D21" s="2" t="s">
        <v>99</v>
      </c>
      <c r="E21" s="3">
        <f>DATE(2026,5,5)+TIME(10,23,48)</f>
        <v>46147.433194444442</v>
      </c>
      <c r="F21" s="2" t="s">
        <v>100</v>
      </c>
    </row>
    <row r="22" spans="1:6" ht="28.5" customHeight="1">
      <c r="A22" s="1" t="s">
        <v>101</v>
      </c>
      <c r="B22" s="2" t="s">
        <v>102</v>
      </c>
      <c r="C22" s="2" t="s">
        <v>103</v>
      </c>
      <c r="D22" s="2" t="s">
        <v>104</v>
      </c>
      <c r="E22" s="3">
        <f>DATE(2026,4,22)+TIME(14,51,20)</f>
        <v>46134.618981481479</v>
      </c>
      <c r="F22" s="2" t="s">
        <v>105</v>
      </c>
    </row>
    <row r="23" spans="1:6" ht="28.5" customHeight="1">
      <c r="A23" s="1" t="s">
        <v>106</v>
      </c>
      <c r="B23" s="2" t="s">
        <v>107</v>
      </c>
      <c r="C23" s="2" t="s">
        <v>108</v>
      </c>
      <c r="D23" s="2" t="s">
        <v>109</v>
      </c>
      <c r="E23" s="3">
        <f>DATE(2026,6,11)+TIME(15,2,18)</f>
        <v>46184.626597222225</v>
      </c>
      <c r="F23" s="2" t="s">
        <v>110</v>
      </c>
    </row>
    <row r="24" spans="1:6" ht="28.5" customHeight="1">
      <c r="A24" s="1" t="s">
        <v>111</v>
      </c>
      <c r="B24" s="2" t="s">
        <v>112</v>
      </c>
      <c r="C24" s="2" t="s">
        <v>113</v>
      </c>
      <c r="D24" s="2" t="s">
        <v>114</v>
      </c>
      <c r="E24" s="3">
        <f>DATE(2026,7,1)+TIME(22,19,30)</f>
        <v>46204.930208333331</v>
      </c>
      <c r="F24" s="2" t="s">
        <v>115</v>
      </c>
    </row>
    <row r="25" spans="1:6" ht="28.5" customHeight="1">
      <c r="A25" s="1" t="s">
        <v>116</v>
      </c>
      <c r="B25" s="2" t="s">
        <v>117</v>
      </c>
      <c r="C25" s="2" t="s">
        <v>118</v>
      </c>
      <c r="D25" s="2" t="s">
        <v>119</v>
      </c>
      <c r="E25" s="3">
        <f>DATE(2026,6,10)+TIME(10,35,46)</f>
        <v>46183.441504629627</v>
      </c>
      <c r="F25" s="2" t="s">
        <v>120</v>
      </c>
    </row>
    <row r="26" spans="1:6" ht="28.5" customHeight="1">
      <c r="A26" s="1" t="s">
        <v>121</v>
      </c>
      <c r="B26" s="2" t="s">
        <v>122</v>
      </c>
      <c r="C26" s="2" t="s">
        <v>123</v>
      </c>
      <c r="D26" s="2" t="s">
        <v>124</v>
      </c>
      <c r="E26" s="3">
        <f>DATE(2026,6,8)+TIME(8,57,23)</f>
        <v>46181.373182870368</v>
      </c>
      <c r="F26" s="2" t="s">
        <v>125</v>
      </c>
    </row>
    <row r="27" spans="1:6" ht="28.5" customHeight="1">
      <c r="A27" s="1" t="s">
        <v>126</v>
      </c>
      <c r="B27" s="2" t="s">
        <v>127</v>
      </c>
      <c r="C27" s="2" t="s">
        <v>128</v>
      </c>
      <c r="D27" s="2" t="s">
        <v>129</v>
      </c>
      <c r="E27" s="3">
        <f>DATE(2026,4,30)+TIME(11,26,4)</f>
        <v>46142.476435185185</v>
      </c>
      <c r="F27" s="2" t="s">
        <v>130</v>
      </c>
    </row>
    <row r="28" spans="1:6" ht="28.5" customHeight="1">
      <c r="A28" s="1" t="s">
        <v>131</v>
      </c>
      <c r="B28" s="2" t="s">
        <v>132</v>
      </c>
      <c r="C28" s="2" t="s">
        <v>57</v>
      </c>
      <c r="D28" s="2" t="s">
        <v>133</v>
      </c>
      <c r="E28" s="3">
        <f>DATE(2026,6,29)+TIME(11,38,26)</f>
        <v>46202.485023148147</v>
      </c>
      <c r="F28" s="2" t="s">
        <v>134</v>
      </c>
    </row>
    <row r="29" spans="1:6" ht="28.5" customHeight="1">
      <c r="A29" s="1" t="s">
        <v>135</v>
      </c>
      <c r="B29" s="2" t="s">
        <v>136</v>
      </c>
      <c r="C29" s="2" t="s">
        <v>37</v>
      </c>
      <c r="D29" s="2" t="s">
        <v>119</v>
      </c>
      <c r="E29" s="3">
        <f>DATE(2026,4,23)+TIME(3,57,50)</f>
        <v>46135.165162037039</v>
      </c>
      <c r="F29" s="2" t="s">
        <v>137</v>
      </c>
    </row>
    <row r="30" spans="1:6" ht="28.5" customHeight="1">
      <c r="A30" s="1" t="s">
        <v>138</v>
      </c>
      <c r="B30" s="2" t="s">
        <v>139</v>
      </c>
      <c r="C30" s="2" t="s">
        <v>140</v>
      </c>
      <c r="D30" s="2" t="s">
        <v>141</v>
      </c>
      <c r="E30" s="3">
        <f>DATE(2026,6,29)+TIME(14,22,38)</f>
        <v>46202.599050925928</v>
      </c>
      <c r="F30" s="2" t="s">
        <v>142</v>
      </c>
    </row>
    <row r="31" spans="1:6" ht="28.5" customHeight="1">
      <c r="A31" s="1" t="s">
        <v>143</v>
      </c>
      <c r="B31" s="2" t="s">
        <v>144</v>
      </c>
      <c r="C31" s="2" t="s">
        <v>145</v>
      </c>
      <c r="D31" s="2" t="s">
        <v>146</v>
      </c>
      <c r="E31" s="3">
        <f>DATE(2026,7,2)+TIME(9,23,38)</f>
        <v>46205.391412037039</v>
      </c>
      <c r="F31" s="2" t="s">
        <v>147</v>
      </c>
    </row>
    <row r="32" spans="1:6" ht="28.5" customHeight="1">
      <c r="A32" s="1" t="s">
        <v>148</v>
      </c>
      <c r="B32" s="2" t="s">
        <v>149</v>
      </c>
      <c r="C32" s="2" t="s">
        <v>93</v>
      </c>
      <c r="D32" s="2" t="s">
        <v>150</v>
      </c>
      <c r="E32" s="3">
        <f>DATE(2026,6,12)+TIME(16,51,11)</f>
        <v>46185.702210648145</v>
      </c>
      <c r="F32" s="2" t="s">
        <v>151</v>
      </c>
    </row>
    <row r="33" spans="2:2" ht="28.5" customHeight="1">
      <c r="B33" s="6"/>
    </row>
    <row r="34" spans="2:2" ht="28.5" customHeight="1">
      <c r="B34" s="6"/>
    </row>
    <row r="35" spans="2:2" ht="28.5" customHeight="1">
      <c r="B35" s="6"/>
    </row>
    <row r="36" spans="2:2" ht="28.5" customHeight="1">
      <c r="B36" s="6"/>
    </row>
    <row r="37" spans="2:2" ht="28.5" customHeight="1">
      <c r="B37" s="6"/>
    </row>
    <row r="38" spans="2:2" ht="28.5" customHeight="1">
      <c r="B38" s="6"/>
    </row>
    <row r="39" spans="2:2" ht="28.5" customHeight="1">
      <c r="B39" s="6"/>
    </row>
    <row r="40" spans="2:2" ht="28.5" customHeight="1">
      <c r="B40" s="6"/>
    </row>
    <row r="41" spans="2:2" ht="28.5" customHeight="1">
      <c r="B41" s="6"/>
    </row>
    <row r="42" spans="2:2" ht="28.5" customHeight="1">
      <c r="B42" s="6"/>
    </row>
    <row r="43" spans="2:2" ht="28.5" customHeight="1">
      <c r="B43" s="6"/>
    </row>
    <row r="44" spans="2:2" ht="28.5" customHeight="1">
      <c r="B44" s="6"/>
    </row>
    <row r="45" spans="2:2" ht="28.5" customHeight="1">
      <c r="B45" s="6"/>
    </row>
    <row r="46" spans="2:2" ht="28.5" customHeight="1">
      <c r="B46" s="6"/>
    </row>
    <row r="47" spans="2:2" ht="28.5" customHeight="1">
      <c r="B47" s="6"/>
    </row>
    <row r="48" spans="2:2" ht="28.5" customHeight="1">
      <c r="B48" s="6"/>
    </row>
    <row r="49" spans="2:2" ht="28.5" customHeight="1">
      <c r="B49" s="6"/>
    </row>
    <row r="50" spans="2:2" ht="28.5" customHeight="1">
      <c r="B50" s="6"/>
    </row>
    <row r="51" spans="2:2" ht="28.5" customHeight="1">
      <c r="B51" s="8"/>
    </row>
    <row r="52" spans="2:2" ht="28.5" customHeight="1">
      <c r="B52" s="6"/>
    </row>
    <row r="53" spans="2:2" ht="28.5" customHeight="1">
      <c r="B53" s="6"/>
    </row>
    <row r="54" spans="2:2" ht="28.5" customHeight="1">
      <c r="B54" s="6"/>
    </row>
    <row r="55" spans="2:2" ht="28.5" customHeight="1">
      <c r="B55" s="10"/>
    </row>
    <row r="56" spans="2:2" ht="28.5" customHeight="1">
      <c r="B56" s="6"/>
    </row>
    <row r="57" spans="2:2" ht="28.5" customHeight="1">
      <c r="B57" s="6"/>
    </row>
    <row r="58" spans="2:2" ht="28.5" customHeight="1">
      <c r="B58" s="6"/>
    </row>
    <row r="59" spans="2:2" ht="28.5" customHeight="1">
      <c r="B59" s="6"/>
    </row>
    <row r="60" spans="2:2" ht="28.5" customHeight="1">
      <c r="B60" s="9"/>
    </row>
    <row r="61" spans="2:2" ht="28.5" customHeight="1">
      <c r="B61" s="6"/>
    </row>
    <row r="62" spans="2:2" ht="28.5" customHeight="1">
      <c r="B62" s="6"/>
    </row>
    <row r="63" spans="2:2" ht="28.5" customHeight="1">
      <c r="B63" s="6"/>
    </row>
    <row r="64" spans="2:2" ht="28.5" customHeight="1">
      <c r="B64" s="6"/>
    </row>
    <row r="65" spans="2:2" ht="28.5" customHeight="1">
      <c r="B65" s="6"/>
    </row>
    <row r="66" spans="2:2" ht="28.5" customHeight="1">
      <c r="B66" s="6"/>
    </row>
    <row r="67" spans="2:2" ht="28.5" customHeight="1">
      <c r="B67" s="6"/>
    </row>
    <row r="68" spans="2:2" ht="28.5" customHeight="1">
      <c r="B68" s="6"/>
    </row>
    <row r="69" spans="2:2" ht="28.5" customHeight="1">
      <c r="B69" s="6"/>
    </row>
    <row r="70" spans="2:2" ht="28.5" customHeight="1">
      <c r="B70" s="6"/>
    </row>
    <row r="71" spans="2:2" ht="28.5" customHeight="1">
      <c r="B71" s="6"/>
    </row>
    <row r="72" spans="2:2" ht="28.5" customHeight="1">
      <c r="B72" s="6"/>
    </row>
    <row r="73" spans="2:2" ht="28.5" customHeight="1">
      <c r="B73" s="6"/>
    </row>
    <row r="74" spans="2:2" ht="28.5" customHeight="1">
      <c r="B74" s="6"/>
    </row>
    <row r="75" spans="2:2" ht="28.5" customHeight="1">
      <c r="B75" s="6"/>
    </row>
    <row r="76" spans="2:2" ht="28.5" customHeight="1">
      <c r="B76" s="9"/>
    </row>
    <row r="77" spans="2:2" ht="28.5" customHeight="1">
      <c r="B77" s="6"/>
    </row>
    <row r="78" spans="2:2" ht="28.5" customHeight="1">
      <c r="B78" s="6"/>
    </row>
    <row r="79" spans="2:2" ht="28.5" customHeight="1">
      <c r="B79" s="6"/>
    </row>
    <row r="80" spans="2:2" ht="28.5" customHeight="1">
      <c r="B80" s="6"/>
    </row>
    <row r="81" spans="2:2" ht="28.5" customHeight="1">
      <c r="B81" s="6"/>
    </row>
    <row r="82" spans="2:2" ht="28.5" customHeight="1">
      <c r="B82" s="6"/>
    </row>
    <row r="83" spans="2:2" ht="28.5" customHeight="1">
      <c r="B83" s="6"/>
    </row>
    <row r="84" spans="2:2" ht="28.5" customHeight="1">
      <c r="B84" s="11"/>
    </row>
    <row r="85" spans="2:2" ht="28.5" customHeight="1">
      <c r="B85" s="6"/>
    </row>
    <row r="86" spans="2:2" ht="28.5" customHeight="1">
      <c r="B86" s="6"/>
    </row>
    <row r="87" spans="2:2" ht="28.5" customHeight="1">
      <c r="B87" s="6"/>
    </row>
    <row r="88" spans="2:2" ht="28.5" customHeight="1">
      <c r="B88" s="6"/>
    </row>
    <row r="89" spans="2:2" ht="28.5" customHeight="1">
      <c r="B89" s="6"/>
    </row>
    <row r="90" spans="2:2" ht="28.5" customHeight="1">
      <c r="B90" s="6"/>
    </row>
    <row r="91" spans="2:2" ht="28.5" customHeight="1">
      <c r="B91" s="6"/>
    </row>
    <row r="92" spans="2:2" ht="28.5" customHeight="1">
      <c r="B92" s="6"/>
    </row>
    <row r="93" spans="2:2" ht="28.5" customHeight="1">
      <c r="B93" s="6"/>
    </row>
    <row r="94" spans="2:2" ht="28.5" customHeight="1">
      <c r="B94" s="6"/>
    </row>
    <row r="95" spans="2:2" ht="28.5" customHeight="1">
      <c r="B95" s="6"/>
    </row>
    <row r="96" spans="2:2" ht="28.5" customHeight="1">
      <c r="B96" s="6"/>
    </row>
    <row r="97" spans="2:2" ht="28.5" customHeight="1">
      <c r="B97" s="6"/>
    </row>
    <row r="98" spans="2:2" ht="28.5" customHeight="1">
      <c r="B98" s="12"/>
    </row>
    <row r="99" spans="2:2" ht="28.5" customHeight="1">
      <c r="B99" s="6"/>
    </row>
    <row r="100" spans="2:2" ht="28.5" customHeight="1">
      <c r="B100" s="13"/>
    </row>
    <row r="101" spans="2:2" ht="28.5" customHeight="1">
      <c r="B101" s="14"/>
    </row>
    <row r="102" spans="2:2" ht="28.5" customHeight="1">
      <c r="B102" s="6"/>
    </row>
    <row r="103" spans="2:2" ht="28.5" customHeight="1">
      <c r="B103" s="6"/>
    </row>
    <row r="104" spans="2:2" ht="28.5" customHeight="1">
      <c r="B104" s="6"/>
    </row>
    <row r="105" spans="2:2" ht="28.5" customHeight="1">
      <c r="B105" s="6"/>
    </row>
    <row r="106" spans="2:2" ht="28.5" customHeight="1">
      <c r="B106" s="6"/>
    </row>
    <row r="107" spans="2:2" ht="28.5" customHeight="1">
      <c r="B107" s="6"/>
    </row>
    <row r="108" spans="2:2" ht="28.5" customHeight="1">
      <c r="B108" s="6"/>
    </row>
    <row r="109" spans="2:2" ht="28.5" customHeight="1">
      <c r="B109" s="6"/>
    </row>
    <row r="110" spans="2:2" ht="28.5" customHeight="1">
      <c r="B110" s="6"/>
    </row>
    <row r="111" spans="2:2" ht="28.5" customHeight="1">
      <c r="B111" s="6"/>
    </row>
    <row r="112" spans="2:2" ht="28.5" customHeight="1">
      <c r="B112" s="6"/>
    </row>
    <row r="113" spans="2:2" ht="28.5" customHeight="1">
      <c r="B113" s="6"/>
    </row>
    <row r="114" spans="2:2" ht="28.5" customHeight="1">
      <c r="B114" s="6"/>
    </row>
    <row r="115" spans="2:2" ht="28.5" customHeight="1">
      <c r="B115" s="6"/>
    </row>
    <row r="116" spans="2:2" ht="28.5" customHeight="1">
      <c r="B116" s="6"/>
    </row>
    <row r="117" spans="2:2" ht="28.5" customHeight="1">
      <c r="B117" s="6"/>
    </row>
    <row r="118" spans="2:2" ht="28.5" customHeight="1">
      <c r="B118" s="6"/>
    </row>
    <row r="119" spans="2:2" ht="28.5" customHeight="1">
      <c r="B119" s="6"/>
    </row>
    <row r="120" spans="2:2" ht="28.5" customHeight="1">
      <c r="B120" s="6"/>
    </row>
    <row r="121" spans="2:2" ht="28.5" customHeight="1">
      <c r="B121" s="6"/>
    </row>
    <row r="122" spans="2:2" ht="28.5" customHeight="1">
      <c r="B122" s="6"/>
    </row>
    <row r="123" spans="2:2" ht="28.5" customHeight="1">
      <c r="B123" s="6"/>
    </row>
    <row r="124" spans="2:2" ht="28.5" customHeight="1">
      <c r="B124" s="6"/>
    </row>
    <row r="125" spans="2:2" ht="28.5" customHeight="1">
      <c r="B125" s="6"/>
    </row>
    <row r="126" spans="2:2" ht="28.5" customHeight="1">
      <c r="B126" s="6"/>
    </row>
    <row r="127" spans="2:2" ht="28.5" customHeight="1">
      <c r="B127" s="6"/>
    </row>
    <row r="128" spans="2:2" ht="28.5" customHeight="1">
      <c r="B128" s="6"/>
    </row>
    <row r="129" spans="2:2" ht="28.5" customHeight="1">
      <c r="B129" s="6"/>
    </row>
    <row r="130" spans="2:2" ht="28.5" customHeight="1">
      <c r="B130" s="6"/>
    </row>
    <row r="131" spans="2:2" ht="28.5" customHeight="1">
      <c r="B131" s="6"/>
    </row>
    <row r="132" spans="2:2" ht="28.5" customHeight="1">
      <c r="B132" s="6"/>
    </row>
    <row r="133" spans="2:2" ht="28.5" customHeight="1">
      <c r="B133" s="6"/>
    </row>
    <row r="134" spans="2:2" ht="28.5" customHeight="1">
      <c r="B134" s="6"/>
    </row>
    <row r="135" spans="2:2" ht="28.5" customHeight="1">
      <c r="B135" s="6"/>
    </row>
    <row r="136" spans="2:2" ht="28.5" customHeight="1">
      <c r="B136" s="6"/>
    </row>
    <row r="137" spans="2:2" ht="28.5" customHeight="1">
      <c r="B137" s="6"/>
    </row>
    <row r="138" spans="2:2" ht="28.5" customHeight="1">
      <c r="B138" s="6"/>
    </row>
    <row r="139" spans="2:2" ht="28.5" customHeight="1">
      <c r="B139" s="6"/>
    </row>
    <row r="140" spans="2:2" ht="28.5" customHeight="1">
      <c r="B140" s="6"/>
    </row>
    <row r="141" spans="2:2" ht="28.5" customHeight="1">
      <c r="B141" s="9"/>
    </row>
    <row r="142" spans="2:2" ht="28.5" customHeight="1">
      <c r="B142" s="6"/>
    </row>
    <row r="143" spans="2:2" ht="28.5" customHeight="1">
      <c r="B143" s="6"/>
    </row>
    <row r="144" spans="2:2" ht="28.5" customHeight="1">
      <c r="B144" s="6"/>
    </row>
    <row r="145" spans="2:2" ht="28.5" customHeight="1">
      <c r="B145" s="6"/>
    </row>
    <row r="146" spans="2:2" ht="28.5" customHeight="1">
      <c r="B146" s="6"/>
    </row>
    <row r="147" spans="2:2" ht="28.5" customHeight="1">
      <c r="B147" s="6"/>
    </row>
    <row r="148" spans="2:2" ht="28.5" customHeight="1">
      <c r="B148" s="6"/>
    </row>
    <row r="149" spans="2:2" ht="28.5" customHeight="1">
      <c r="B149" s="6"/>
    </row>
    <row r="150" spans="2:2" ht="28.5" customHeight="1">
      <c r="B150" s="6"/>
    </row>
    <row r="151" spans="2:2" ht="28.5" customHeight="1">
      <c r="B151" s="6"/>
    </row>
    <row r="152" spans="2:2" ht="28.5" customHeight="1">
      <c r="B152" s="6"/>
    </row>
    <row r="153" spans="2:2" ht="28.5" customHeight="1">
      <c r="B153" s="8"/>
    </row>
    <row r="154" spans="2:2" ht="28.5" customHeight="1">
      <c r="B154" s="6"/>
    </row>
    <row r="155" spans="2:2" ht="28.5" customHeight="1">
      <c r="B155" s="6"/>
    </row>
    <row r="156" spans="2:2" ht="28.5" customHeight="1">
      <c r="B156" s="6"/>
    </row>
    <row r="157" spans="2:2" ht="28.5" customHeight="1">
      <c r="B157" s="6"/>
    </row>
    <row r="158" spans="2:2" ht="28.5" customHeight="1">
      <c r="B158" s="6"/>
    </row>
    <row r="159" spans="2:2" ht="28.5" customHeight="1">
      <c r="B159" s="6"/>
    </row>
    <row r="160" spans="2:2" ht="28.5" customHeight="1">
      <c r="B160" s="6"/>
    </row>
    <row r="161" spans="2:2" ht="28.5" customHeight="1">
      <c r="B161" s="6"/>
    </row>
    <row r="162" spans="2:2" ht="28.5" customHeight="1">
      <c r="B162" s="12"/>
    </row>
    <row r="163" spans="2:2" ht="28.5" customHeight="1">
      <c r="B163" s="6"/>
    </row>
    <row r="164" spans="2:2" ht="28.5" customHeight="1">
      <c r="B164" s="6"/>
    </row>
    <row r="165" spans="2:2" ht="28.5" customHeight="1">
      <c r="B165" s="6"/>
    </row>
    <row r="166" spans="2:2" ht="28.5" customHeight="1">
      <c r="B166" s="6"/>
    </row>
    <row r="167" spans="2:2" ht="28.5" customHeight="1">
      <c r="B167" s="6"/>
    </row>
    <row r="168" spans="2:2" ht="28.5" customHeight="1">
      <c r="B168" s="6"/>
    </row>
    <row r="169" spans="2:2" ht="28.5" customHeight="1">
      <c r="B169" s="6"/>
    </row>
    <row r="170" spans="2:2" ht="28.5" customHeight="1">
      <c r="B170" s="6"/>
    </row>
    <row r="171" spans="2:2" ht="28.5" customHeight="1">
      <c r="B171" s="6"/>
    </row>
    <row r="172" spans="2:2" ht="28.5" customHeight="1">
      <c r="B172" s="6"/>
    </row>
    <row r="173" spans="2:2" ht="28.5" customHeight="1">
      <c r="B173" s="6"/>
    </row>
    <row r="174" spans="2:2" ht="28.5" customHeight="1">
      <c r="B174" s="6"/>
    </row>
    <row r="175" spans="2:2" ht="28.5" customHeight="1">
      <c r="B175" s="6"/>
    </row>
    <row r="176" spans="2:2" ht="28.5" customHeight="1">
      <c r="B176" s="6"/>
    </row>
    <row r="177" spans="2:2" ht="28.5" customHeight="1">
      <c r="B177" s="6"/>
    </row>
    <row r="178" spans="2:2" ht="28.5" customHeight="1">
      <c r="B178" s="6"/>
    </row>
    <row r="179" spans="2:2" ht="28.5" customHeight="1">
      <c r="B179" s="6"/>
    </row>
    <row r="180" spans="2:2" ht="28.5" customHeight="1">
      <c r="B180" s="6"/>
    </row>
    <row r="181" spans="2:2" ht="28.5" customHeight="1">
      <c r="B181" s="8"/>
    </row>
    <row r="182" spans="2:2" ht="28.5" customHeight="1">
      <c r="B182" s="6"/>
    </row>
    <row r="183" spans="2:2" ht="28.5" customHeight="1">
      <c r="B183" s="6"/>
    </row>
    <row r="184" spans="2:2" ht="28.5" customHeight="1">
      <c r="B184" s="6"/>
    </row>
    <row r="185" spans="2:2" ht="28.5" customHeight="1">
      <c r="B185" s="6"/>
    </row>
    <row r="186" spans="2:2" ht="28.5" customHeight="1">
      <c r="B186" s="6"/>
    </row>
    <row r="187" spans="2:2" ht="28.5" customHeight="1">
      <c r="B187" s="6"/>
    </row>
    <row r="188" spans="2:2" ht="28.5" customHeight="1">
      <c r="B188" s="6"/>
    </row>
    <row r="189" spans="2:2" ht="28.5" customHeight="1">
      <c r="B189" s="6"/>
    </row>
    <row r="190" spans="2:2" ht="28.5" customHeight="1">
      <c r="B190" s="6"/>
    </row>
    <row r="191" spans="2:2" ht="28.5" customHeight="1">
      <c r="B191" s="6"/>
    </row>
    <row r="192" spans="2:2" ht="28.5" customHeight="1">
      <c r="B192" s="6"/>
    </row>
    <row r="193" spans="2:2" ht="28.5" customHeight="1">
      <c r="B193" s="6"/>
    </row>
    <row r="194" spans="2:2" ht="28.5" customHeight="1">
      <c r="B194" s="6"/>
    </row>
    <row r="195" spans="2:2" ht="28.5" customHeight="1">
      <c r="B195" s="6"/>
    </row>
    <row r="196" spans="2:2" ht="28.5" customHeight="1">
      <c r="B196" s="6"/>
    </row>
    <row r="197" spans="2:2" ht="28.5" customHeight="1">
      <c r="B197" s="6"/>
    </row>
    <row r="198" spans="2:2" ht="28.5" customHeight="1">
      <c r="B198" s="6"/>
    </row>
    <row r="199" spans="2:2" ht="28.5" customHeight="1">
      <c r="B199" s="6"/>
    </row>
    <row r="200" spans="2:2" ht="28.5" customHeight="1">
      <c r="B200" s="6"/>
    </row>
    <row r="201" spans="2:2" ht="28.5" customHeight="1">
      <c r="B201" s="11"/>
    </row>
    <row r="202" spans="2:2" ht="28.5" customHeight="1">
      <c r="B202" s="6"/>
    </row>
    <row r="203" spans="2:2" ht="28.5" customHeight="1">
      <c r="B203" s="6"/>
    </row>
    <row r="204" spans="2:2" ht="28.5" customHeight="1">
      <c r="B204" s="6"/>
    </row>
    <row r="205" spans="2:2" ht="28.5" customHeight="1">
      <c r="B205" s="6"/>
    </row>
    <row r="206" spans="2:2" ht="28.5" customHeight="1">
      <c r="B206" s="6"/>
    </row>
    <row r="207" spans="2:2" ht="28.5" customHeight="1">
      <c r="B207" s="6"/>
    </row>
    <row r="208" spans="2:2" ht="28.5" customHeight="1">
      <c r="B208" s="6"/>
    </row>
    <row r="209" spans="2:2" ht="28.5" customHeight="1">
      <c r="B209" s="6"/>
    </row>
    <row r="210" spans="2:2" ht="28.5" customHeight="1">
      <c r="B210" s="6"/>
    </row>
    <row r="211" spans="2:2" ht="28.5" customHeight="1">
      <c r="B211" s="6"/>
    </row>
    <row r="212" spans="2:2" ht="28.5" customHeight="1">
      <c r="B212" s="6"/>
    </row>
    <row r="213" spans="2:2" ht="28.5" customHeight="1">
      <c r="B213" s="8"/>
    </row>
    <row r="214" spans="2:2" ht="28.5" customHeight="1">
      <c r="B214" s="6"/>
    </row>
    <row r="215" spans="2:2" ht="28.5" customHeight="1">
      <c r="B215" s="9"/>
    </row>
    <row r="216" spans="2:2" ht="28.5" customHeight="1">
      <c r="B216" s="6"/>
    </row>
    <row r="217" spans="2:2" ht="28.5" customHeight="1">
      <c r="B217" s="8"/>
    </row>
    <row r="218" spans="2:2" ht="28.5" customHeight="1">
      <c r="B218" s="6"/>
    </row>
    <row r="219" spans="2:2" ht="28.5" customHeight="1">
      <c r="B219" s="9"/>
    </row>
    <row r="220" spans="2:2" ht="28.5" customHeight="1">
      <c r="B220" s="6"/>
    </row>
    <row r="221" spans="2:2" ht="28.5" customHeight="1">
      <c r="B221" s="6"/>
    </row>
    <row r="222" spans="2:2" ht="28.5" customHeight="1">
      <c r="B222" s="6"/>
    </row>
    <row r="223" spans="2:2" ht="28.5" customHeight="1">
      <c r="B223" s="6"/>
    </row>
    <row r="224" spans="2:2" ht="28.5" customHeight="1">
      <c r="B224" s="6"/>
    </row>
    <row r="225" spans="2:2" ht="28.5" customHeight="1">
      <c r="B225" s="6"/>
    </row>
    <row r="226" spans="2:2" ht="28.5" customHeight="1">
      <c r="B226" s="6"/>
    </row>
    <row r="227" spans="2:2" ht="28.5" customHeight="1">
      <c r="B227" s="6"/>
    </row>
    <row r="228" spans="2:2" ht="28.5" customHeight="1">
      <c r="B228" s="6"/>
    </row>
    <row r="229" spans="2:2" ht="28.5" customHeight="1">
      <c r="B229" s="6"/>
    </row>
    <row r="230" spans="2:2" ht="28.5" customHeight="1">
      <c r="B230" s="6"/>
    </row>
    <row r="231" spans="2:2" ht="28.5" customHeight="1">
      <c r="B231" s="6"/>
    </row>
    <row r="232" spans="2:2" ht="28.5" customHeight="1">
      <c r="B232" s="6"/>
    </row>
    <row r="233" spans="2:2" ht="28.5" customHeight="1">
      <c r="B233" s="6"/>
    </row>
    <row r="234" spans="2:2" ht="28.5" customHeight="1">
      <c r="B234" s="6"/>
    </row>
    <row r="235" spans="2:2" ht="28.5" customHeight="1">
      <c r="B235" s="6"/>
    </row>
    <row r="236" spans="2:2" ht="28.5" customHeight="1">
      <c r="B236" s="6"/>
    </row>
    <row r="237" spans="2:2" ht="28.5" customHeight="1">
      <c r="B237" s="6"/>
    </row>
    <row r="238" spans="2:2" ht="28.5" customHeight="1">
      <c r="B238" s="15"/>
    </row>
    <row r="239" spans="2:2" ht="28.5" customHeight="1">
      <c r="B239" s="6"/>
    </row>
    <row r="240" spans="2:2" ht="28.5" customHeight="1">
      <c r="B240" s="6"/>
    </row>
    <row r="241" spans="2:2" ht="28.5" customHeight="1">
      <c r="B241" s="6"/>
    </row>
    <row r="242" spans="2:2" ht="28.5" customHeight="1">
      <c r="B242" s="6"/>
    </row>
    <row r="243" spans="2:2" ht="28.5" customHeight="1">
      <c r="B243" s="6"/>
    </row>
    <row r="244" spans="2:2" ht="28.5" customHeight="1">
      <c r="B244" s="6"/>
    </row>
    <row r="245" spans="2:2" ht="28.5" customHeight="1">
      <c r="B245" s="9"/>
    </row>
    <row r="246" spans="2:2" ht="28.5" customHeight="1">
      <c r="B246" s="6"/>
    </row>
    <row r="247" spans="2:2" ht="28.5" customHeight="1">
      <c r="B247" s="8"/>
    </row>
    <row r="248" spans="2:2" ht="28.5" customHeight="1">
      <c r="B248" s="6"/>
    </row>
    <row r="249" spans="2:2" ht="28.5" customHeight="1">
      <c r="B249" s="6"/>
    </row>
    <row r="250" spans="2:2" ht="28.5" customHeight="1">
      <c r="B250" s="6"/>
    </row>
    <row r="251" spans="2:2" ht="28.5" customHeight="1">
      <c r="B251" s="6"/>
    </row>
    <row r="252" spans="2:2" ht="28.5" customHeight="1">
      <c r="B252" s="6"/>
    </row>
    <row r="253" spans="2:2" ht="28.5" customHeight="1">
      <c r="B253" s="6"/>
    </row>
    <row r="254" spans="2:2" ht="28.5" customHeight="1">
      <c r="B254" s="6"/>
    </row>
    <row r="255" spans="2:2" ht="28.5" customHeight="1">
      <c r="B255" s="6"/>
    </row>
    <row r="256" spans="2:2" ht="28.5" customHeight="1">
      <c r="B256" s="6"/>
    </row>
    <row r="257" spans="2:2" ht="28.5" customHeight="1">
      <c r="B257" s="6"/>
    </row>
    <row r="258" spans="2:2" ht="28.5" customHeight="1">
      <c r="B258" s="6"/>
    </row>
    <row r="259" spans="2:2" ht="28.5" customHeight="1">
      <c r="B259" s="11"/>
    </row>
    <row r="260" spans="2:2" ht="28.5" customHeight="1">
      <c r="B260" s="6"/>
    </row>
    <row r="261" spans="2:2" ht="28.5" customHeight="1">
      <c r="B261" s="9"/>
    </row>
    <row r="262" spans="2:2" ht="28.5" customHeight="1">
      <c r="B262" s="6"/>
    </row>
    <row r="263" spans="2:2" ht="28.5" customHeight="1">
      <c r="B263" s="6"/>
    </row>
    <row r="264" spans="2:2" ht="28.5" customHeight="1">
      <c r="B264" s="6"/>
    </row>
    <row r="265" spans="2:2" ht="28.5" customHeight="1">
      <c r="B265" s="6"/>
    </row>
    <row r="266" spans="2:2" ht="28.5" customHeight="1">
      <c r="B266" s="9"/>
    </row>
    <row r="267" spans="2:2" ht="28.5" customHeight="1">
      <c r="B267" s="6"/>
    </row>
    <row r="268" spans="2:2" ht="28.5" customHeight="1">
      <c r="B268" s="6"/>
    </row>
  </sheetData>
  <conditionalFormatting sqref="B1:B1048576">
    <cfRule type="duplicateValues" dxfId="0" priority="1"/>
  </conditionalFormatting>
  <hyperlinks>
    <hyperlink ref="A2" r:id="rId1" xr:uid="{AD4DB427-C95B-4B88-8202-C61E4DF89D32}"/>
    <hyperlink ref="A3" r:id="rId2" xr:uid="{29C67278-5DE2-4E1B-AF5F-F42ECCE5D64E}"/>
    <hyperlink ref="A4" r:id="rId3" xr:uid="{8B016A07-222C-447F-85A5-6A77C39DD670}"/>
    <hyperlink ref="A5" r:id="rId4" xr:uid="{D2A91DE9-14BC-4FBF-85FE-6E757E7CC4E7}"/>
    <hyperlink ref="A6" r:id="rId5" xr:uid="{6E0C606D-6B35-43F1-B210-12A6AEABED30}"/>
    <hyperlink ref="A7" r:id="rId6" xr:uid="{42D33CB6-249E-4A49-A597-8ADA2E89E169}"/>
    <hyperlink ref="A8" r:id="rId7" xr:uid="{EB61F7D5-E3D2-4D7C-A0F0-A6ABD062DC27}"/>
    <hyperlink ref="A9" r:id="rId8" xr:uid="{0ACEF86F-7652-48A7-AF60-3D31B414357D}"/>
    <hyperlink ref="A10" r:id="rId9" xr:uid="{17C2A4C7-8660-4DBF-9AAA-73590E4D8CE6}"/>
    <hyperlink ref="A11" r:id="rId10" xr:uid="{92563FE1-8090-4F71-816A-0A5DDD4E3C42}"/>
    <hyperlink ref="A12" r:id="rId11" xr:uid="{779CD003-181F-43C6-980C-8EDC1BB1E2C7}"/>
    <hyperlink ref="A13" r:id="rId12" xr:uid="{26F24B8C-8F53-4C3D-ACAE-FE4020EAED3A}"/>
    <hyperlink ref="A14" r:id="rId13" xr:uid="{082BD227-00B2-4352-961C-B83CF82F965F}"/>
    <hyperlink ref="A15" r:id="rId14" xr:uid="{5A293680-B62D-41A9-90DA-EED4F2986FE8}"/>
    <hyperlink ref="A16" r:id="rId15" xr:uid="{7D08C78F-CE4B-4CA1-A2B4-B10E09E8E9EB}"/>
    <hyperlink ref="A17" r:id="rId16" xr:uid="{AC579CA9-872A-46C2-92D5-8EAE2289AD64}"/>
    <hyperlink ref="A18" r:id="rId17" xr:uid="{4DF7DE1D-49F4-49B9-B00D-439FA8BF7426}"/>
    <hyperlink ref="A19" r:id="rId18" xr:uid="{095C4ABF-3E25-497C-812B-73DBF34BD293}"/>
    <hyperlink ref="A20" r:id="rId19" xr:uid="{D00DB5A0-A84B-4588-BB75-6574F9F9D602}"/>
    <hyperlink ref="A21" r:id="rId20" xr:uid="{E90BABB9-0B1E-44A6-9404-B793651C8B72}"/>
    <hyperlink ref="A22" r:id="rId21" xr:uid="{342C0E52-F3C6-4FA2-95B0-C2908E7EE206}"/>
    <hyperlink ref="A23" r:id="rId22" xr:uid="{BAAE1142-94ED-4242-BE10-51E5F1772407}"/>
    <hyperlink ref="A24" r:id="rId23" xr:uid="{062A9A6E-26A0-424F-AE52-951D7E755051}"/>
    <hyperlink ref="A25" r:id="rId24" xr:uid="{1DD775D8-83F7-498C-A171-50E3727D0F9E}"/>
    <hyperlink ref="A26" r:id="rId25" xr:uid="{E80DDF5E-670D-4396-B03D-96A00A11CEC0}"/>
    <hyperlink ref="A27" r:id="rId26" xr:uid="{CC92E13F-07DA-463B-ABF9-6DBD9FFF8B14}"/>
    <hyperlink ref="A28" r:id="rId27" xr:uid="{D82DDBA6-6AF2-40F6-A7ED-1C9AF3FAE90F}"/>
    <hyperlink ref="A29" r:id="rId28" xr:uid="{269401B6-8FC0-49CC-8AE4-515E4CBA4969}"/>
    <hyperlink ref="A30" r:id="rId29" xr:uid="{DA89328E-53D5-46BD-96F0-B43F56C86B11}"/>
    <hyperlink ref="A31" r:id="rId30" xr:uid="{633A5360-ACB5-4CDB-91E1-9E024D01A74E}"/>
    <hyperlink ref="A32" r:id="rId31" xr:uid="{508B4BDC-840B-42B3-B040-021F8DAA57EC}"/>
  </hyperlinks>
  <pageMargins left="0.7" right="0.7" top="0.75" bottom="0.75" header="0.3" footer="0.3"/>
  <headerFooter>
    <oddFooter>&amp;L_x000D_&amp;1#&amp;"Aptos"&amp;10&amp;K000000 DC2 -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E3C9-3FE2-4EDF-8F93-B2BA0A55CD4C}">
  <dimension ref="A1:D232"/>
  <sheetViews>
    <sheetView topLeftCell="A131" workbookViewId="0">
      <selection activeCell="I180" sqref="I180"/>
    </sheetView>
  </sheetViews>
  <sheetFormatPr defaultRowHeight="24.75" customHeight="1"/>
  <cols>
    <col min="1" max="1" width="15.5703125" customWidth="1"/>
    <col min="2" max="2" width="22.85546875" customWidth="1"/>
    <col min="3" max="3" width="40.5703125" customWidth="1"/>
    <col min="4" max="4" width="38.85546875" customWidth="1"/>
  </cols>
  <sheetData>
    <row r="1" spans="1:4" ht="24.75" customHeight="1">
      <c r="A1" s="16" t="s">
        <v>152</v>
      </c>
      <c r="B1" s="16" t="s">
        <v>153</v>
      </c>
      <c r="C1" s="16" t="s">
        <v>154</v>
      </c>
      <c r="D1" s="16" t="s">
        <v>155</v>
      </c>
    </row>
    <row r="2" spans="1:4" ht="24.75" customHeight="1">
      <c r="A2" s="6" t="s">
        <v>156</v>
      </c>
      <c r="B2" s="6" t="s">
        <v>157</v>
      </c>
      <c r="C2" s="6" t="s">
        <v>158</v>
      </c>
      <c r="D2" s="7" t="s">
        <v>159</v>
      </c>
    </row>
    <row r="3" spans="1:4" ht="24.75" customHeight="1">
      <c r="A3" s="6" t="s">
        <v>160</v>
      </c>
      <c r="B3" s="6" t="s">
        <v>161</v>
      </c>
      <c r="C3" s="6" t="s">
        <v>162</v>
      </c>
      <c r="D3" s="6" t="s">
        <v>163</v>
      </c>
    </row>
    <row r="4" spans="1:4" ht="24.75" customHeight="1">
      <c r="A4" s="6" t="s">
        <v>164</v>
      </c>
      <c r="B4" s="6" t="s">
        <v>165</v>
      </c>
      <c r="C4" s="6" t="s">
        <v>166</v>
      </c>
      <c r="D4" s="6" t="s">
        <v>167</v>
      </c>
    </row>
    <row r="5" spans="1:4" ht="24.75" customHeight="1">
      <c r="A5" s="6" t="s">
        <v>168</v>
      </c>
      <c r="B5" s="6" t="s">
        <v>169</v>
      </c>
      <c r="C5" s="6" t="s">
        <v>170</v>
      </c>
      <c r="D5" s="6" t="s">
        <v>171</v>
      </c>
    </row>
    <row r="6" spans="1:4" ht="24.75" customHeight="1">
      <c r="A6" s="6" t="s">
        <v>172</v>
      </c>
      <c r="B6" s="6" t="s">
        <v>173</v>
      </c>
      <c r="C6" s="6" t="s">
        <v>174</v>
      </c>
      <c r="D6" s="6" t="s">
        <v>13</v>
      </c>
    </row>
    <row r="7" spans="1:4" ht="24.75" customHeight="1">
      <c r="A7" s="6" t="s">
        <v>175</v>
      </c>
      <c r="B7" s="6" t="s">
        <v>176</v>
      </c>
      <c r="C7" s="6" t="s">
        <v>177</v>
      </c>
      <c r="D7" s="7" t="s">
        <v>178</v>
      </c>
    </row>
    <row r="8" spans="1:4" ht="24.75" customHeight="1">
      <c r="A8" s="6" t="s">
        <v>179</v>
      </c>
      <c r="B8" s="6" t="s">
        <v>176</v>
      </c>
      <c r="C8" s="6" t="s">
        <v>180</v>
      </c>
      <c r="D8" s="7" t="s">
        <v>178</v>
      </c>
    </row>
    <row r="9" spans="1:4" ht="24.75" customHeight="1">
      <c r="A9" s="6" t="s">
        <v>181</v>
      </c>
      <c r="B9" s="6" t="s">
        <v>182</v>
      </c>
      <c r="C9" s="6" t="s">
        <v>183</v>
      </c>
      <c r="D9" s="6" t="s">
        <v>184</v>
      </c>
    </row>
    <row r="10" spans="1:4" ht="24.75" customHeight="1">
      <c r="A10" s="6" t="s">
        <v>185</v>
      </c>
      <c r="B10" s="6" t="s">
        <v>186</v>
      </c>
      <c r="C10" s="6" t="s">
        <v>187</v>
      </c>
      <c r="D10" s="6" t="s">
        <v>188</v>
      </c>
    </row>
    <row r="11" spans="1:4" ht="24.75" customHeight="1">
      <c r="A11" s="6" t="s">
        <v>189</v>
      </c>
      <c r="B11" s="6" t="s">
        <v>190</v>
      </c>
      <c r="C11" s="6" t="s">
        <v>191</v>
      </c>
      <c r="D11" s="6" t="s">
        <v>167</v>
      </c>
    </row>
    <row r="12" spans="1:4" ht="24.75" customHeight="1">
      <c r="A12" s="6" t="s">
        <v>192</v>
      </c>
      <c r="B12" s="6" t="s">
        <v>193</v>
      </c>
      <c r="C12" s="6" t="s">
        <v>194</v>
      </c>
      <c r="D12" s="6" t="s">
        <v>195</v>
      </c>
    </row>
    <row r="13" spans="1:4" ht="24.75" customHeight="1">
      <c r="A13" s="6" t="s">
        <v>196</v>
      </c>
      <c r="B13" s="6" t="s">
        <v>197</v>
      </c>
      <c r="C13" s="6" t="s">
        <v>198</v>
      </c>
      <c r="D13" s="6" t="s">
        <v>167</v>
      </c>
    </row>
    <row r="14" spans="1:4" ht="24.75" customHeight="1">
      <c r="A14" s="6" t="s">
        <v>199</v>
      </c>
      <c r="B14" s="6" t="s">
        <v>200</v>
      </c>
      <c r="C14" s="6" t="s">
        <v>201</v>
      </c>
      <c r="D14" s="6" t="s">
        <v>202</v>
      </c>
    </row>
    <row r="15" spans="1:4" ht="24.75" customHeight="1">
      <c r="A15" s="6" t="s">
        <v>203</v>
      </c>
      <c r="B15" s="6" t="s">
        <v>204</v>
      </c>
      <c r="C15" s="6" t="s">
        <v>205</v>
      </c>
      <c r="D15" s="6" t="s">
        <v>167</v>
      </c>
    </row>
    <row r="16" spans="1:4" ht="24.75" customHeight="1">
      <c r="A16" s="6" t="s">
        <v>206</v>
      </c>
      <c r="B16" s="6" t="s">
        <v>207</v>
      </c>
      <c r="C16" s="6" t="s">
        <v>208</v>
      </c>
      <c r="D16" s="6" t="s">
        <v>209</v>
      </c>
    </row>
    <row r="17" spans="1:4" ht="24.75" customHeight="1">
      <c r="A17" s="6" t="s">
        <v>210</v>
      </c>
      <c r="B17" s="6" t="s">
        <v>211</v>
      </c>
      <c r="C17" s="6" t="s">
        <v>212</v>
      </c>
      <c r="D17" s="6" t="s">
        <v>213</v>
      </c>
    </row>
    <row r="18" spans="1:4" ht="24.75" customHeight="1">
      <c r="A18" s="6" t="s">
        <v>214</v>
      </c>
      <c r="B18" s="6" t="s">
        <v>215</v>
      </c>
      <c r="C18" s="6" t="s">
        <v>216</v>
      </c>
      <c r="D18" s="6" t="s">
        <v>217</v>
      </c>
    </row>
    <row r="19" spans="1:4" ht="24.75" customHeight="1">
      <c r="A19" s="6" t="s">
        <v>218</v>
      </c>
      <c r="B19" s="6" t="s">
        <v>219</v>
      </c>
      <c r="C19" s="6" t="s">
        <v>220</v>
      </c>
      <c r="D19" s="6" t="s">
        <v>167</v>
      </c>
    </row>
    <row r="20" spans="1:4" ht="24.75" customHeight="1">
      <c r="A20" s="6" t="s">
        <v>175</v>
      </c>
      <c r="B20" s="6" t="s">
        <v>221</v>
      </c>
      <c r="C20" s="8" t="s">
        <v>222</v>
      </c>
      <c r="D20" s="6" t="s">
        <v>223</v>
      </c>
    </row>
    <row r="21" spans="1:4" ht="24.75" customHeight="1">
      <c r="A21" s="9" t="s">
        <v>224</v>
      </c>
      <c r="B21" s="6" t="s">
        <v>225</v>
      </c>
      <c r="C21" s="6" t="s">
        <v>226</v>
      </c>
      <c r="D21" s="6" t="s">
        <v>227</v>
      </c>
    </row>
    <row r="22" spans="1:4" ht="24.75" customHeight="1">
      <c r="A22" s="6" t="s">
        <v>228</v>
      </c>
      <c r="B22" s="6" t="s">
        <v>229</v>
      </c>
      <c r="C22" s="6" t="s">
        <v>230</v>
      </c>
      <c r="D22" s="6" t="s">
        <v>231</v>
      </c>
    </row>
    <row r="23" spans="1:4" ht="24.75" customHeight="1">
      <c r="A23" s="6" t="s">
        <v>232</v>
      </c>
      <c r="B23" s="6" t="s">
        <v>233</v>
      </c>
      <c r="C23" s="6" t="s">
        <v>234</v>
      </c>
      <c r="D23" s="6" t="s">
        <v>235</v>
      </c>
    </row>
    <row r="24" spans="1:4" ht="24.75" customHeight="1">
      <c r="A24" s="6" t="s">
        <v>236</v>
      </c>
      <c r="B24" s="6" t="s">
        <v>237</v>
      </c>
      <c r="C24" s="10" t="s">
        <v>238</v>
      </c>
      <c r="D24" s="6" t="s">
        <v>13</v>
      </c>
    </row>
    <row r="25" spans="1:4" ht="24.75" customHeight="1">
      <c r="A25" s="6" t="s">
        <v>239</v>
      </c>
      <c r="B25" s="6" t="s">
        <v>240</v>
      </c>
      <c r="C25" s="6" t="s">
        <v>241</v>
      </c>
      <c r="D25" s="6" t="s">
        <v>140</v>
      </c>
    </row>
    <row r="26" spans="1:4" ht="24.75" customHeight="1">
      <c r="A26" s="6" t="s">
        <v>242</v>
      </c>
      <c r="B26" s="6" t="s">
        <v>243</v>
      </c>
      <c r="C26" s="6" t="s">
        <v>244</v>
      </c>
      <c r="D26" s="6" t="s">
        <v>245</v>
      </c>
    </row>
    <row r="27" spans="1:4" ht="24.75" customHeight="1">
      <c r="A27" s="6" t="s">
        <v>246</v>
      </c>
      <c r="B27" s="6" t="s">
        <v>247</v>
      </c>
      <c r="C27" s="6" t="s">
        <v>248</v>
      </c>
      <c r="D27" s="6" t="s">
        <v>249</v>
      </c>
    </row>
    <row r="28" spans="1:4" ht="24.75" customHeight="1">
      <c r="A28" s="6" t="s">
        <v>250</v>
      </c>
      <c r="B28" s="6" t="s">
        <v>251</v>
      </c>
      <c r="C28" s="9" t="s">
        <v>252</v>
      </c>
      <c r="D28" s="6" t="s">
        <v>253</v>
      </c>
    </row>
    <row r="29" spans="1:4" ht="24.75" customHeight="1">
      <c r="A29" s="6" t="s">
        <v>254</v>
      </c>
      <c r="B29" s="6" t="s">
        <v>255</v>
      </c>
      <c r="C29" s="6" t="s">
        <v>256</v>
      </c>
      <c r="D29" s="6" t="s">
        <v>257</v>
      </c>
    </row>
    <row r="30" spans="1:4" ht="24.75" customHeight="1">
      <c r="A30" s="6" t="s">
        <v>258</v>
      </c>
      <c r="B30" s="6" t="s">
        <v>259</v>
      </c>
      <c r="C30" s="6" t="s">
        <v>260</v>
      </c>
      <c r="D30" s="6" t="s">
        <v>167</v>
      </c>
    </row>
    <row r="31" spans="1:4" ht="24.75" customHeight="1">
      <c r="A31" s="6" t="s">
        <v>261</v>
      </c>
      <c r="B31" s="6" t="s">
        <v>262</v>
      </c>
      <c r="C31" s="6" t="s">
        <v>263</v>
      </c>
      <c r="D31" s="6" t="s">
        <v>264</v>
      </c>
    </row>
    <row r="32" spans="1:4" ht="24.75" customHeight="1">
      <c r="A32" s="6" t="s">
        <v>265</v>
      </c>
      <c r="B32" s="6" t="s">
        <v>266</v>
      </c>
      <c r="C32" s="6" t="s">
        <v>267</v>
      </c>
      <c r="D32" s="6" t="s">
        <v>184</v>
      </c>
    </row>
    <row r="33" spans="1:4" ht="24.75" customHeight="1">
      <c r="A33" s="6" t="s">
        <v>268</v>
      </c>
      <c r="B33" s="6" t="s">
        <v>269</v>
      </c>
      <c r="C33" s="6" t="s">
        <v>270</v>
      </c>
      <c r="D33" s="6" t="s">
        <v>271</v>
      </c>
    </row>
    <row r="34" spans="1:4" ht="24.75" customHeight="1">
      <c r="A34" s="6" t="s">
        <v>272</v>
      </c>
      <c r="B34" s="6" t="s">
        <v>273</v>
      </c>
      <c r="C34" s="6" t="s">
        <v>274</v>
      </c>
      <c r="D34" s="6" t="s">
        <v>275</v>
      </c>
    </row>
    <row r="35" spans="1:4" ht="24.75" customHeight="1">
      <c r="A35" s="6" t="s">
        <v>276</v>
      </c>
      <c r="B35" s="6" t="s">
        <v>277</v>
      </c>
      <c r="C35" s="6" t="s">
        <v>278</v>
      </c>
      <c r="D35" s="6" t="s">
        <v>279</v>
      </c>
    </row>
    <row r="36" spans="1:4" ht="24.75" customHeight="1">
      <c r="A36" s="6" t="s">
        <v>280</v>
      </c>
      <c r="B36" s="6" t="s">
        <v>281</v>
      </c>
      <c r="C36" s="6" t="s">
        <v>282</v>
      </c>
      <c r="D36" s="6" t="s">
        <v>283</v>
      </c>
    </row>
    <row r="37" spans="1:4" ht="24.75" customHeight="1">
      <c r="A37" s="6" t="s">
        <v>284</v>
      </c>
      <c r="B37" s="6" t="s">
        <v>285</v>
      </c>
      <c r="C37" s="6" t="s">
        <v>286</v>
      </c>
      <c r="D37" s="6" t="s">
        <v>253</v>
      </c>
    </row>
    <row r="38" spans="1:4" ht="24.75" customHeight="1">
      <c r="A38" s="6" t="s">
        <v>287</v>
      </c>
      <c r="B38" s="6" t="s">
        <v>288</v>
      </c>
      <c r="C38" s="6" t="s">
        <v>289</v>
      </c>
      <c r="D38" s="6" t="s">
        <v>231</v>
      </c>
    </row>
    <row r="39" spans="1:4" ht="24.75" customHeight="1">
      <c r="A39" s="6" t="s">
        <v>290</v>
      </c>
      <c r="B39" s="6" t="s">
        <v>291</v>
      </c>
      <c r="C39" s="6" t="s">
        <v>292</v>
      </c>
      <c r="D39" s="6" t="s">
        <v>293</v>
      </c>
    </row>
    <row r="40" spans="1:4" ht="24.75" customHeight="1">
      <c r="A40" s="6" t="s">
        <v>192</v>
      </c>
      <c r="B40" s="6" t="s">
        <v>294</v>
      </c>
      <c r="C40" s="6" t="s">
        <v>295</v>
      </c>
      <c r="D40" s="6" t="s">
        <v>209</v>
      </c>
    </row>
    <row r="41" spans="1:4" ht="24.75" customHeight="1">
      <c r="A41" s="6" t="s">
        <v>296</v>
      </c>
      <c r="B41" s="6" t="s">
        <v>297</v>
      </c>
      <c r="C41" s="6" t="s">
        <v>298</v>
      </c>
      <c r="D41" s="7" t="s">
        <v>27</v>
      </c>
    </row>
    <row r="42" spans="1:4" ht="24.75" customHeight="1">
      <c r="A42" s="6" t="s">
        <v>299</v>
      </c>
      <c r="B42" s="6" t="s">
        <v>300</v>
      </c>
      <c r="C42" s="6" t="s">
        <v>301</v>
      </c>
      <c r="D42" s="6" t="s">
        <v>302</v>
      </c>
    </row>
    <row r="43" spans="1:4" ht="24.75" customHeight="1">
      <c r="A43" s="6" t="s">
        <v>265</v>
      </c>
      <c r="B43" s="6" t="s">
        <v>303</v>
      </c>
      <c r="C43" s="6" t="s">
        <v>304</v>
      </c>
      <c r="D43" s="6" t="s">
        <v>32</v>
      </c>
    </row>
    <row r="44" spans="1:4" ht="24.75" customHeight="1">
      <c r="A44" s="6" t="s">
        <v>305</v>
      </c>
      <c r="B44" s="6" t="s">
        <v>306</v>
      </c>
      <c r="C44" s="9" t="s">
        <v>307</v>
      </c>
      <c r="D44" s="6" t="s">
        <v>308</v>
      </c>
    </row>
    <row r="45" spans="1:4" ht="24.75" customHeight="1">
      <c r="A45" s="6" t="s">
        <v>309</v>
      </c>
      <c r="B45" s="6" t="s">
        <v>310</v>
      </c>
      <c r="C45" s="6" t="s">
        <v>311</v>
      </c>
      <c r="D45" s="6" t="s">
        <v>209</v>
      </c>
    </row>
    <row r="46" spans="1:4" ht="24.75" customHeight="1">
      <c r="A46" s="6" t="s">
        <v>312</v>
      </c>
      <c r="B46" s="6" t="s">
        <v>313</v>
      </c>
      <c r="C46" s="6" t="s">
        <v>314</v>
      </c>
      <c r="D46" s="6" t="s">
        <v>128</v>
      </c>
    </row>
    <row r="47" spans="1:4" ht="24.75" customHeight="1">
      <c r="A47" s="6" t="s">
        <v>315</v>
      </c>
      <c r="B47" s="6" t="s">
        <v>316</v>
      </c>
      <c r="C47" s="6" t="s">
        <v>317</v>
      </c>
      <c r="D47" s="6" t="s">
        <v>140</v>
      </c>
    </row>
    <row r="48" spans="1:4" ht="24.75" customHeight="1">
      <c r="A48" s="6" t="s">
        <v>318</v>
      </c>
      <c r="B48" s="6" t="s">
        <v>319</v>
      </c>
      <c r="C48" s="6" t="s">
        <v>320</v>
      </c>
      <c r="D48" s="6" t="s">
        <v>321</v>
      </c>
    </row>
    <row r="49" spans="1:4" ht="24.75" customHeight="1">
      <c r="A49" s="6" t="s">
        <v>322</v>
      </c>
      <c r="B49" s="6" t="s">
        <v>323</v>
      </c>
      <c r="C49" s="6" t="s">
        <v>324</v>
      </c>
      <c r="D49" s="6" t="s">
        <v>167</v>
      </c>
    </row>
    <row r="50" spans="1:4" ht="24.75" customHeight="1">
      <c r="A50" s="6" t="s">
        <v>325</v>
      </c>
      <c r="B50" s="6" t="s">
        <v>326</v>
      </c>
      <c r="C50" s="6" t="s">
        <v>327</v>
      </c>
      <c r="D50" s="6" t="s">
        <v>328</v>
      </c>
    </row>
    <row r="51" spans="1:4" ht="24.75" customHeight="1">
      <c r="A51" s="6" t="s">
        <v>329</v>
      </c>
      <c r="B51" s="6" t="s">
        <v>330</v>
      </c>
      <c r="C51" s="6" t="s">
        <v>331</v>
      </c>
      <c r="D51" s="6" t="s">
        <v>332</v>
      </c>
    </row>
    <row r="52" spans="1:4" ht="24.75" customHeight="1">
      <c r="A52" s="6" t="s">
        <v>333</v>
      </c>
      <c r="B52" s="6" t="s">
        <v>334</v>
      </c>
      <c r="C52" s="11" t="s">
        <v>335</v>
      </c>
      <c r="D52" s="6" t="s">
        <v>13</v>
      </c>
    </row>
    <row r="53" spans="1:4" ht="24.75" customHeight="1">
      <c r="A53" s="6" t="s">
        <v>336</v>
      </c>
      <c r="B53" s="6" t="s">
        <v>337</v>
      </c>
      <c r="C53" s="6" t="s">
        <v>338</v>
      </c>
      <c r="D53" s="6" t="s">
        <v>167</v>
      </c>
    </row>
    <row r="54" spans="1:4" ht="24.75" customHeight="1">
      <c r="A54" s="6" t="s">
        <v>196</v>
      </c>
      <c r="B54" s="6" t="s">
        <v>339</v>
      </c>
      <c r="C54" s="6" t="s">
        <v>340</v>
      </c>
      <c r="D54" s="6" t="s">
        <v>341</v>
      </c>
    </row>
    <row r="55" spans="1:4" ht="24.75" customHeight="1">
      <c r="A55" s="6" t="s">
        <v>342</v>
      </c>
      <c r="B55" s="6" t="s">
        <v>343</v>
      </c>
      <c r="C55" s="6" t="s">
        <v>344</v>
      </c>
      <c r="D55" s="6" t="s">
        <v>345</v>
      </c>
    </row>
    <row r="56" spans="1:4" ht="24.75" customHeight="1">
      <c r="A56" s="6" t="s">
        <v>346</v>
      </c>
      <c r="B56" s="6" t="s">
        <v>347</v>
      </c>
      <c r="C56" s="6" t="s">
        <v>348</v>
      </c>
      <c r="D56" s="6" t="s">
        <v>279</v>
      </c>
    </row>
    <row r="57" spans="1:4" ht="24.75" customHeight="1">
      <c r="A57" s="6" t="s">
        <v>349</v>
      </c>
      <c r="B57" s="6" t="s">
        <v>350</v>
      </c>
      <c r="C57" s="6" t="s">
        <v>351</v>
      </c>
      <c r="D57" s="7" t="s">
        <v>352</v>
      </c>
    </row>
    <row r="58" spans="1:4" ht="24.75" customHeight="1">
      <c r="A58" s="6" t="s">
        <v>353</v>
      </c>
      <c r="B58" s="6" t="s">
        <v>354</v>
      </c>
      <c r="C58" s="6" t="s">
        <v>355</v>
      </c>
      <c r="D58" s="6" t="s">
        <v>356</v>
      </c>
    </row>
    <row r="59" spans="1:4" ht="24.75" customHeight="1">
      <c r="A59" s="6" t="s">
        <v>236</v>
      </c>
      <c r="B59" s="6" t="s">
        <v>357</v>
      </c>
      <c r="C59" s="6" t="s">
        <v>358</v>
      </c>
      <c r="D59" s="6" t="s">
        <v>171</v>
      </c>
    </row>
    <row r="60" spans="1:4" ht="24.75" customHeight="1">
      <c r="A60" s="6" t="s">
        <v>359</v>
      </c>
      <c r="B60" s="6" t="s">
        <v>360</v>
      </c>
      <c r="C60" s="6" t="s">
        <v>361</v>
      </c>
      <c r="D60" s="6" t="s">
        <v>140</v>
      </c>
    </row>
    <row r="61" spans="1:4" ht="24.75" customHeight="1">
      <c r="A61" s="6" t="s">
        <v>362</v>
      </c>
      <c r="B61" s="6" t="s">
        <v>363</v>
      </c>
      <c r="C61" s="6" t="s">
        <v>364</v>
      </c>
      <c r="D61" s="6" t="s">
        <v>365</v>
      </c>
    </row>
    <row r="62" spans="1:4" ht="24.75" customHeight="1">
      <c r="A62" s="6" t="s">
        <v>366</v>
      </c>
      <c r="B62" s="6" t="s">
        <v>367</v>
      </c>
      <c r="C62" s="6" t="s">
        <v>368</v>
      </c>
      <c r="D62" s="6" t="s">
        <v>369</v>
      </c>
    </row>
    <row r="63" spans="1:4" ht="24.75" customHeight="1">
      <c r="A63" s="6" t="s">
        <v>370</v>
      </c>
      <c r="B63" s="6" t="s">
        <v>371</v>
      </c>
      <c r="C63" s="6" t="s">
        <v>372</v>
      </c>
      <c r="D63" s="6" t="s">
        <v>365</v>
      </c>
    </row>
    <row r="64" spans="1:4" ht="24.75" customHeight="1">
      <c r="A64" s="6" t="s">
        <v>373</v>
      </c>
      <c r="B64" s="6" t="s">
        <v>374</v>
      </c>
      <c r="C64" s="6" t="s">
        <v>375</v>
      </c>
      <c r="D64" s="6" t="s">
        <v>376</v>
      </c>
    </row>
    <row r="65" spans="1:4" ht="24.75" customHeight="1">
      <c r="A65" s="6" t="s">
        <v>377</v>
      </c>
      <c r="B65" s="6" t="s">
        <v>378</v>
      </c>
      <c r="C65" s="6" t="s">
        <v>379</v>
      </c>
      <c r="D65" s="6" t="s">
        <v>128</v>
      </c>
    </row>
    <row r="66" spans="1:4" ht="24.75" customHeight="1">
      <c r="A66" s="12" t="s">
        <v>380</v>
      </c>
      <c r="B66" s="12" t="s">
        <v>381</v>
      </c>
      <c r="C66" s="12" t="s">
        <v>382</v>
      </c>
      <c r="D66" s="12" t="s">
        <v>171</v>
      </c>
    </row>
    <row r="67" spans="1:4" ht="24.75" customHeight="1">
      <c r="A67" s="6" t="s">
        <v>383</v>
      </c>
      <c r="B67" s="6" t="s">
        <v>384</v>
      </c>
      <c r="C67" s="6" t="s">
        <v>385</v>
      </c>
      <c r="D67" s="6" t="s">
        <v>386</v>
      </c>
    </row>
    <row r="68" spans="1:4" ht="24.75" customHeight="1">
      <c r="A68" s="6" t="s">
        <v>387</v>
      </c>
      <c r="B68" s="6" t="s">
        <v>388</v>
      </c>
      <c r="C68" s="13" t="s">
        <v>389</v>
      </c>
      <c r="D68" s="6" t="s">
        <v>390</v>
      </c>
    </row>
    <row r="69" spans="1:4" ht="24.75" customHeight="1">
      <c r="A69" s="6" t="s">
        <v>391</v>
      </c>
      <c r="B69" s="6" t="s">
        <v>392</v>
      </c>
      <c r="C69" s="14"/>
      <c r="D69" s="6" t="s">
        <v>393</v>
      </c>
    </row>
    <row r="70" spans="1:4" ht="24.75" customHeight="1">
      <c r="A70" s="6" t="s">
        <v>394</v>
      </c>
      <c r="B70" s="6" t="s">
        <v>395</v>
      </c>
      <c r="C70" s="6" t="s">
        <v>396</v>
      </c>
      <c r="D70" s="6" t="s">
        <v>167</v>
      </c>
    </row>
    <row r="71" spans="1:4" ht="24.75" customHeight="1">
      <c r="A71" s="6" t="s">
        <v>168</v>
      </c>
      <c r="B71" s="6" t="s">
        <v>397</v>
      </c>
      <c r="C71" s="6" t="s">
        <v>398</v>
      </c>
      <c r="D71" s="6" t="s">
        <v>399</v>
      </c>
    </row>
    <row r="72" spans="1:4" ht="24.75" customHeight="1">
      <c r="A72" s="6" t="s">
        <v>400</v>
      </c>
      <c r="B72" s="6" t="s">
        <v>401</v>
      </c>
      <c r="C72" s="6" t="s">
        <v>402</v>
      </c>
      <c r="D72" s="6" t="s">
        <v>293</v>
      </c>
    </row>
    <row r="73" spans="1:4" ht="24.75" customHeight="1">
      <c r="A73" s="6" t="s">
        <v>403</v>
      </c>
      <c r="B73" s="6" t="s">
        <v>404</v>
      </c>
      <c r="C73" s="6" t="s">
        <v>405</v>
      </c>
      <c r="D73" s="6" t="s">
        <v>406</v>
      </c>
    </row>
    <row r="74" spans="1:4" ht="24.75" customHeight="1">
      <c r="A74" s="6" t="s">
        <v>403</v>
      </c>
      <c r="B74" s="6" t="s">
        <v>404</v>
      </c>
      <c r="C74" s="6" t="s">
        <v>407</v>
      </c>
      <c r="D74" s="6" t="s">
        <v>406</v>
      </c>
    </row>
    <row r="75" spans="1:4" ht="24.75" customHeight="1">
      <c r="A75" s="6" t="s">
        <v>408</v>
      </c>
      <c r="B75" s="6" t="s">
        <v>409</v>
      </c>
      <c r="C75" s="6" t="s">
        <v>410</v>
      </c>
      <c r="D75" s="6" t="s">
        <v>411</v>
      </c>
    </row>
    <row r="76" spans="1:4" ht="24.75" customHeight="1">
      <c r="A76" s="6" t="s">
        <v>412</v>
      </c>
      <c r="B76" s="6" t="s">
        <v>409</v>
      </c>
      <c r="C76" s="6" t="s">
        <v>413</v>
      </c>
      <c r="D76" s="6" t="s">
        <v>411</v>
      </c>
    </row>
    <row r="77" spans="1:4" ht="24.75" customHeight="1">
      <c r="A77" s="9" t="s">
        <v>414</v>
      </c>
      <c r="B77" s="6" t="s">
        <v>415</v>
      </c>
      <c r="C77" s="6" t="s">
        <v>416</v>
      </c>
      <c r="D77" s="6" t="s">
        <v>227</v>
      </c>
    </row>
    <row r="78" spans="1:4" ht="24.75" customHeight="1">
      <c r="A78" s="6" t="s">
        <v>206</v>
      </c>
      <c r="B78" s="6" t="s">
        <v>417</v>
      </c>
      <c r="C78" s="6" t="s">
        <v>418</v>
      </c>
      <c r="D78" s="6" t="s">
        <v>167</v>
      </c>
    </row>
    <row r="79" spans="1:4" ht="24.75" customHeight="1">
      <c r="A79" s="6" t="s">
        <v>400</v>
      </c>
      <c r="B79" s="6" t="s">
        <v>419</v>
      </c>
      <c r="C79" s="6" t="s">
        <v>420</v>
      </c>
      <c r="D79" s="6" t="s">
        <v>128</v>
      </c>
    </row>
    <row r="80" spans="1:4" ht="24.75" customHeight="1">
      <c r="A80" s="6" t="s">
        <v>309</v>
      </c>
      <c r="B80" s="6" t="s">
        <v>421</v>
      </c>
      <c r="C80" s="6" t="s">
        <v>422</v>
      </c>
      <c r="D80" s="6" t="s">
        <v>195</v>
      </c>
    </row>
    <row r="81" spans="1:4" ht="24.75" customHeight="1">
      <c r="A81" s="6" t="s">
        <v>423</v>
      </c>
      <c r="B81" s="6" t="s">
        <v>424</v>
      </c>
      <c r="C81" s="6" t="s">
        <v>425</v>
      </c>
      <c r="D81" s="6" t="s">
        <v>426</v>
      </c>
    </row>
    <row r="82" spans="1:4" ht="24.75" customHeight="1">
      <c r="A82" s="6" t="s">
        <v>427</v>
      </c>
      <c r="B82" s="6" t="s">
        <v>428</v>
      </c>
      <c r="C82" s="6" t="s">
        <v>429</v>
      </c>
      <c r="D82" s="6" t="s">
        <v>332</v>
      </c>
    </row>
    <row r="83" spans="1:4" ht="24.75" customHeight="1">
      <c r="A83" s="6" t="s">
        <v>430</v>
      </c>
      <c r="B83" s="6" t="s">
        <v>431</v>
      </c>
      <c r="C83" s="6" t="s">
        <v>432</v>
      </c>
      <c r="D83" s="6" t="s">
        <v>184</v>
      </c>
    </row>
    <row r="84" spans="1:4" ht="24.75" customHeight="1">
      <c r="A84" s="6" t="s">
        <v>433</v>
      </c>
      <c r="B84" s="6" t="s">
        <v>434</v>
      </c>
      <c r="C84" s="6" t="s">
        <v>435</v>
      </c>
      <c r="D84" s="6" t="s">
        <v>195</v>
      </c>
    </row>
    <row r="85" spans="1:4" ht="24.75" customHeight="1">
      <c r="A85" s="9" t="s">
        <v>436</v>
      </c>
      <c r="B85" s="6" t="s">
        <v>437</v>
      </c>
      <c r="C85" s="6" t="s">
        <v>438</v>
      </c>
      <c r="D85" s="6" t="s">
        <v>439</v>
      </c>
    </row>
    <row r="86" spans="1:4" ht="24.75" customHeight="1">
      <c r="A86" s="6" t="s">
        <v>440</v>
      </c>
      <c r="B86" s="6" t="s">
        <v>441</v>
      </c>
      <c r="C86" s="6" t="s">
        <v>442</v>
      </c>
      <c r="D86" s="6" t="s">
        <v>443</v>
      </c>
    </row>
    <row r="87" spans="1:4" ht="24.75" customHeight="1">
      <c r="A87" s="6" t="s">
        <v>210</v>
      </c>
      <c r="B87" s="6" t="s">
        <v>444</v>
      </c>
      <c r="C87" s="6" t="s">
        <v>445</v>
      </c>
      <c r="D87" s="6" t="s">
        <v>231</v>
      </c>
    </row>
    <row r="88" spans="1:4" ht="24.75" customHeight="1">
      <c r="A88" s="6" t="s">
        <v>446</v>
      </c>
      <c r="B88" s="6" t="s">
        <v>447</v>
      </c>
      <c r="C88" s="6" t="s">
        <v>448</v>
      </c>
      <c r="D88" s="6" t="s">
        <v>171</v>
      </c>
    </row>
    <row r="89" spans="1:4" ht="24.75" customHeight="1">
      <c r="A89" s="6" t="s">
        <v>210</v>
      </c>
      <c r="B89" s="6" t="s">
        <v>449</v>
      </c>
      <c r="C89" s="6" t="s">
        <v>450</v>
      </c>
      <c r="D89" s="7" t="s">
        <v>451</v>
      </c>
    </row>
    <row r="90" spans="1:4" ht="24.75" customHeight="1">
      <c r="A90" s="6" t="s">
        <v>452</v>
      </c>
      <c r="B90" s="6" t="s">
        <v>453</v>
      </c>
      <c r="C90" s="6" t="s">
        <v>454</v>
      </c>
      <c r="D90" s="6" t="s">
        <v>167</v>
      </c>
    </row>
    <row r="91" spans="1:4" ht="24.75" customHeight="1">
      <c r="A91" s="6" t="s">
        <v>333</v>
      </c>
      <c r="B91" s="6" t="s">
        <v>455</v>
      </c>
      <c r="C91" s="6" t="s">
        <v>456</v>
      </c>
      <c r="D91" s="6" t="s">
        <v>457</v>
      </c>
    </row>
    <row r="92" spans="1:4" ht="24.75" customHeight="1">
      <c r="A92" s="6" t="s">
        <v>458</v>
      </c>
      <c r="B92" s="6" t="s">
        <v>459</v>
      </c>
      <c r="C92" s="6" t="s">
        <v>460</v>
      </c>
      <c r="D92" s="6" t="s">
        <v>461</v>
      </c>
    </row>
    <row r="93" spans="1:4" ht="24.75" customHeight="1">
      <c r="A93" s="6" t="s">
        <v>462</v>
      </c>
      <c r="B93" s="6" t="s">
        <v>463</v>
      </c>
      <c r="C93" s="6" t="s">
        <v>464</v>
      </c>
      <c r="D93" s="7" t="s">
        <v>451</v>
      </c>
    </row>
    <row r="94" spans="1:4" ht="24.75" customHeight="1">
      <c r="A94" s="6" t="s">
        <v>465</v>
      </c>
      <c r="B94" s="6" t="s">
        <v>466</v>
      </c>
      <c r="C94" s="6" t="s">
        <v>467</v>
      </c>
      <c r="D94" s="6" t="s">
        <v>468</v>
      </c>
    </row>
    <row r="95" spans="1:4" ht="24.75" customHeight="1">
      <c r="A95" s="6" t="s">
        <v>469</v>
      </c>
      <c r="B95" s="6" t="s">
        <v>470</v>
      </c>
      <c r="C95" s="6" t="s">
        <v>471</v>
      </c>
      <c r="D95" s="6" t="s">
        <v>328</v>
      </c>
    </row>
    <row r="96" spans="1:4" ht="24.75" customHeight="1">
      <c r="A96" s="6" t="s">
        <v>175</v>
      </c>
      <c r="B96" s="6" t="s">
        <v>472</v>
      </c>
      <c r="C96" s="6" t="s">
        <v>473</v>
      </c>
      <c r="D96" s="7" t="s">
        <v>474</v>
      </c>
    </row>
    <row r="97" spans="1:4" ht="24.75" customHeight="1">
      <c r="A97" s="6" t="s">
        <v>175</v>
      </c>
      <c r="B97" s="6" t="s">
        <v>475</v>
      </c>
      <c r="C97" s="6" t="s">
        <v>476</v>
      </c>
      <c r="D97" s="6" t="s">
        <v>477</v>
      </c>
    </row>
    <row r="98" spans="1:4" ht="24.75" customHeight="1">
      <c r="A98" s="6" t="s">
        <v>478</v>
      </c>
      <c r="B98" s="6" t="s">
        <v>479</v>
      </c>
      <c r="C98" s="6" t="s">
        <v>480</v>
      </c>
      <c r="D98" s="6" t="s">
        <v>481</v>
      </c>
    </row>
    <row r="99" spans="1:4" ht="24.75" customHeight="1">
      <c r="A99" s="6" t="s">
        <v>482</v>
      </c>
      <c r="B99" s="6" t="s">
        <v>483</v>
      </c>
      <c r="C99" s="6" t="s">
        <v>484</v>
      </c>
      <c r="D99" s="7" t="s">
        <v>485</v>
      </c>
    </row>
    <row r="100" spans="1:4" ht="24.75" customHeight="1">
      <c r="A100" s="6" t="s">
        <v>486</v>
      </c>
      <c r="B100" s="6" t="s">
        <v>487</v>
      </c>
      <c r="C100" s="6" t="s">
        <v>488</v>
      </c>
      <c r="D100" s="6" t="s">
        <v>264</v>
      </c>
    </row>
    <row r="101" spans="1:4" ht="24.75" customHeight="1">
      <c r="A101" s="6" t="s">
        <v>489</v>
      </c>
      <c r="B101" s="6" t="s">
        <v>490</v>
      </c>
      <c r="C101" s="6" t="s">
        <v>491</v>
      </c>
      <c r="D101" s="6" t="s">
        <v>227</v>
      </c>
    </row>
    <row r="102" spans="1:4" ht="24.75" customHeight="1">
      <c r="A102" s="6" t="s">
        <v>492</v>
      </c>
      <c r="B102" s="6" t="s">
        <v>493</v>
      </c>
      <c r="C102" s="6" t="s">
        <v>494</v>
      </c>
      <c r="D102" s="6" t="s">
        <v>202</v>
      </c>
    </row>
    <row r="103" spans="1:4" ht="24.75" customHeight="1">
      <c r="A103" s="6" t="s">
        <v>495</v>
      </c>
      <c r="B103" s="6" t="s">
        <v>496</v>
      </c>
      <c r="C103" s="6" t="s">
        <v>497</v>
      </c>
      <c r="D103" s="6" t="s">
        <v>498</v>
      </c>
    </row>
    <row r="104" spans="1:4" ht="24.75" customHeight="1">
      <c r="A104" s="6" t="s">
        <v>203</v>
      </c>
      <c r="B104" s="6" t="s">
        <v>499</v>
      </c>
      <c r="C104" s="6" t="s">
        <v>500</v>
      </c>
      <c r="D104" s="6" t="s">
        <v>245</v>
      </c>
    </row>
    <row r="105" spans="1:4" ht="24.75" customHeight="1">
      <c r="A105" s="6" t="s">
        <v>482</v>
      </c>
      <c r="B105" s="6" t="s">
        <v>499</v>
      </c>
      <c r="C105" s="6" t="s">
        <v>501</v>
      </c>
      <c r="D105" s="6" t="s">
        <v>502</v>
      </c>
    </row>
    <row r="106" spans="1:4" ht="24.75" customHeight="1">
      <c r="A106" s="6" t="s">
        <v>503</v>
      </c>
      <c r="B106" s="6" t="s">
        <v>499</v>
      </c>
      <c r="C106" s="6" t="s">
        <v>504</v>
      </c>
      <c r="D106" s="6" t="s">
        <v>293</v>
      </c>
    </row>
    <row r="107" spans="1:4" ht="24.75" customHeight="1">
      <c r="A107" s="6" t="s">
        <v>346</v>
      </c>
      <c r="B107" s="6" t="s">
        <v>505</v>
      </c>
      <c r="C107" s="9" t="s">
        <v>506</v>
      </c>
      <c r="D107" s="6" t="s">
        <v>507</v>
      </c>
    </row>
    <row r="108" spans="1:4" ht="24.75" customHeight="1">
      <c r="A108" s="6" t="s">
        <v>508</v>
      </c>
      <c r="B108" s="6" t="s">
        <v>509</v>
      </c>
      <c r="C108" s="6" t="s">
        <v>510</v>
      </c>
      <c r="D108" s="6" t="s">
        <v>511</v>
      </c>
    </row>
    <row r="109" spans="1:4" ht="24.75" customHeight="1">
      <c r="A109" s="6" t="s">
        <v>512</v>
      </c>
      <c r="B109" s="6" t="s">
        <v>509</v>
      </c>
      <c r="C109" s="6" t="s">
        <v>513</v>
      </c>
      <c r="D109" s="6" t="s">
        <v>511</v>
      </c>
    </row>
    <row r="110" spans="1:4" ht="24.75" customHeight="1">
      <c r="A110" s="6" t="s">
        <v>514</v>
      </c>
      <c r="B110" s="6" t="s">
        <v>515</v>
      </c>
      <c r="C110" s="6" t="s">
        <v>516</v>
      </c>
      <c r="D110" s="6" t="s">
        <v>167</v>
      </c>
    </row>
    <row r="111" spans="1:4" ht="24.75" customHeight="1">
      <c r="A111" s="6" t="s">
        <v>517</v>
      </c>
      <c r="B111" s="6" t="s">
        <v>518</v>
      </c>
      <c r="C111" s="6" t="s">
        <v>519</v>
      </c>
      <c r="D111" s="6" t="s">
        <v>328</v>
      </c>
    </row>
    <row r="112" spans="1:4" ht="24.75" customHeight="1">
      <c r="A112" s="6" t="s">
        <v>520</v>
      </c>
      <c r="B112" s="6" t="s">
        <v>521</v>
      </c>
      <c r="C112" s="6" t="s">
        <v>522</v>
      </c>
      <c r="D112" s="6" t="s">
        <v>13</v>
      </c>
    </row>
    <row r="113" spans="1:4" ht="24.75" customHeight="1">
      <c r="A113" s="6" t="s">
        <v>523</v>
      </c>
      <c r="B113" s="6" t="s">
        <v>524</v>
      </c>
      <c r="C113" s="6" t="s">
        <v>525</v>
      </c>
      <c r="D113" s="6" t="s">
        <v>526</v>
      </c>
    </row>
    <row r="114" spans="1:4" ht="24.75" customHeight="1">
      <c r="A114" s="6" t="s">
        <v>527</v>
      </c>
      <c r="B114" s="6" t="s">
        <v>528</v>
      </c>
      <c r="C114" s="6" t="s">
        <v>529</v>
      </c>
      <c r="D114" s="6" t="s">
        <v>393</v>
      </c>
    </row>
    <row r="115" spans="1:4" ht="24.75" customHeight="1">
      <c r="A115" s="6" t="s">
        <v>465</v>
      </c>
      <c r="B115" s="6" t="s">
        <v>530</v>
      </c>
      <c r="C115" s="6" t="s">
        <v>531</v>
      </c>
      <c r="D115" s="6" t="s">
        <v>321</v>
      </c>
    </row>
    <row r="116" spans="1:4" ht="24.75" customHeight="1">
      <c r="A116" s="6" t="s">
        <v>403</v>
      </c>
      <c r="B116" s="6" t="s">
        <v>532</v>
      </c>
      <c r="C116" s="6" t="s">
        <v>533</v>
      </c>
      <c r="D116" s="6" t="s">
        <v>534</v>
      </c>
    </row>
    <row r="117" spans="1:4" ht="24.75" customHeight="1">
      <c r="A117" s="6" t="s">
        <v>535</v>
      </c>
      <c r="B117" s="6" t="s">
        <v>536</v>
      </c>
      <c r="C117" s="6" t="s">
        <v>537</v>
      </c>
      <c r="D117" s="6" t="s">
        <v>538</v>
      </c>
    </row>
    <row r="118" spans="1:4" ht="24.75" customHeight="1">
      <c r="A118" s="6" t="s">
        <v>539</v>
      </c>
      <c r="B118" s="6" t="s">
        <v>540</v>
      </c>
      <c r="C118" s="6" t="s">
        <v>541</v>
      </c>
      <c r="D118" s="6" t="s">
        <v>542</v>
      </c>
    </row>
    <row r="119" spans="1:4" ht="24.75" customHeight="1">
      <c r="A119" s="6" t="s">
        <v>543</v>
      </c>
      <c r="B119" s="6" t="s">
        <v>544</v>
      </c>
      <c r="C119" s="8" t="s">
        <v>545</v>
      </c>
      <c r="D119" s="6" t="s">
        <v>546</v>
      </c>
    </row>
    <row r="120" spans="1:4" ht="24.75" customHeight="1">
      <c r="A120" s="6" t="s">
        <v>547</v>
      </c>
      <c r="B120" s="6" t="s">
        <v>548</v>
      </c>
      <c r="C120" s="6" t="s">
        <v>549</v>
      </c>
      <c r="D120" s="6" t="s">
        <v>550</v>
      </c>
    </row>
    <row r="121" spans="1:4" ht="24.75" customHeight="1">
      <c r="A121" s="6" t="s">
        <v>440</v>
      </c>
      <c r="B121" s="6" t="s">
        <v>551</v>
      </c>
      <c r="C121" s="6" t="s">
        <v>552</v>
      </c>
      <c r="D121" s="7" t="s">
        <v>27</v>
      </c>
    </row>
    <row r="122" spans="1:4" ht="24.75" customHeight="1">
      <c r="A122" s="6" t="s">
        <v>553</v>
      </c>
      <c r="B122" s="6" t="s">
        <v>554</v>
      </c>
      <c r="C122" s="6" t="s">
        <v>555</v>
      </c>
      <c r="D122" s="6" t="s">
        <v>556</v>
      </c>
    </row>
    <row r="123" spans="1:4" ht="24.75" customHeight="1">
      <c r="A123" s="6" t="s">
        <v>486</v>
      </c>
      <c r="B123" s="6" t="s">
        <v>557</v>
      </c>
      <c r="C123" s="6" t="s">
        <v>558</v>
      </c>
      <c r="D123" s="6" t="s">
        <v>167</v>
      </c>
    </row>
    <row r="124" spans="1:4" ht="24.75" customHeight="1">
      <c r="A124" s="6" t="s">
        <v>559</v>
      </c>
      <c r="B124" s="6" t="s">
        <v>560</v>
      </c>
      <c r="C124" s="6" t="s">
        <v>561</v>
      </c>
      <c r="D124" s="6" t="s">
        <v>562</v>
      </c>
    </row>
    <row r="125" spans="1:4" ht="24.75" customHeight="1">
      <c r="A125" s="6" t="s">
        <v>489</v>
      </c>
      <c r="B125" s="6" t="s">
        <v>563</v>
      </c>
      <c r="C125" s="6" t="s">
        <v>564</v>
      </c>
      <c r="D125" s="6" t="s">
        <v>426</v>
      </c>
    </row>
    <row r="126" spans="1:4" ht="24.75" customHeight="1">
      <c r="A126" s="6" t="s">
        <v>175</v>
      </c>
      <c r="B126" s="6" t="s">
        <v>565</v>
      </c>
      <c r="C126" s="6" t="s">
        <v>566</v>
      </c>
      <c r="D126" s="6" t="s">
        <v>567</v>
      </c>
    </row>
    <row r="127" spans="1:4" ht="24.75" customHeight="1">
      <c r="A127" s="6" t="s">
        <v>568</v>
      </c>
      <c r="B127" s="6" t="s">
        <v>569</v>
      </c>
      <c r="C127" s="6" t="s">
        <v>570</v>
      </c>
      <c r="D127" s="6" t="s">
        <v>571</v>
      </c>
    </row>
    <row r="128" spans="1:4" ht="24.75" customHeight="1">
      <c r="A128" s="12" t="s">
        <v>175</v>
      </c>
      <c r="B128" s="12" t="s">
        <v>572</v>
      </c>
      <c r="C128" s="12" t="s">
        <v>573</v>
      </c>
      <c r="D128" s="12" t="s">
        <v>98</v>
      </c>
    </row>
    <row r="129" spans="1:4" ht="24.75" customHeight="1">
      <c r="A129" s="6" t="s">
        <v>465</v>
      </c>
      <c r="B129" s="6" t="s">
        <v>574</v>
      </c>
      <c r="C129" s="6" t="s">
        <v>575</v>
      </c>
      <c r="D129" s="6" t="s">
        <v>184</v>
      </c>
    </row>
    <row r="130" spans="1:4" ht="24.75" customHeight="1">
      <c r="A130" s="6" t="s">
        <v>172</v>
      </c>
      <c r="B130" s="6" t="s">
        <v>576</v>
      </c>
      <c r="C130" s="6" t="s">
        <v>577</v>
      </c>
      <c r="D130" s="7" t="s">
        <v>578</v>
      </c>
    </row>
    <row r="131" spans="1:4" ht="24.75" customHeight="1">
      <c r="A131" s="6" t="s">
        <v>579</v>
      </c>
      <c r="B131" s="6" t="s">
        <v>580</v>
      </c>
      <c r="C131" s="6" t="s">
        <v>581</v>
      </c>
      <c r="D131" s="7" t="s">
        <v>27</v>
      </c>
    </row>
    <row r="132" spans="1:4" ht="24.75" customHeight="1">
      <c r="A132" s="6" t="s">
        <v>582</v>
      </c>
      <c r="B132" s="6" t="s">
        <v>583</v>
      </c>
      <c r="C132" s="6" t="s">
        <v>584</v>
      </c>
      <c r="D132" s="6" t="s">
        <v>202</v>
      </c>
    </row>
    <row r="133" spans="1:4" ht="24.75" customHeight="1">
      <c r="A133" s="6" t="s">
        <v>585</v>
      </c>
      <c r="B133" s="6" t="s">
        <v>586</v>
      </c>
      <c r="C133" s="6" t="s">
        <v>587</v>
      </c>
      <c r="D133" s="6" t="s">
        <v>231</v>
      </c>
    </row>
    <row r="134" spans="1:4" ht="24.75" customHeight="1">
      <c r="A134" s="9" t="s">
        <v>517</v>
      </c>
      <c r="B134" s="6" t="s">
        <v>588</v>
      </c>
      <c r="C134" s="6" t="s">
        <v>589</v>
      </c>
      <c r="D134" s="6" t="s">
        <v>590</v>
      </c>
    </row>
    <row r="135" spans="1:4" ht="24.75" customHeight="1">
      <c r="A135" s="6" t="s">
        <v>591</v>
      </c>
      <c r="B135" s="6" t="s">
        <v>592</v>
      </c>
      <c r="C135" s="6" t="s">
        <v>593</v>
      </c>
      <c r="D135" s="6" t="s">
        <v>195</v>
      </c>
    </row>
    <row r="136" spans="1:4" ht="24.75" customHeight="1">
      <c r="A136" s="6" t="s">
        <v>520</v>
      </c>
      <c r="B136" s="6" t="s">
        <v>594</v>
      </c>
      <c r="C136" s="6" t="s">
        <v>595</v>
      </c>
      <c r="D136" s="6" t="s">
        <v>550</v>
      </c>
    </row>
    <row r="137" spans="1:4" ht="24.75" customHeight="1">
      <c r="A137" s="6" t="s">
        <v>596</v>
      </c>
      <c r="B137" s="6" t="s">
        <v>597</v>
      </c>
      <c r="C137" s="6" t="s">
        <v>598</v>
      </c>
      <c r="D137" s="6" t="s">
        <v>140</v>
      </c>
    </row>
    <row r="138" spans="1:4" ht="24.75" customHeight="1">
      <c r="A138" s="6" t="s">
        <v>599</v>
      </c>
      <c r="B138" s="6" t="s">
        <v>600</v>
      </c>
      <c r="C138" s="6" t="s">
        <v>601</v>
      </c>
      <c r="D138" s="6" t="s">
        <v>602</v>
      </c>
    </row>
    <row r="139" spans="1:4" ht="24.75" customHeight="1">
      <c r="A139" s="6" t="s">
        <v>168</v>
      </c>
      <c r="B139" s="6" t="s">
        <v>603</v>
      </c>
      <c r="C139" s="6" t="s">
        <v>604</v>
      </c>
      <c r="D139" s="6" t="s">
        <v>231</v>
      </c>
    </row>
    <row r="140" spans="1:4" ht="24.75" customHeight="1">
      <c r="A140" s="6" t="s">
        <v>605</v>
      </c>
      <c r="B140" s="9" t="s">
        <v>606</v>
      </c>
      <c r="C140" s="6" t="s">
        <v>607</v>
      </c>
      <c r="D140" s="6" t="s">
        <v>128</v>
      </c>
    </row>
    <row r="141" spans="1:4" ht="24.75" customHeight="1">
      <c r="A141" s="6" t="s">
        <v>608</v>
      </c>
      <c r="B141" s="6" t="s">
        <v>609</v>
      </c>
      <c r="C141" s="6" t="s">
        <v>610</v>
      </c>
      <c r="D141" s="6" t="s">
        <v>611</v>
      </c>
    </row>
    <row r="142" spans="1:4" ht="24.75" customHeight="1">
      <c r="A142" s="6" t="s">
        <v>612</v>
      </c>
      <c r="B142" s="6" t="s">
        <v>613</v>
      </c>
      <c r="C142" s="6" t="s">
        <v>614</v>
      </c>
      <c r="D142" s="6" t="s">
        <v>615</v>
      </c>
    </row>
    <row r="143" spans="1:4" ht="24.75" customHeight="1">
      <c r="A143" s="6" t="s">
        <v>616</v>
      </c>
      <c r="B143" s="6" t="s">
        <v>617</v>
      </c>
      <c r="C143" s="6" t="s">
        <v>618</v>
      </c>
      <c r="D143" s="7" t="s">
        <v>159</v>
      </c>
    </row>
    <row r="144" spans="1:4" ht="24.75" customHeight="1">
      <c r="A144" s="6" t="s">
        <v>619</v>
      </c>
      <c r="B144" s="6" t="s">
        <v>619</v>
      </c>
      <c r="C144" s="6" t="s">
        <v>620</v>
      </c>
      <c r="D144" s="7" t="s">
        <v>621</v>
      </c>
    </row>
    <row r="145" spans="1:4" ht="24.75" customHeight="1">
      <c r="A145" s="6" t="s">
        <v>622</v>
      </c>
      <c r="B145" s="6" t="s">
        <v>619</v>
      </c>
      <c r="C145" s="6" t="s">
        <v>623</v>
      </c>
      <c r="D145" s="7" t="s">
        <v>621</v>
      </c>
    </row>
    <row r="146" spans="1:4" ht="24.75" customHeight="1">
      <c r="A146" s="6" t="s">
        <v>624</v>
      </c>
      <c r="B146" s="6" t="s">
        <v>625</v>
      </c>
      <c r="C146" s="8" t="s">
        <v>626</v>
      </c>
      <c r="D146" s="6" t="s">
        <v>538</v>
      </c>
    </row>
    <row r="147" spans="1:4" ht="24.75" customHeight="1">
      <c r="A147" s="6" t="s">
        <v>236</v>
      </c>
      <c r="B147" s="6" t="s">
        <v>627</v>
      </c>
      <c r="C147" s="6" t="s">
        <v>628</v>
      </c>
      <c r="D147" s="7" t="s">
        <v>629</v>
      </c>
    </row>
    <row r="148" spans="1:4" ht="24.75" customHeight="1">
      <c r="A148" s="6" t="s">
        <v>309</v>
      </c>
      <c r="B148" s="6" t="s">
        <v>630</v>
      </c>
      <c r="C148" s="6" t="s">
        <v>631</v>
      </c>
      <c r="D148" s="6" t="s">
        <v>632</v>
      </c>
    </row>
    <row r="149" spans="1:4" ht="24.75" customHeight="1">
      <c r="A149" s="6" t="s">
        <v>633</v>
      </c>
      <c r="B149" s="6" t="s">
        <v>634</v>
      </c>
      <c r="C149" s="6" t="s">
        <v>635</v>
      </c>
      <c r="D149" s="6" t="s">
        <v>328</v>
      </c>
    </row>
    <row r="150" spans="1:4" ht="24.75" customHeight="1">
      <c r="A150" s="6" t="s">
        <v>175</v>
      </c>
      <c r="B150" s="6" t="s">
        <v>636</v>
      </c>
      <c r="C150" s="6" t="s">
        <v>637</v>
      </c>
      <c r="D150" s="6" t="s">
        <v>283</v>
      </c>
    </row>
    <row r="151" spans="1:4" ht="24.75" customHeight="1">
      <c r="A151" s="6" t="s">
        <v>638</v>
      </c>
      <c r="B151" s="6" t="s">
        <v>639</v>
      </c>
      <c r="C151" s="6" t="s">
        <v>640</v>
      </c>
      <c r="D151" s="6" t="s">
        <v>641</v>
      </c>
    </row>
    <row r="152" spans="1:4" ht="24.75" customHeight="1">
      <c r="A152" s="6" t="s">
        <v>599</v>
      </c>
      <c r="B152" s="6" t="s">
        <v>642</v>
      </c>
      <c r="C152" s="6" t="s">
        <v>643</v>
      </c>
      <c r="D152" s="6" t="s">
        <v>293</v>
      </c>
    </row>
    <row r="153" spans="1:4" ht="24.75" customHeight="1">
      <c r="A153" s="6" t="s">
        <v>336</v>
      </c>
      <c r="B153" s="6" t="s">
        <v>644</v>
      </c>
      <c r="C153" s="6" t="s">
        <v>645</v>
      </c>
      <c r="D153" s="6" t="s">
        <v>426</v>
      </c>
    </row>
    <row r="154" spans="1:4" ht="24.75" customHeight="1">
      <c r="A154" s="6" t="s">
        <v>646</v>
      </c>
      <c r="B154" s="6" t="s">
        <v>647</v>
      </c>
      <c r="C154" s="6" t="s">
        <v>648</v>
      </c>
      <c r="D154" s="6" t="s">
        <v>231</v>
      </c>
    </row>
    <row r="155" spans="1:4" ht="24.75" customHeight="1">
      <c r="A155" s="6" t="s">
        <v>649</v>
      </c>
      <c r="B155" s="6" t="s">
        <v>650</v>
      </c>
      <c r="C155" s="6" t="s">
        <v>651</v>
      </c>
      <c r="D155" s="7" t="s">
        <v>629</v>
      </c>
    </row>
    <row r="156" spans="1:4" ht="24.75" customHeight="1">
      <c r="A156" s="6" t="s">
        <v>214</v>
      </c>
      <c r="B156" s="6" t="s">
        <v>652</v>
      </c>
      <c r="C156" s="6" t="s">
        <v>653</v>
      </c>
      <c r="D156" s="6" t="s">
        <v>245</v>
      </c>
    </row>
    <row r="157" spans="1:4" ht="24.75" customHeight="1">
      <c r="A157" s="6" t="s">
        <v>654</v>
      </c>
      <c r="B157" s="6" t="s">
        <v>655</v>
      </c>
      <c r="C157" s="6" t="s">
        <v>656</v>
      </c>
      <c r="D157" s="6" t="s">
        <v>167</v>
      </c>
    </row>
    <row r="158" spans="1:4" ht="24.75" customHeight="1">
      <c r="A158" s="9" t="s">
        <v>657</v>
      </c>
      <c r="B158" s="6" t="s">
        <v>658</v>
      </c>
      <c r="C158" s="6" t="s">
        <v>659</v>
      </c>
      <c r="D158" s="6" t="s">
        <v>660</v>
      </c>
    </row>
    <row r="159" spans="1:4" ht="24.75" customHeight="1">
      <c r="A159" s="6" t="s">
        <v>596</v>
      </c>
      <c r="B159" s="6" t="s">
        <v>661</v>
      </c>
      <c r="C159" s="6" t="s">
        <v>662</v>
      </c>
      <c r="D159" s="6" t="s">
        <v>663</v>
      </c>
    </row>
    <row r="160" spans="1:4" ht="24.75" customHeight="1">
      <c r="A160" s="6" t="s">
        <v>664</v>
      </c>
      <c r="B160" s="6" t="s">
        <v>665</v>
      </c>
      <c r="C160" s="6" t="s">
        <v>666</v>
      </c>
      <c r="D160" s="6" t="s">
        <v>667</v>
      </c>
    </row>
    <row r="161" spans="1:4" ht="24.75" customHeight="1">
      <c r="A161" s="6" t="s">
        <v>492</v>
      </c>
      <c r="B161" s="6" t="s">
        <v>668</v>
      </c>
      <c r="C161" s="6" t="s">
        <v>669</v>
      </c>
      <c r="D161" s="6" t="s">
        <v>670</v>
      </c>
    </row>
    <row r="162" spans="1:4" ht="24.75" customHeight="1">
      <c r="A162" s="6" t="s">
        <v>671</v>
      </c>
      <c r="B162" s="6" t="s">
        <v>672</v>
      </c>
      <c r="C162" s="6" t="s">
        <v>673</v>
      </c>
      <c r="D162" s="6" t="s">
        <v>163</v>
      </c>
    </row>
    <row r="163" spans="1:4" ht="24.75" customHeight="1">
      <c r="A163" s="6" t="s">
        <v>674</v>
      </c>
      <c r="B163" s="6" t="s">
        <v>675</v>
      </c>
      <c r="C163" s="6" t="s">
        <v>676</v>
      </c>
      <c r="D163" s="6" t="s">
        <v>231</v>
      </c>
    </row>
    <row r="164" spans="1:4" ht="24.75" customHeight="1">
      <c r="A164" s="6" t="s">
        <v>214</v>
      </c>
      <c r="B164" s="6" t="s">
        <v>675</v>
      </c>
      <c r="C164" s="6" t="s">
        <v>677</v>
      </c>
      <c r="D164" s="6" t="s">
        <v>167</v>
      </c>
    </row>
    <row r="165" spans="1:4" ht="24.75" customHeight="1">
      <c r="A165" s="6" t="s">
        <v>678</v>
      </c>
      <c r="B165" s="6" t="s">
        <v>675</v>
      </c>
      <c r="C165" s="6" t="s">
        <v>679</v>
      </c>
      <c r="D165" s="6" t="s">
        <v>365</v>
      </c>
    </row>
    <row r="166" spans="1:4" ht="24.75" customHeight="1">
      <c r="A166" s="6" t="s">
        <v>179</v>
      </c>
      <c r="B166" s="6" t="s">
        <v>680</v>
      </c>
      <c r="C166" s="11" t="s">
        <v>681</v>
      </c>
      <c r="D166" s="6" t="s">
        <v>682</v>
      </c>
    </row>
    <row r="167" spans="1:4" ht="24.75" customHeight="1">
      <c r="A167" s="6" t="s">
        <v>683</v>
      </c>
      <c r="B167" s="6" t="s">
        <v>684</v>
      </c>
      <c r="C167" s="6" t="s">
        <v>685</v>
      </c>
      <c r="D167" s="6" t="s">
        <v>686</v>
      </c>
    </row>
    <row r="168" spans="1:4" ht="24.75" customHeight="1">
      <c r="A168" s="6" t="s">
        <v>168</v>
      </c>
      <c r="B168" s="6" t="s">
        <v>687</v>
      </c>
      <c r="C168" s="6" t="s">
        <v>688</v>
      </c>
      <c r="D168" s="6" t="s">
        <v>689</v>
      </c>
    </row>
    <row r="169" spans="1:4" ht="24.75" customHeight="1">
      <c r="A169" s="6" t="s">
        <v>690</v>
      </c>
      <c r="B169" s="6" t="s">
        <v>691</v>
      </c>
      <c r="C169" s="6" t="s">
        <v>692</v>
      </c>
      <c r="D169" s="6" t="s">
        <v>693</v>
      </c>
    </row>
    <row r="170" spans="1:4" ht="24.75" customHeight="1">
      <c r="A170" s="6" t="s">
        <v>694</v>
      </c>
      <c r="B170" s="6" t="s">
        <v>695</v>
      </c>
      <c r="C170" s="6" t="s">
        <v>696</v>
      </c>
      <c r="D170" s="6" t="s">
        <v>697</v>
      </c>
    </row>
    <row r="171" spans="1:4" ht="24.75" customHeight="1">
      <c r="A171" s="6" t="s">
        <v>596</v>
      </c>
      <c r="B171" s="6" t="s">
        <v>698</v>
      </c>
      <c r="C171" s="6" t="s">
        <v>699</v>
      </c>
      <c r="D171" s="7" t="s">
        <v>700</v>
      </c>
    </row>
    <row r="172" spans="1:4" ht="24.75" customHeight="1">
      <c r="A172" s="6" t="s">
        <v>701</v>
      </c>
      <c r="B172" s="6" t="s">
        <v>702</v>
      </c>
      <c r="C172" s="6" t="s">
        <v>703</v>
      </c>
      <c r="D172" s="6" t="s">
        <v>171</v>
      </c>
    </row>
    <row r="173" spans="1:4" ht="24.75" customHeight="1">
      <c r="A173" s="6" t="s">
        <v>486</v>
      </c>
      <c r="B173" s="6" t="s">
        <v>704</v>
      </c>
      <c r="C173" s="6" t="s">
        <v>705</v>
      </c>
      <c r="D173" s="6" t="s">
        <v>706</v>
      </c>
    </row>
    <row r="174" spans="1:4" ht="24.75" customHeight="1">
      <c r="A174" s="6" t="s">
        <v>265</v>
      </c>
      <c r="B174" s="6" t="s">
        <v>707</v>
      </c>
      <c r="C174" s="6" t="s">
        <v>708</v>
      </c>
      <c r="D174" s="6" t="s">
        <v>128</v>
      </c>
    </row>
    <row r="175" spans="1:4" ht="24.75" customHeight="1">
      <c r="A175" s="6" t="s">
        <v>709</v>
      </c>
      <c r="B175" s="6" t="s">
        <v>710</v>
      </c>
      <c r="C175" s="6" t="s">
        <v>711</v>
      </c>
      <c r="D175" s="6" t="s">
        <v>393</v>
      </c>
    </row>
    <row r="176" spans="1:4" ht="24.75" customHeight="1">
      <c r="A176" s="6" t="s">
        <v>712</v>
      </c>
      <c r="B176" s="6" t="s">
        <v>713</v>
      </c>
      <c r="C176" s="6" t="s">
        <v>714</v>
      </c>
      <c r="D176" s="6" t="s">
        <v>184</v>
      </c>
    </row>
    <row r="177" spans="1:4" ht="24.75" customHeight="1">
      <c r="A177" s="9" t="s">
        <v>465</v>
      </c>
      <c r="B177" s="6" t="s">
        <v>715</v>
      </c>
      <c r="C177" s="6" t="s">
        <v>716</v>
      </c>
      <c r="D177" s="6" t="s">
        <v>717</v>
      </c>
    </row>
    <row r="178" spans="1:4" ht="24.75" customHeight="1">
      <c r="A178" s="6" t="s">
        <v>203</v>
      </c>
      <c r="B178" s="6" t="s">
        <v>718</v>
      </c>
      <c r="C178" s="8" t="s">
        <v>719</v>
      </c>
      <c r="D178" s="6" t="s">
        <v>538</v>
      </c>
    </row>
    <row r="179" spans="1:4" ht="24.75" customHeight="1">
      <c r="A179" s="6" t="s">
        <v>720</v>
      </c>
      <c r="B179" s="6" t="s">
        <v>721</v>
      </c>
      <c r="C179" s="6" t="s">
        <v>722</v>
      </c>
      <c r="D179" s="6" t="s">
        <v>271</v>
      </c>
    </row>
    <row r="180" spans="1:4" ht="24.75" customHeight="1">
      <c r="A180" s="6" t="s">
        <v>465</v>
      </c>
      <c r="B180" s="6" t="s">
        <v>723</v>
      </c>
      <c r="C180" s="9" t="s">
        <v>724</v>
      </c>
      <c r="D180" s="6" t="s">
        <v>393</v>
      </c>
    </row>
    <row r="181" spans="1:4" ht="24.75" customHeight="1">
      <c r="A181" s="6" t="s">
        <v>492</v>
      </c>
      <c r="B181" s="6" t="s">
        <v>725</v>
      </c>
      <c r="C181" s="6" t="s">
        <v>726</v>
      </c>
      <c r="D181" s="6" t="s">
        <v>727</v>
      </c>
    </row>
    <row r="182" spans="1:4" ht="24.75" customHeight="1">
      <c r="A182" s="6" t="s">
        <v>728</v>
      </c>
      <c r="B182" s="6" t="s">
        <v>729</v>
      </c>
      <c r="C182" s="8" t="s">
        <v>730</v>
      </c>
      <c r="D182" s="6" t="s">
        <v>731</v>
      </c>
    </row>
    <row r="183" spans="1:4" ht="24.75" customHeight="1">
      <c r="A183" s="6" t="s">
        <v>732</v>
      </c>
      <c r="B183" s="6" t="s">
        <v>733</v>
      </c>
      <c r="C183" s="6" t="s">
        <v>734</v>
      </c>
      <c r="D183" s="6" t="s">
        <v>735</v>
      </c>
    </row>
    <row r="184" spans="1:4" ht="24.75" customHeight="1">
      <c r="A184" s="6" t="s">
        <v>616</v>
      </c>
      <c r="B184" s="6" t="s">
        <v>736</v>
      </c>
      <c r="C184" s="9" t="s">
        <v>737</v>
      </c>
      <c r="D184" s="6" t="s">
        <v>738</v>
      </c>
    </row>
    <row r="185" spans="1:4" ht="24.75" customHeight="1">
      <c r="A185" s="6" t="s">
        <v>739</v>
      </c>
      <c r="B185" s="6" t="s">
        <v>740</v>
      </c>
      <c r="C185" s="6" t="s">
        <v>741</v>
      </c>
      <c r="D185" s="6" t="s">
        <v>742</v>
      </c>
    </row>
    <row r="186" spans="1:4" ht="24.75" customHeight="1">
      <c r="A186" s="6" t="s">
        <v>203</v>
      </c>
      <c r="B186" s="6" t="s">
        <v>743</v>
      </c>
      <c r="C186" s="6" t="s">
        <v>744</v>
      </c>
      <c r="D186" s="6" t="s">
        <v>235</v>
      </c>
    </row>
    <row r="187" spans="1:4" ht="24.75" customHeight="1">
      <c r="A187" s="6" t="s">
        <v>745</v>
      </c>
      <c r="B187" s="6" t="s">
        <v>746</v>
      </c>
      <c r="C187" s="6" t="s">
        <v>747</v>
      </c>
      <c r="D187" s="6" t="s">
        <v>167</v>
      </c>
    </row>
    <row r="188" spans="1:4" ht="24.75" customHeight="1">
      <c r="A188" s="6" t="s">
        <v>427</v>
      </c>
      <c r="B188" s="6" t="s">
        <v>748</v>
      </c>
      <c r="C188" s="6" t="s">
        <v>749</v>
      </c>
      <c r="D188" s="6" t="s">
        <v>184</v>
      </c>
    </row>
    <row r="189" spans="1:4" ht="24.75" customHeight="1">
      <c r="A189" s="6" t="s">
        <v>750</v>
      </c>
      <c r="B189" s="6" t="s">
        <v>751</v>
      </c>
      <c r="C189" s="6" t="s">
        <v>752</v>
      </c>
      <c r="D189" s="6" t="s">
        <v>279</v>
      </c>
    </row>
    <row r="190" spans="1:4" ht="24.75" customHeight="1">
      <c r="A190" s="6" t="s">
        <v>753</v>
      </c>
      <c r="B190" s="6" t="s">
        <v>754</v>
      </c>
      <c r="C190" s="6" t="s">
        <v>755</v>
      </c>
      <c r="D190" s="6" t="s">
        <v>393</v>
      </c>
    </row>
    <row r="191" spans="1:4" ht="24.75" customHeight="1">
      <c r="A191" s="6" t="s">
        <v>756</v>
      </c>
      <c r="B191" s="6" t="s">
        <v>757</v>
      </c>
      <c r="C191" s="6" t="s">
        <v>758</v>
      </c>
      <c r="D191" s="6" t="s">
        <v>759</v>
      </c>
    </row>
    <row r="192" spans="1:4" ht="24.75" customHeight="1">
      <c r="A192" s="6" t="s">
        <v>760</v>
      </c>
      <c r="B192" s="6" t="s">
        <v>761</v>
      </c>
      <c r="C192" s="6" t="s">
        <v>762</v>
      </c>
      <c r="D192" s="6" t="s">
        <v>538</v>
      </c>
    </row>
    <row r="193" spans="1:4" ht="24.75" customHeight="1">
      <c r="A193" s="9" t="s">
        <v>763</v>
      </c>
      <c r="B193" s="6" t="s">
        <v>764</v>
      </c>
      <c r="C193" s="6" t="s">
        <v>765</v>
      </c>
      <c r="D193" s="6" t="s">
        <v>590</v>
      </c>
    </row>
    <row r="194" spans="1:4" ht="24.75" customHeight="1">
      <c r="A194" s="6" t="s">
        <v>766</v>
      </c>
      <c r="B194" s="6" t="s">
        <v>767</v>
      </c>
      <c r="C194" s="6" t="s">
        <v>768</v>
      </c>
      <c r="D194" s="6" t="s">
        <v>550</v>
      </c>
    </row>
    <row r="195" spans="1:4" ht="24.75" customHeight="1">
      <c r="A195" s="6" t="s">
        <v>769</v>
      </c>
      <c r="B195" s="6" t="s">
        <v>770</v>
      </c>
      <c r="C195" s="6" t="s">
        <v>771</v>
      </c>
      <c r="D195" s="6" t="s">
        <v>202</v>
      </c>
    </row>
    <row r="196" spans="1:4" ht="24.75" customHeight="1">
      <c r="A196" s="6" t="s">
        <v>772</v>
      </c>
      <c r="B196" s="6" t="s">
        <v>164</v>
      </c>
      <c r="C196" s="6" t="s">
        <v>773</v>
      </c>
      <c r="D196" s="6" t="s">
        <v>235</v>
      </c>
    </row>
    <row r="197" spans="1:4" ht="24.75" customHeight="1">
      <c r="A197" s="6" t="s">
        <v>774</v>
      </c>
      <c r="B197" s="6" t="s">
        <v>775</v>
      </c>
      <c r="C197" s="6" t="s">
        <v>776</v>
      </c>
      <c r="D197" s="6" t="s">
        <v>538</v>
      </c>
    </row>
    <row r="198" spans="1:4" ht="24.75" customHeight="1">
      <c r="A198" s="6" t="s">
        <v>309</v>
      </c>
      <c r="B198" s="6" t="s">
        <v>777</v>
      </c>
      <c r="C198" s="6" t="s">
        <v>778</v>
      </c>
      <c r="D198" s="6" t="s">
        <v>128</v>
      </c>
    </row>
    <row r="199" spans="1:4" ht="24.75" customHeight="1">
      <c r="A199" s="9" t="s">
        <v>779</v>
      </c>
      <c r="B199" s="6" t="s">
        <v>780</v>
      </c>
      <c r="C199" s="6" t="s">
        <v>781</v>
      </c>
      <c r="D199" s="6" t="s">
        <v>782</v>
      </c>
    </row>
    <row r="200" spans="1:4" ht="24.75" customHeight="1">
      <c r="A200" s="6" t="s">
        <v>492</v>
      </c>
      <c r="B200" s="6" t="s">
        <v>783</v>
      </c>
      <c r="C200" s="6" t="s">
        <v>784</v>
      </c>
      <c r="D200" s="6" t="s">
        <v>735</v>
      </c>
    </row>
    <row r="201" spans="1:4" ht="24.75" customHeight="1">
      <c r="A201" s="6" t="s">
        <v>440</v>
      </c>
      <c r="B201" s="6" t="s">
        <v>785</v>
      </c>
      <c r="C201" s="6" t="s">
        <v>786</v>
      </c>
      <c r="D201" s="6" t="s">
        <v>457</v>
      </c>
    </row>
    <row r="202" spans="1:4" ht="24.75" customHeight="1">
      <c r="A202" s="6" t="s">
        <v>206</v>
      </c>
      <c r="B202" s="6" t="s">
        <v>787</v>
      </c>
      <c r="C202" s="15" t="s">
        <v>788</v>
      </c>
      <c r="D202" s="6" t="s">
        <v>235</v>
      </c>
    </row>
    <row r="203" spans="1:4" ht="24.75" customHeight="1">
      <c r="A203" s="6" t="s">
        <v>789</v>
      </c>
      <c r="B203" s="6" t="s">
        <v>790</v>
      </c>
      <c r="C203" s="6" t="s">
        <v>791</v>
      </c>
      <c r="D203" s="6" t="s">
        <v>8</v>
      </c>
    </row>
    <row r="204" spans="1:4" ht="24.75" customHeight="1">
      <c r="A204" s="6" t="s">
        <v>792</v>
      </c>
      <c r="B204" s="6" t="s">
        <v>793</v>
      </c>
      <c r="C204" s="6" t="s">
        <v>794</v>
      </c>
      <c r="D204" s="6" t="s">
        <v>328</v>
      </c>
    </row>
    <row r="205" spans="1:4" ht="24.75" customHeight="1">
      <c r="A205" s="6" t="s">
        <v>795</v>
      </c>
      <c r="B205" s="6" t="s">
        <v>796</v>
      </c>
      <c r="C205" s="6" t="s">
        <v>797</v>
      </c>
      <c r="D205" s="6" t="s">
        <v>426</v>
      </c>
    </row>
    <row r="206" spans="1:4" ht="24.75" customHeight="1">
      <c r="A206" s="6" t="s">
        <v>203</v>
      </c>
      <c r="B206" s="6" t="s">
        <v>798</v>
      </c>
      <c r="C206" s="6" t="s">
        <v>799</v>
      </c>
      <c r="D206" s="6" t="s">
        <v>727</v>
      </c>
    </row>
    <row r="207" spans="1:4" ht="24.75" customHeight="1">
      <c r="A207" s="6" t="s">
        <v>800</v>
      </c>
      <c r="B207" s="6" t="s">
        <v>801</v>
      </c>
      <c r="C207" s="6" t="s">
        <v>802</v>
      </c>
      <c r="D207" s="6" t="s">
        <v>735</v>
      </c>
    </row>
    <row r="208" spans="1:4" ht="24.75" customHeight="1">
      <c r="A208" s="6" t="s">
        <v>803</v>
      </c>
      <c r="B208" s="6" t="s">
        <v>804</v>
      </c>
      <c r="C208" s="6" t="s">
        <v>805</v>
      </c>
      <c r="D208" s="6" t="s">
        <v>167</v>
      </c>
    </row>
    <row r="209" spans="1:4" ht="24.75" customHeight="1">
      <c r="A209" s="6" t="s">
        <v>280</v>
      </c>
      <c r="B209" s="6" t="s">
        <v>806</v>
      </c>
      <c r="C209" s="9" t="s">
        <v>807</v>
      </c>
      <c r="D209" s="6" t="s">
        <v>235</v>
      </c>
    </row>
    <row r="210" spans="1:4" ht="24.75" customHeight="1">
      <c r="A210" s="6" t="s">
        <v>228</v>
      </c>
      <c r="B210" s="6" t="s">
        <v>808</v>
      </c>
      <c r="C210" s="6" t="s">
        <v>809</v>
      </c>
      <c r="D210" s="6" t="s">
        <v>498</v>
      </c>
    </row>
    <row r="211" spans="1:4" ht="24.75" customHeight="1">
      <c r="A211" s="6" t="s">
        <v>210</v>
      </c>
      <c r="B211" s="6" t="s">
        <v>810</v>
      </c>
      <c r="C211" s="8" t="s">
        <v>811</v>
      </c>
      <c r="D211" s="6" t="s">
        <v>812</v>
      </c>
    </row>
    <row r="212" spans="1:4" ht="24.75" customHeight="1">
      <c r="A212" s="9" t="s">
        <v>813</v>
      </c>
      <c r="B212" s="6" t="s">
        <v>814</v>
      </c>
      <c r="C212" s="6" t="s">
        <v>815</v>
      </c>
      <c r="D212" s="6" t="s">
        <v>689</v>
      </c>
    </row>
    <row r="213" spans="1:4" ht="24.75" customHeight="1">
      <c r="A213" s="6" t="s">
        <v>210</v>
      </c>
      <c r="B213" s="6" t="s">
        <v>816</v>
      </c>
      <c r="C213" s="6" t="s">
        <v>817</v>
      </c>
      <c r="D213" s="6" t="s">
        <v>538</v>
      </c>
    </row>
    <row r="214" spans="1:4" ht="24.75" customHeight="1">
      <c r="A214" s="6" t="s">
        <v>818</v>
      </c>
      <c r="B214" s="6" t="s">
        <v>819</v>
      </c>
      <c r="C214" s="6" t="s">
        <v>820</v>
      </c>
      <c r="D214" s="6" t="s">
        <v>249</v>
      </c>
    </row>
    <row r="215" spans="1:4" ht="24.75" customHeight="1">
      <c r="A215" s="6" t="s">
        <v>821</v>
      </c>
      <c r="B215" s="6" t="s">
        <v>822</v>
      </c>
      <c r="C215" s="6" t="s">
        <v>823</v>
      </c>
      <c r="D215" s="6" t="s">
        <v>167</v>
      </c>
    </row>
    <row r="216" spans="1:4" ht="24.75" customHeight="1">
      <c r="A216" s="6" t="s">
        <v>824</v>
      </c>
      <c r="B216" s="6" t="s">
        <v>825</v>
      </c>
      <c r="C216" s="6" t="s">
        <v>826</v>
      </c>
      <c r="D216" s="6" t="s">
        <v>827</v>
      </c>
    </row>
    <row r="217" spans="1:4" ht="24.75" customHeight="1">
      <c r="A217" s="6" t="s">
        <v>599</v>
      </c>
      <c r="B217" s="6" t="s">
        <v>828</v>
      </c>
      <c r="C217" s="6" t="s">
        <v>829</v>
      </c>
      <c r="D217" s="6" t="s">
        <v>830</v>
      </c>
    </row>
    <row r="218" spans="1:4" ht="24.75" customHeight="1">
      <c r="A218" s="6" t="s">
        <v>831</v>
      </c>
      <c r="B218" s="6" t="s">
        <v>832</v>
      </c>
      <c r="C218" s="6" t="s">
        <v>833</v>
      </c>
      <c r="D218" s="6" t="s">
        <v>735</v>
      </c>
    </row>
    <row r="219" spans="1:4" ht="24.75" customHeight="1">
      <c r="A219" s="6" t="s">
        <v>559</v>
      </c>
      <c r="B219" s="6" t="s">
        <v>834</v>
      </c>
      <c r="C219" s="6" t="s">
        <v>835</v>
      </c>
      <c r="D219" s="6" t="s">
        <v>98</v>
      </c>
    </row>
    <row r="220" spans="1:4" ht="24.75" customHeight="1">
      <c r="A220" s="6" t="s">
        <v>836</v>
      </c>
      <c r="B220" s="6" t="s">
        <v>837</v>
      </c>
      <c r="C220" s="6" t="s">
        <v>838</v>
      </c>
      <c r="D220" s="6" t="s">
        <v>235</v>
      </c>
    </row>
    <row r="221" spans="1:4" ht="24.75" customHeight="1">
      <c r="A221" s="6" t="s">
        <v>839</v>
      </c>
      <c r="B221" s="6" t="s">
        <v>840</v>
      </c>
      <c r="C221" s="6" t="s">
        <v>841</v>
      </c>
      <c r="D221" s="6" t="s">
        <v>328</v>
      </c>
    </row>
    <row r="222" spans="1:4" ht="24.75" customHeight="1">
      <c r="A222" s="6" t="s">
        <v>800</v>
      </c>
      <c r="B222" s="6" t="s">
        <v>842</v>
      </c>
      <c r="C222" s="6" t="s">
        <v>843</v>
      </c>
      <c r="D222" s="6" t="s">
        <v>844</v>
      </c>
    </row>
    <row r="223" spans="1:4" ht="24.75" customHeight="1">
      <c r="A223" s="6" t="s">
        <v>433</v>
      </c>
      <c r="B223" s="6" t="s">
        <v>845</v>
      </c>
      <c r="C223" s="11" t="s">
        <v>846</v>
      </c>
      <c r="D223" s="6" t="s">
        <v>847</v>
      </c>
    </row>
    <row r="224" spans="1:4" ht="24.75" customHeight="1">
      <c r="A224" s="6" t="s">
        <v>848</v>
      </c>
      <c r="B224" s="6" t="s">
        <v>849</v>
      </c>
      <c r="C224" s="6" t="s">
        <v>850</v>
      </c>
      <c r="D224" s="6" t="s">
        <v>8</v>
      </c>
    </row>
    <row r="225" spans="1:4" ht="24.75" customHeight="1">
      <c r="A225" s="6" t="s">
        <v>179</v>
      </c>
      <c r="B225" s="6" t="s">
        <v>851</v>
      </c>
      <c r="C225" s="9" t="s">
        <v>852</v>
      </c>
      <c r="D225" s="6" t="s">
        <v>13</v>
      </c>
    </row>
    <row r="226" spans="1:4" ht="24.75" customHeight="1">
      <c r="A226" s="6" t="s">
        <v>616</v>
      </c>
      <c r="B226" s="6" t="s">
        <v>818</v>
      </c>
      <c r="C226" s="6" t="s">
        <v>853</v>
      </c>
      <c r="D226" s="6" t="s">
        <v>854</v>
      </c>
    </row>
    <row r="227" spans="1:4" ht="24.75" customHeight="1">
      <c r="A227" s="6" t="s">
        <v>855</v>
      </c>
      <c r="B227" s="6" t="s">
        <v>856</v>
      </c>
      <c r="C227" s="6" t="s">
        <v>857</v>
      </c>
      <c r="D227" s="6" t="s">
        <v>858</v>
      </c>
    </row>
    <row r="228" spans="1:4" ht="24.75" customHeight="1">
      <c r="A228" s="6" t="s">
        <v>859</v>
      </c>
      <c r="B228" s="6" t="s">
        <v>860</v>
      </c>
      <c r="C228" s="6" t="s">
        <v>861</v>
      </c>
      <c r="D228" s="6" t="s">
        <v>328</v>
      </c>
    </row>
    <row r="229" spans="1:4" ht="24.75" customHeight="1">
      <c r="A229" s="6" t="s">
        <v>862</v>
      </c>
      <c r="B229" s="6" t="s">
        <v>863</v>
      </c>
      <c r="C229" s="6" t="s">
        <v>864</v>
      </c>
      <c r="D229" s="6" t="s">
        <v>167</v>
      </c>
    </row>
    <row r="230" spans="1:4" ht="24.75" customHeight="1">
      <c r="A230" s="6" t="s">
        <v>865</v>
      </c>
      <c r="B230" s="6" t="s">
        <v>866</v>
      </c>
      <c r="C230" s="9" t="s">
        <v>867</v>
      </c>
      <c r="D230" s="6" t="s">
        <v>390</v>
      </c>
    </row>
    <row r="231" spans="1:4" ht="24.75" customHeight="1">
      <c r="A231" s="6" t="s">
        <v>868</v>
      </c>
      <c r="B231" s="6" t="s">
        <v>869</v>
      </c>
      <c r="C231" s="6" t="s">
        <v>870</v>
      </c>
      <c r="D231" s="6" t="s">
        <v>571</v>
      </c>
    </row>
    <row r="232" spans="1:4" ht="24.75" customHeight="1">
      <c r="A232" s="6" t="s">
        <v>871</v>
      </c>
      <c r="B232" s="6" t="s">
        <v>872</v>
      </c>
      <c r="C232" s="6" t="s">
        <v>873</v>
      </c>
      <c r="D232" s="6" t="s">
        <v>874</v>
      </c>
    </row>
  </sheetData>
  <hyperlinks>
    <hyperlink ref="C202" r:id="rId1" display="mailto:ewspendel@skylinechili.com" xr:uid="{9EA7C012-EFF5-427D-8240-67AAA2ABAF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2026-07-07T15:57:50Z</dcterms:created>
  <dcterms:modified xsi:type="dcterms:W3CDTF">2026-07-07T17:32:30Z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3db70b-d747-4826-8250-fa35239e9ec1_Enabled">
    <vt:lpwstr>true</vt:lpwstr>
  </property>
  <property fmtid="{D5CDD505-2E9C-101B-9397-08002B2CF9AE}" pid="3" name="MSIP_Label_a93db70b-d747-4826-8250-fa35239e9ec1_SetDate">
    <vt:lpwstr>2026-07-07T15:57:58Z</vt:lpwstr>
  </property>
  <property fmtid="{D5CDD505-2E9C-101B-9397-08002B2CF9AE}" pid="4" name="MSIP_Label_a93db70b-d747-4826-8250-fa35239e9ec1_Method">
    <vt:lpwstr>Standard</vt:lpwstr>
  </property>
  <property fmtid="{D5CDD505-2E9C-101B-9397-08002B2CF9AE}" pid="5" name="MSIP_Label_a93db70b-d747-4826-8250-fa35239e9ec1_Name">
    <vt:lpwstr>DC2 - Restricted (New)</vt:lpwstr>
  </property>
  <property fmtid="{D5CDD505-2E9C-101B-9397-08002B2CF9AE}" pid="6" name="MSIP_Label_a93db70b-d747-4826-8250-fa35239e9ec1_SiteId">
    <vt:lpwstr>7b43bc18-c62c-4450-bc65-946c8aa33e58</vt:lpwstr>
  </property>
  <property fmtid="{D5CDD505-2E9C-101B-9397-08002B2CF9AE}" pid="7" name="MSIP_Label_a93db70b-d747-4826-8250-fa35239e9ec1_ActionId">
    <vt:lpwstr>c2a3dc0c-08f6-4c14-b2e4-52089c1d7938</vt:lpwstr>
  </property>
  <property fmtid="{D5CDD505-2E9C-101B-9397-08002B2CF9AE}" pid="8" name="MSIP_Label_a93db70b-d747-4826-8250-fa35239e9ec1_ContentBits">
    <vt:lpwstr>2</vt:lpwstr>
  </property>
  <property fmtid="{D5CDD505-2E9C-101B-9397-08002B2CF9AE}" pid="9" name="MSIP_Label_a93db70b-d747-4826-8250-fa35239e9ec1_Tag">
    <vt:lpwstr>10, 3, 0, 2</vt:lpwstr>
  </property>
</Properties>
</file>