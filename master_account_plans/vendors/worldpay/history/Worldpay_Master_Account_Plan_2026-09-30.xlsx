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Ranked Portfolio" sheetId="3" state="visible" r:id="rId3"/>
    <sheet xmlns:r="http://schemas.openxmlformats.org/officeDocument/2006/relationships" name="Stack Intelligence" sheetId="4" state="visible" r:id="rId4"/>
    <sheet xmlns:r="http://schemas.openxmlformats.org/officeDocument/2006/relationships" name="Evidence Ledger" sheetId="5" state="visible" r:id="rId5"/>
    <sheet xmlns:r="http://schemas.openxmlformats.org/officeDocument/2006/relationships" name="Conflict Register" sheetId="6" state="visible" r:id="rId6"/>
    <sheet xmlns:r="http://schemas.openxmlformats.org/officeDocument/2006/relationships" name="RM Portfolio" sheetId="7" state="visible" r:id="rId7"/>
    <sheet xmlns:r="http://schemas.openxmlformats.org/officeDocument/2006/relationships" name="Scoring Model" sheetId="8" state="visible" r:id="rId8"/>
    <sheet xmlns:r="http://schemas.openxmlformats.org/officeDocument/2006/relationships" name="Worldpay Source Snapshot" sheetId="9" state="visible" r:id="rId9"/>
    <sheet xmlns:r="http://schemas.openxmlformats.org/officeDocument/2006/relationships" name="2026-08-14 Change Log" sheetId="10" state="visible" r:id="rId10"/>
  </sheets>
  <definedNames/>
</workbook>
</file>

<file path=xl/styles.xml><?xml version="1.0" encoding="utf-8"?>
<styleSheet xmlns="http://schemas.openxmlformats.org/spreadsheetml/2006/main">
  <numFmts count="3">
    <numFmt numFmtId="164" formatCode="0.0"/>
    <numFmt numFmtId="165" formatCode="yyyy\-mm\-dd"/>
    <numFmt numFmtId="166" formatCode="yyyy-mm-dd"/>
  </numFmts>
  <fonts count="13">
    <font>
      <name val="Carlito"/>
      <sz val="11"/>
    </font>
    <font>
      <name val="Carlito"/>
      <b val="1"/>
      <color rgb="FFFFFFFF"/>
      <sz val="18"/>
    </font>
    <font>
      <name val="Carlito"/>
      <i val="1"/>
      <color rgb="FF24323D"/>
      <sz val="10"/>
    </font>
    <font>
      <name val="Carlito"/>
      <b val="1"/>
      <color rgb="FFFFFFFF"/>
      <sz val="11"/>
    </font>
    <font>
      <name val="Carlito"/>
      <color rgb="FF24323D"/>
      <sz val="9"/>
    </font>
    <font>
      <name val="Carlito"/>
      <color rgb="FF24323D"/>
      <sz val="11"/>
    </font>
    <font>
      <name val="Carlito"/>
      <b val="1"/>
      <color rgb="FF6B7785"/>
      <sz val="10"/>
    </font>
    <font>
      <name val="Carlito"/>
      <b val="1"/>
      <color rgb="FF17324D"/>
      <sz val="20"/>
    </font>
    <font>
      <name val="Carlito"/>
      <b val="1"/>
      <color rgb="FFFFFFFF"/>
      <sz val="12"/>
    </font>
    <font>
      <name val="Carlito"/>
      <color rgb="FF24323D"/>
      <sz val="10"/>
    </font>
    <font>
      <name val="Carlito"/>
      <b val="1"/>
      <color rgb="FFFFFFFF"/>
      <sz val="20"/>
    </font>
    <font>
      <name val="Carlito"/>
      <i val="1"/>
      <color rgb="FF23313F"/>
      <sz val="10"/>
    </font>
    <font>
      <name val="Carlito"/>
      <i val="1"/>
      <color rgb="FF334155"/>
      <sz val="11"/>
    </font>
  </fonts>
  <fills count="14">
    <fill>
      <patternFill/>
    </fill>
    <fill>
      <patternFill patternType="gray125"/>
    </fill>
    <fill>
      <patternFill patternType="solid">
        <fgColor rgb="FF17324D"/>
      </patternFill>
    </fill>
    <fill>
      <patternFill patternType="solid">
        <fgColor rgb="FFDDEAF2"/>
      </patternFill>
    </fill>
    <fill>
      <patternFill patternType="solid">
        <fgColor rgb="FF1F6E8C"/>
      </patternFill>
    </fill>
    <fill>
      <patternFill patternType="solid">
        <fgColor rgb="FFF4F7FA"/>
      </patternFill>
    </fill>
    <fill>
      <patternFill patternType="solid">
        <fgColor rgb="FFE8F1F5"/>
      </patternFill>
    </fill>
    <fill>
      <patternFill patternType="solid">
        <fgColor rgb="FFFCE0DC"/>
      </patternFill>
    </fill>
    <fill>
      <patternFill patternType="solid">
        <fgColor rgb="FF193854"/>
      </patternFill>
    </fill>
    <fill>
      <patternFill patternType="solid">
        <fgColor rgb="FFDCEAF3"/>
      </patternFill>
    </fill>
    <fill>
      <patternFill patternType="solid">
        <fgColor rgb="FF17324D"/>
      </patternFill>
    </fill>
    <fill>
      <patternFill patternType="solid">
        <fgColor rgb="FFDCEAF3"/>
      </patternFill>
    </fill>
    <fill>
      <patternFill patternType="solid">
        <fgColor rgb="FF247A96"/>
      </patternFill>
    </fill>
    <fill>
      <patternFill patternType="solid">
        <fgColor rgb="FFEAF5FA"/>
      </patternFill>
    </fill>
  </fills>
  <borders count="37">
    <border/>
    <border>
      <right style="thin">
        <color rgb="FFC7D3DD"/>
      </right>
    </border>
    <border>
      <left style="thin">
        <color rgb="FFC7D3DD"/>
      </left>
      <right style="thin">
        <color rgb="FFC7D3DD"/>
      </right>
    </border>
    <border>
      <left style="thin">
        <color rgb="FFC7D3DD"/>
      </left>
    </border>
    <border>
      <right style="thin">
        <color rgb="FFE1E7EC"/>
      </right>
      <bottom style="thin">
        <color rgb="FFE1E7EC"/>
      </bottom>
    </border>
    <border>
      <left style="thin">
        <color rgb="FFE1E7EC"/>
      </left>
      <right style="thin">
        <color rgb="FFE1E7EC"/>
      </right>
      <bottom style="thin">
        <color rgb="FFE1E7EC"/>
      </bottom>
    </border>
    <border>
      <left style="thin">
        <color rgb="FFE1E7EC"/>
      </left>
      <bottom style="thin">
        <color rgb="FFE1E7EC"/>
      </bottom>
    </border>
    <border>
      <right style="thin">
        <color rgb="FFE1E7EC"/>
      </right>
      <top style="thin">
        <color rgb="FFE1E7EC"/>
      </top>
      <bottom style="thin">
        <color rgb="FFE1E7EC"/>
      </bottom>
    </border>
    <border>
      <left style="thin">
        <color rgb="FFE1E7EC"/>
      </left>
      <right style="thin">
        <color rgb="FFE1E7EC"/>
      </right>
      <top style="thin">
        <color rgb="FFE1E7EC"/>
      </top>
      <bottom style="thin">
        <color rgb="FFE1E7EC"/>
      </bottom>
    </border>
    <border>
      <left style="thin">
        <color rgb="FFE1E7EC"/>
      </left>
      <top style="thin">
        <color rgb="FFE1E7EC"/>
      </top>
      <bottom style="thin">
        <color rgb="FFE1E7EC"/>
      </bottom>
    </border>
    <border>
      <right style="thin">
        <color rgb="FFE1E7EC"/>
      </right>
      <top style="thin">
        <color rgb="FFE1E7EC"/>
      </top>
    </border>
    <border>
      <left style="thin">
        <color rgb="FFE1E7EC"/>
      </left>
      <right style="thin">
        <color rgb="FFE1E7EC"/>
      </right>
      <top style="thin">
        <color rgb="FFE1E7EC"/>
      </top>
    </border>
    <border>
      <left style="thin">
        <color rgb="FFE1E7EC"/>
      </left>
      <top style="thin">
        <color rgb="FFE1E7EC"/>
      </top>
    </border>
    <border>
      <left style="thin">
        <color rgb="FFB8C8D3"/>
      </left>
      <top style="thin">
        <color rgb="FFB8C8D3"/>
      </top>
    </border>
    <border>
      <right style="thin">
        <color rgb="FFB8C8D3"/>
      </right>
      <top style="thin">
        <color rgb="FFB8C8D3"/>
      </top>
    </border>
    <border>
      <left style="thin">
        <color rgb="FFB8C8D3"/>
      </left>
      <bottom style="thin">
        <color rgb="FFB8C8D3"/>
      </bottom>
    </border>
    <border>
      <right style="thin">
        <color rgb="FFB8C8D3"/>
      </right>
      <bottom style="thin">
        <color rgb="FFB8C8D3"/>
      </bottom>
    </border>
    <border>
      <right style="thin">
        <color rgb="FFD8E0E6"/>
      </right>
      <bottom style="thin">
        <color rgb="FFD8E0E6"/>
      </bottom>
    </border>
    <border>
      <left style="thin">
        <color rgb="FFD8E0E6"/>
      </left>
      <right style="thin">
        <color rgb="FFD8E0E6"/>
      </right>
      <bottom style="thin">
        <color rgb="FFD8E0E6"/>
      </bottom>
    </border>
    <border>
      <left style="thin">
        <color rgb="FFD8E0E6"/>
      </left>
      <bottom style="thin">
        <color rgb="FFD8E0E6"/>
      </bottom>
    </border>
    <border>
      <right style="thin">
        <color rgb="FFD8E0E6"/>
      </right>
      <top style="thin">
        <color rgb="FFD8E0E6"/>
      </top>
      <bottom style="thin">
        <color rgb="FFD8E0E6"/>
      </bottom>
    </border>
    <border>
      <left style="thin">
        <color rgb="FFD8E0E6"/>
      </left>
      <right style="thin">
        <color rgb="FFD8E0E6"/>
      </right>
      <top style="thin">
        <color rgb="FFD8E0E6"/>
      </top>
      <bottom style="thin">
        <color rgb="FFD8E0E6"/>
      </bottom>
    </border>
    <border>
      <left style="thin">
        <color rgb="FFD8E0E6"/>
      </left>
      <top style="thin">
        <color rgb="FFD8E0E6"/>
      </top>
      <bottom style="thin">
        <color rgb="FFD8E0E6"/>
      </bottom>
    </border>
    <border>
      <right style="thin">
        <color rgb="FFD8E0E6"/>
      </right>
      <top style="thin">
        <color rgb="FFD8E0E6"/>
      </top>
    </border>
    <border>
      <left style="thin">
        <color rgb="FFD8E0E6"/>
      </left>
      <right style="thin">
        <color rgb="FFD8E0E6"/>
      </right>
      <top style="thin">
        <color rgb="FFD8E0E6"/>
      </top>
    </border>
    <border>
      <left style="thin">
        <color rgb="FFD8E0E6"/>
      </left>
      <top style="thin">
        <color rgb="FFD8E0E6"/>
      </top>
    </border>
    <border>
      <bottom style="thin">
        <color rgb="FFD9E2E8"/>
      </bottom>
    </border>
    <border>
      <top style="thin">
        <color rgb="FFD9E2E8"/>
      </top>
      <bottom style="thin">
        <color rgb="FFD9E2E8"/>
      </bottom>
    </border>
    <border>
      <top style="thin">
        <color rgb="FFD9E2E8"/>
      </top>
    </border>
    <border>
      <top style="thin">
        <color rgb="FFD8E0E6"/>
      </top>
    </border>
    <border>
      <right style="thin">
        <color rgb="FFD8E0E6"/>
      </right>
    </border>
    <border>
      <bottom style="thin">
        <color rgb="FFD8E0E6"/>
      </bottom>
    </border>
    <border>
      <top style="thin">
        <color rgb="FFD8E0E6"/>
      </top>
      <bottom style="thin">
        <color rgb="FFD8E0E6"/>
      </bottom>
    </border>
    <border>
      <left style="thin">
        <color rgb="FFB8C8D3"/>
      </left>
      <right style="thin">
        <color rgb="FFB8C8D3"/>
      </right>
      <top style="thin">
        <color rgb="FFB8C8D3"/>
      </top>
    </border>
    <border>
      <top style="thin">
        <color rgb="FFB8C8D3"/>
      </top>
    </border>
    <border>
      <left style="thin">
        <color rgb="FFB8C8D3"/>
      </left>
      <right style="thin">
        <color rgb="FFB8C8D3"/>
      </right>
      <bottom style="thin">
        <color rgb="FFB8C8D3"/>
      </bottom>
    </border>
    <border>
      <right style="thin">
        <color rgb="FFB8C8D3"/>
      </right>
    </border>
  </borders>
  <cellStyleXfs count="1">
    <xf numFmtId="0" fontId="0" fillId="0" borderId="0"/>
  </cellStyleXfs>
  <cellXfs count="140">
    <xf numFmtId="0" fontId="0" fillId="0" borderId="0" pivotButton="0" quotePrefix="0" xfId="0"/>
    <xf numFmtId="0" fontId="3" fillId="4" borderId="1" applyAlignment="1" pivotButton="0" quotePrefix="0" xfId="0">
      <alignment vertical="center" wrapText="1"/>
    </xf>
    <xf numFmtId="0" fontId="3" fillId="4" borderId="2" applyAlignment="1" pivotButton="0" quotePrefix="0" xfId="0">
      <alignment vertical="center" wrapText="1"/>
    </xf>
    <xf numFmtId="0" fontId="3" fillId="4" borderId="3" applyAlignment="1" pivotButton="0" quotePrefix="0" xfId="0">
      <alignment vertical="center" wrapText="1"/>
    </xf>
    <xf numFmtId="0" fontId="4" fillId="0" borderId="4" applyAlignment="1" pivotButton="0" quotePrefix="0" xfId="0">
      <alignment vertical="top" wrapText="1"/>
    </xf>
    <xf numFmtId="0" fontId="4" fillId="0" borderId="5" applyAlignment="1" pivotButton="0" quotePrefix="0" xfId="0">
      <alignment vertical="top" wrapText="1"/>
    </xf>
    <xf numFmtId="0" fontId="4" fillId="0" borderId="6" applyAlignment="1" pivotButton="0" quotePrefix="0" xfId="0">
      <alignment vertical="top" wrapText="1"/>
    </xf>
    <xf numFmtId="0" fontId="4" fillId="0" borderId="7" applyAlignment="1" pivotButton="0" quotePrefix="0" xfId="0">
      <alignment vertical="top" wrapText="1"/>
    </xf>
    <xf numFmtId="0" fontId="4" fillId="0" borderId="8" applyAlignment="1" pivotButton="0" quotePrefix="0" xfId="0">
      <alignment vertical="top" wrapText="1"/>
    </xf>
    <xf numFmtId="0" fontId="4" fillId="0" borderId="9" applyAlignment="1" pivotButton="0" quotePrefix="0" xfId="0">
      <alignment vertical="top" wrapText="1"/>
    </xf>
    <xf numFmtId="0" fontId="4" fillId="0" borderId="10" applyAlignment="1" pivotButton="0" quotePrefix="0" xfId="0">
      <alignment vertical="top" wrapText="1"/>
    </xf>
    <xf numFmtId="0" fontId="4" fillId="0" borderId="11" applyAlignment="1" pivotButton="0" quotePrefix="0" xfId="0">
      <alignment vertical="top" wrapText="1"/>
    </xf>
    <xf numFmtId="0" fontId="4" fillId="0" borderId="12" applyAlignment="1" pivotButton="0" quotePrefix="0" xfId="0">
      <alignment vertical="top" wrapText="1"/>
    </xf>
    <xf numFmtId="9" fontId="4" fillId="0" borderId="5" applyAlignment="1" pivotButton="0" quotePrefix="0" xfId="0">
      <alignment vertical="top" wrapText="1"/>
    </xf>
    <xf numFmtId="9" fontId="4" fillId="0" borderId="8" applyAlignment="1" pivotButton="0" quotePrefix="0" xfId="0">
      <alignment vertical="top" wrapText="1"/>
    </xf>
    <xf numFmtId="9" fontId="4" fillId="0" borderId="11" applyAlignment="1" pivotButton="0" quotePrefix="0" xfId="0">
      <alignment vertical="top" wrapText="1"/>
    </xf>
    <xf numFmtId="0" fontId="3" fillId="2" borderId="0" pivotButton="0" quotePrefix="0" xfId="0"/>
    <xf numFmtId="0" fontId="5" fillId="5" borderId="0" applyAlignment="1" pivotButton="0" quotePrefix="0" xfId="0">
      <alignment wrapText="1"/>
    </xf>
    <xf numFmtId="164" fontId="4" fillId="0" borderId="5" applyAlignment="1" pivotButton="0" quotePrefix="0" xfId="0">
      <alignment vertical="top" wrapText="1"/>
    </xf>
    <xf numFmtId="164" fontId="4" fillId="0" borderId="8" applyAlignment="1" pivotButton="0" quotePrefix="0" xfId="0">
      <alignment vertical="top" wrapText="1"/>
    </xf>
    <xf numFmtId="164" fontId="4" fillId="0" borderId="11" applyAlignment="1" pivotButton="0" quotePrefix="0" xfId="0">
      <alignment vertical="top" wrapText="1"/>
    </xf>
    <xf numFmtId="1" fontId="4" fillId="0" borderId="5" applyAlignment="1" pivotButton="0" quotePrefix="0" xfId="0">
      <alignment vertical="top" wrapText="1"/>
    </xf>
    <xf numFmtId="1" fontId="4" fillId="0" borderId="8" applyAlignment="1" pivotButton="0" quotePrefix="0" xfId="0">
      <alignment vertical="top" wrapText="1"/>
    </xf>
    <xf numFmtId="1" fontId="4" fillId="0" borderId="11" applyAlignment="1" pivotButton="0" quotePrefix="0" xfId="0">
      <alignment vertical="top" wrapText="1"/>
    </xf>
    <xf numFmtId="165" fontId="4" fillId="0" borderId="5" applyAlignment="1" pivotButton="0" quotePrefix="0" xfId="0">
      <alignment vertical="top" wrapText="1"/>
    </xf>
    <xf numFmtId="165" fontId="4" fillId="0" borderId="8" applyAlignment="1" pivotButton="0" quotePrefix="0" xfId="0">
      <alignment vertical="top" wrapText="1"/>
    </xf>
    <xf numFmtId="165" fontId="4" fillId="0" borderId="11" applyAlignment="1" pivotButton="0" quotePrefix="0" xfId="0">
      <alignment vertical="top" wrapText="1"/>
    </xf>
    <xf numFmtId="165" fontId="4" fillId="0" borderId="6" applyAlignment="1" pivotButton="0" quotePrefix="0" xfId="0">
      <alignment vertical="top" wrapText="1"/>
    </xf>
    <xf numFmtId="165" fontId="4" fillId="0" borderId="9" applyAlignment="1" pivotButton="0" quotePrefix="0" xfId="0">
      <alignment vertical="top" wrapText="1"/>
    </xf>
    <xf numFmtId="165" fontId="4" fillId="0" borderId="12" applyAlignment="1" pivotButton="0" quotePrefix="0" xfId="0">
      <alignment vertical="top" wrapText="1"/>
    </xf>
    <xf numFmtId="164" fontId="4" fillId="0" borderId="6" applyAlignment="1" pivotButton="0" quotePrefix="0" xfId="0">
      <alignment vertical="top" wrapText="1"/>
    </xf>
    <xf numFmtId="164" fontId="4" fillId="0" borderId="9" applyAlignment="1" pivotButton="0" quotePrefix="0" xfId="0">
      <alignment vertical="top" wrapText="1"/>
    </xf>
    <xf numFmtId="164" fontId="4" fillId="0" borderId="12" applyAlignment="1" pivotButton="0" quotePrefix="0" xfId="0">
      <alignment vertical="top" wrapText="1"/>
    </xf>
    <xf numFmtId="3" fontId="4" fillId="0" borderId="5" applyAlignment="1" pivotButton="0" quotePrefix="0" xfId="0">
      <alignment vertical="top" wrapText="1"/>
    </xf>
    <xf numFmtId="3" fontId="4" fillId="0" borderId="8" applyAlignment="1" pivotButton="0" quotePrefix="0" xfId="0">
      <alignment vertical="top" wrapText="1"/>
    </xf>
    <xf numFmtId="3" fontId="4" fillId="0" borderId="11" applyAlignment="1" pivotButton="0" quotePrefix="0" xfId="0">
      <alignment vertical="top" wrapText="1"/>
    </xf>
    <xf numFmtId="0" fontId="1" fillId="2" borderId="0" applyAlignment="1" pivotButton="0" quotePrefix="0" xfId="0">
      <alignment vertical="center"/>
    </xf>
    <xf numFmtId="0" fontId="0" fillId="0" borderId="0" applyAlignment="1" pivotButton="0" quotePrefix="0" xfId="0">
      <alignment wrapText="1"/>
    </xf>
    <xf numFmtId="165" fontId="0" fillId="0" borderId="0" applyAlignment="1" pivotButton="0" quotePrefix="0" xfId="0">
      <alignment wrapText="1"/>
    </xf>
    <xf numFmtId="0" fontId="3" fillId="12" borderId="0" applyAlignment="1" pivotButton="0" quotePrefix="0" xfId="0">
      <alignment wrapText="1"/>
    </xf>
    <xf numFmtId="0" fontId="0" fillId="0" borderId="27" applyAlignment="1" pivotButton="0" quotePrefix="0" xfId="0">
      <alignment vertical="top" wrapText="1"/>
    </xf>
    <xf numFmtId="165" fontId="0" fillId="0" borderId="27" applyAlignment="1" pivotButton="0" quotePrefix="0" xfId="0">
      <alignment vertical="top" wrapText="1"/>
    </xf>
    <xf numFmtId="0" fontId="0" fillId="0" borderId="28" applyAlignment="1" pivotButton="0" quotePrefix="0" xfId="0">
      <alignment vertical="top" wrapText="1"/>
    </xf>
    <xf numFmtId="165" fontId="0" fillId="0" borderId="28" applyAlignment="1" pivotButton="0" quotePrefix="0" xfId="0">
      <alignment vertical="top" wrapText="1"/>
    </xf>
    <xf numFmtId="0" fontId="0" fillId="13" borderId="26" applyAlignment="1" pivotButton="0" quotePrefix="0" xfId="0">
      <alignment vertical="top" wrapText="1"/>
    </xf>
    <xf numFmtId="165" fontId="0" fillId="13" borderId="26" applyAlignment="1" pivotButton="0" quotePrefix="0" xfId="0">
      <alignment vertical="top" wrapText="1"/>
    </xf>
    <xf numFmtId="0" fontId="0" fillId="13" borderId="27" applyAlignment="1" pivotButton="0" quotePrefix="0" xfId="0">
      <alignment vertical="top" wrapText="1"/>
    </xf>
    <xf numFmtId="165" fontId="0" fillId="13" borderId="27" applyAlignment="1" pivotButton="0" quotePrefix="0" xfId="0">
      <alignment vertical="top" wrapText="1"/>
    </xf>
    <xf numFmtId="9" fontId="0" fillId="0" borderId="0" applyAlignment="1" pivotButton="0" quotePrefix="0" xfId="0">
      <alignment wrapText="1"/>
    </xf>
    <xf numFmtId="0" fontId="10" fillId="8" borderId="0" applyAlignment="1" pivotButton="0" quotePrefix="0" xfId="0">
      <alignment horizontal="left" vertical="center"/>
    </xf>
    <xf numFmtId="0" fontId="11" fillId="9" borderId="0" applyAlignment="1" pivotButton="0" quotePrefix="0" xfId="0">
      <alignment vertical="center" wrapText="1"/>
    </xf>
    <xf numFmtId="0" fontId="11" fillId="9" borderId="0" applyAlignment="1" pivotButton="0" quotePrefix="0" xfId="0">
      <alignment vertical="center"/>
    </xf>
    <xf numFmtId="0" fontId="9" fillId="5" borderId="20" applyAlignment="1" pivotButton="0" quotePrefix="0" xfId="0">
      <alignment vertical="top" wrapText="1"/>
    </xf>
    <xf numFmtId="0" fontId="9" fillId="5" borderId="21" applyAlignment="1" pivotButton="0" quotePrefix="0" xfId="0">
      <alignment vertical="top" wrapText="1"/>
    </xf>
    <xf numFmtId="0" fontId="9" fillId="5" borderId="22" applyAlignment="1" pivotButton="0" quotePrefix="0" xfId="0">
      <alignment vertical="top" wrapText="1"/>
    </xf>
    <xf numFmtId="0" fontId="9" fillId="5" borderId="23" applyAlignment="1" pivotButton="0" quotePrefix="0" xfId="0">
      <alignment vertical="top" wrapText="1"/>
    </xf>
    <xf numFmtId="0" fontId="9" fillId="5" borderId="24" applyAlignment="1" pivotButton="0" quotePrefix="0" xfId="0">
      <alignment vertical="top" wrapText="1"/>
    </xf>
    <xf numFmtId="0" fontId="9" fillId="5" borderId="25" applyAlignment="1" pivotButton="0" quotePrefix="0" xfId="0">
      <alignment vertical="top" wrapText="1"/>
    </xf>
    <xf numFmtId="0" fontId="8" fillId="2" borderId="0" pivotButton="0" quotePrefix="0" xfId="0"/>
    <xf numFmtId="0" fontId="0" fillId="0" borderId="0" pivotButton="0" quotePrefix="0" xfId="0"/>
    <xf numFmtId="0" fontId="9" fillId="5" borderId="17" applyAlignment="1" pivotButton="0" quotePrefix="0" xfId="0">
      <alignment vertical="top" wrapText="1"/>
    </xf>
    <xf numFmtId="0" fontId="9" fillId="5" borderId="18" applyAlignment="1" pivotButton="0" quotePrefix="0" xfId="0">
      <alignment vertical="top" wrapText="1"/>
    </xf>
    <xf numFmtId="0" fontId="9" fillId="5" borderId="19" applyAlignment="1" pivotButton="0" quotePrefix="0" xfId="0">
      <alignment vertical="top" wrapText="1"/>
    </xf>
    <xf numFmtId="0" fontId="1" fillId="2" borderId="0" applyAlignment="1" pivotButton="0" quotePrefix="0" xfId="0">
      <alignment vertical="center"/>
    </xf>
    <xf numFmtId="0" fontId="2" fillId="3" borderId="0" applyAlignment="1" pivotButton="0" quotePrefix="0" xfId="0">
      <alignment vertical="center" wrapText="1"/>
    </xf>
    <xf numFmtId="0" fontId="6" fillId="6" borderId="13" applyAlignment="1" pivotButton="0" quotePrefix="0" xfId="0">
      <alignment horizontal="center" vertical="center"/>
    </xf>
    <xf numFmtId="0" fontId="0" fillId="6" borderId="14" applyAlignment="1" pivotButton="0" quotePrefix="0" xfId="0">
      <alignment horizontal="center" vertical="center"/>
    </xf>
    <xf numFmtId="0" fontId="7" fillId="6" borderId="15" applyAlignment="1" pivotButton="0" quotePrefix="0" xfId="0">
      <alignment horizontal="center" vertical="center"/>
    </xf>
    <xf numFmtId="0" fontId="0" fillId="6" borderId="16" applyAlignment="1" pivotButton="0" quotePrefix="0" xfId="0">
      <alignment horizontal="center" vertical="center"/>
    </xf>
    <xf numFmtId="0" fontId="6" fillId="7" borderId="13" applyAlignment="1" pivotButton="0" quotePrefix="0" xfId="0">
      <alignment horizontal="center" vertical="center"/>
    </xf>
    <xf numFmtId="0" fontId="0" fillId="7" borderId="14" applyAlignment="1" pivotButton="0" quotePrefix="0" xfId="0">
      <alignment horizontal="center" vertical="center"/>
    </xf>
    <xf numFmtId="0" fontId="7" fillId="7" borderId="15" applyAlignment="1" pivotButton="0" quotePrefix="0" xfId="0">
      <alignment horizontal="center" vertical="center"/>
    </xf>
    <xf numFmtId="0" fontId="0" fillId="7" borderId="16" applyAlignment="1" pivotButton="0" quotePrefix="0" xfId="0">
      <alignment horizontal="center" vertical="center"/>
    </xf>
    <xf numFmtId="0" fontId="3" fillId="10" borderId="0" pivotButton="0" quotePrefix="0" xfId="0"/>
    <xf numFmtId="0" fontId="12" fillId="11" borderId="0" applyAlignment="1" pivotButton="0" quotePrefix="0" xfId="0">
      <alignment wrapText="1"/>
    </xf>
    <xf numFmtId="0" fontId="0" fillId="0" borderId="31" pivotButton="0" quotePrefix="0" xfId="0"/>
    <xf numFmtId="0" fontId="0" fillId="0" borderId="17" pivotButton="0" quotePrefix="0" xfId="0"/>
    <xf numFmtId="0" fontId="0" fillId="0" borderId="32" pivotButton="0" quotePrefix="0" xfId="0"/>
    <xf numFmtId="0" fontId="0" fillId="0" borderId="20" pivotButton="0" quotePrefix="0" xfId="0"/>
    <xf numFmtId="0" fontId="0" fillId="0" borderId="29" pivotButton="0" quotePrefix="0" xfId="0"/>
    <xf numFmtId="0" fontId="0" fillId="0" borderId="23" pivotButton="0" quotePrefix="0" xfId="0"/>
    <xf numFmtId="0" fontId="6" fillId="6" borderId="33" applyAlignment="1" pivotButton="0" quotePrefix="0" xfId="0">
      <alignment horizontal="center" vertical="center"/>
    </xf>
    <xf numFmtId="0" fontId="0" fillId="0" borderId="14" pivotButton="0" quotePrefix="0" xfId="0"/>
    <xf numFmtId="0" fontId="6" fillId="7" borderId="33" applyAlignment="1" pivotButton="0" quotePrefix="0" xfId="0">
      <alignment horizontal="center" vertical="center"/>
    </xf>
    <xf numFmtId="0" fontId="7" fillId="6" borderId="35" applyAlignment="1" pivotButton="0" quotePrefix="0" xfId="0">
      <alignment horizontal="center" vertical="center"/>
    </xf>
    <xf numFmtId="0" fontId="0" fillId="0" borderId="16" pivotButton="0" quotePrefix="0" xfId="0"/>
    <xf numFmtId="0" fontId="7" fillId="7" borderId="35" applyAlignment="1" pivotButton="0" quotePrefix="0" xfId="0">
      <alignment horizontal="center" vertical="center"/>
    </xf>
    <xf numFmtId="166" fontId="0" fillId="0" borderId="0" applyAlignment="1" pivotButton="0" quotePrefix="0" xfId="0">
      <alignment wrapText="1"/>
    </xf>
    <xf numFmtId="166"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wrapText="1"/>
    </xf>
    <xf numFmtId="0" fontId="2" fillId="3" borderId="0" applyAlignment="1" pivotButton="0" quotePrefix="0" xfId="0">
      <alignment vertical="center" wrapText="1"/>
    </xf>
    <xf numFmtId="0" fontId="3" fillId="4" borderId="1" applyAlignment="1" pivotButton="0" quotePrefix="0" xfId="0">
      <alignment vertical="center" wrapText="1"/>
    </xf>
    <xf numFmtId="0" fontId="3" fillId="4" borderId="2" applyAlignment="1" pivotButton="0" quotePrefix="0" xfId="0">
      <alignment vertical="center" wrapText="1"/>
    </xf>
    <xf numFmtId="0" fontId="3" fillId="4" borderId="3" applyAlignment="1" pivotButton="0" quotePrefix="0" xfId="0">
      <alignment vertical="center" wrapText="1"/>
    </xf>
    <xf numFmtId="0" fontId="4" fillId="0" borderId="4" applyAlignment="1" pivotButton="0" quotePrefix="0" xfId="0">
      <alignment vertical="top" wrapText="1"/>
    </xf>
    <xf numFmtId="0" fontId="4" fillId="0" borderId="5" applyAlignment="1" pivotButton="0" quotePrefix="0" xfId="0">
      <alignment vertical="top" wrapText="1"/>
    </xf>
    <xf numFmtId="164" fontId="4" fillId="0" borderId="5" applyAlignment="1" pivotButton="0" quotePrefix="0" xfId="0">
      <alignment vertical="top" wrapText="1"/>
    </xf>
    <xf numFmtId="1" fontId="4" fillId="0" borderId="5" applyAlignment="1" pivotButton="0" quotePrefix="0" xfId="0">
      <alignment vertical="top" wrapText="1"/>
    </xf>
    <xf numFmtId="0" fontId="4" fillId="0" borderId="6" applyAlignment="1" pivotButton="0" quotePrefix="0" xfId="0">
      <alignment vertical="top" wrapText="1"/>
    </xf>
    <xf numFmtId="0" fontId="4" fillId="0" borderId="7" applyAlignment="1" pivotButton="0" quotePrefix="0" xfId="0">
      <alignment vertical="top" wrapText="1"/>
    </xf>
    <xf numFmtId="0" fontId="4" fillId="0" borderId="8" applyAlignment="1" pivotButton="0" quotePrefix="0" xfId="0">
      <alignment vertical="top" wrapText="1"/>
    </xf>
    <xf numFmtId="164" fontId="4" fillId="0" borderId="8" applyAlignment="1" pivotButton="0" quotePrefix="0" xfId="0">
      <alignment vertical="top" wrapText="1"/>
    </xf>
    <xf numFmtId="1" fontId="4" fillId="0" borderId="8" applyAlignment="1" pivotButton="0" quotePrefix="0" xfId="0">
      <alignment vertical="top" wrapText="1"/>
    </xf>
    <xf numFmtId="0" fontId="4" fillId="0" borderId="9" applyAlignment="1" pivotButton="0" quotePrefix="0" xfId="0">
      <alignment vertical="top" wrapText="1"/>
    </xf>
    <xf numFmtId="0" fontId="4" fillId="0" borderId="10" applyAlignment="1" pivotButton="0" quotePrefix="0" xfId="0">
      <alignment vertical="top" wrapText="1"/>
    </xf>
    <xf numFmtId="0" fontId="4" fillId="0" borderId="11" applyAlignment="1" pivotButton="0" quotePrefix="0" xfId="0">
      <alignment vertical="top" wrapText="1"/>
    </xf>
    <xf numFmtId="164" fontId="4" fillId="0" borderId="11" applyAlignment="1" pivotButton="0" quotePrefix="0" xfId="0">
      <alignment vertical="top" wrapText="1"/>
    </xf>
    <xf numFmtId="1" fontId="4" fillId="0" borderId="11" applyAlignment="1" pivotButton="0" quotePrefix="0" xfId="0">
      <alignment vertical="top" wrapText="1"/>
    </xf>
    <xf numFmtId="0" fontId="4" fillId="0" borderId="12"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3" fillId="4" borderId="1" applyAlignment="1" pivotButton="0" quotePrefix="0" xfId="0">
      <alignment vertical="top" wrapText="1"/>
    </xf>
    <xf numFmtId="0" fontId="3" fillId="4" borderId="2" applyAlignment="1" pivotButton="0" quotePrefix="0" xfId="0">
      <alignment vertical="top" wrapText="1"/>
    </xf>
    <xf numFmtId="0" fontId="3" fillId="4" borderId="3" applyAlignment="1" pivotButton="0" quotePrefix="0" xfId="0">
      <alignment vertical="top" wrapText="1"/>
    </xf>
    <xf numFmtId="165" fontId="4" fillId="0" borderId="5" applyAlignment="1" pivotButton="0" quotePrefix="0" xfId="0">
      <alignment vertical="top" wrapText="1"/>
    </xf>
    <xf numFmtId="165" fontId="4" fillId="0" borderId="6" applyAlignment="1" pivotButton="0" quotePrefix="0" xfId="0">
      <alignment vertical="top" wrapText="1"/>
    </xf>
    <xf numFmtId="165" fontId="4" fillId="0" borderId="8" applyAlignment="1" pivotButton="0" quotePrefix="0" xfId="0">
      <alignment vertical="top" wrapText="1"/>
    </xf>
    <xf numFmtId="165" fontId="4" fillId="0" borderId="9" applyAlignment="1" pivotButton="0" quotePrefix="0" xfId="0">
      <alignment vertical="top" wrapText="1"/>
    </xf>
    <xf numFmtId="165" fontId="4" fillId="0" borderId="11" applyAlignment="1" pivotButton="0" quotePrefix="0" xfId="0">
      <alignment vertical="top" wrapText="1"/>
    </xf>
    <xf numFmtId="165" fontId="4" fillId="0" borderId="12" applyAlignment="1" pivotButton="0" quotePrefix="0" xfId="0">
      <alignment vertical="top" wrapText="1"/>
    </xf>
    <xf numFmtId="165" fontId="0" fillId="0" borderId="0" applyAlignment="1" pivotButton="0" quotePrefix="0" xfId="0">
      <alignment wrapText="1"/>
    </xf>
    <xf numFmtId="165" fontId="0" fillId="0" borderId="0" applyAlignment="1" pivotButton="0" quotePrefix="0" xfId="0">
      <alignment vertical="top" wrapText="1"/>
    </xf>
    <xf numFmtId="166" fontId="0" fillId="0" borderId="0" applyAlignment="1" pivotButton="0" quotePrefix="0" xfId="0">
      <alignment vertical="top" wrapText="1"/>
    </xf>
    <xf numFmtId="0" fontId="3" fillId="2" borderId="0" applyAlignment="1" pivotButton="0" quotePrefix="0" xfId="0">
      <alignment wrapText="1"/>
    </xf>
    <xf numFmtId="0" fontId="12" fillId="9" borderId="0" applyAlignment="1" pivotButton="0" quotePrefix="0" xfId="0">
      <alignment wrapText="1"/>
    </xf>
    <xf numFmtId="0" fontId="3" fillId="12" borderId="0" applyAlignment="1" pivotButton="0" quotePrefix="0" xfId="0">
      <alignment wrapText="1"/>
    </xf>
    <xf numFmtId="0" fontId="0" fillId="13" borderId="26" applyAlignment="1" pivotButton="0" quotePrefix="0" xfId="0">
      <alignment vertical="top" wrapText="1"/>
    </xf>
    <xf numFmtId="165" fontId="0" fillId="13" borderId="26" applyAlignment="1" pivotButton="0" quotePrefix="0" xfId="0">
      <alignment vertical="top" wrapText="1"/>
    </xf>
    <xf numFmtId="0" fontId="0" fillId="0" borderId="27" applyAlignment="1" pivotButton="0" quotePrefix="0" xfId="0">
      <alignment vertical="top" wrapText="1"/>
    </xf>
    <xf numFmtId="165" fontId="0" fillId="0" borderId="27" applyAlignment="1" pivotButton="0" quotePrefix="0" xfId="0">
      <alignment vertical="top" wrapText="1"/>
    </xf>
    <xf numFmtId="0" fontId="0" fillId="13" borderId="27" applyAlignment="1" pivotButton="0" quotePrefix="0" xfId="0">
      <alignment vertical="top" wrapText="1"/>
    </xf>
    <xf numFmtId="165" fontId="0" fillId="13" borderId="27" applyAlignment="1" pivotButton="0" quotePrefix="0" xfId="0">
      <alignment vertical="top" wrapText="1"/>
    </xf>
    <xf numFmtId="0" fontId="0" fillId="0" borderId="28" applyAlignment="1" pivotButton="0" quotePrefix="0" xfId="0">
      <alignment vertical="top" wrapText="1"/>
    </xf>
    <xf numFmtId="165" fontId="0" fillId="0" borderId="28" applyAlignment="1" pivotButton="0" quotePrefix="0" xfId="0">
      <alignment vertical="top" wrapText="1"/>
    </xf>
    <xf numFmtId="0" fontId="3" fillId="2" borderId="0" applyAlignment="1" pivotButton="0" quotePrefix="0" xfId="0">
      <alignment vertical="top" wrapText="1"/>
    </xf>
    <xf numFmtId="0" fontId="12" fillId="9" borderId="0" applyAlignment="1" pivotButton="0" quotePrefix="0" xfId="0">
      <alignment vertical="top" wrapText="1"/>
    </xf>
    <xf numFmtId="0" fontId="3" fillId="12" borderId="0" applyAlignment="1" pivotButton="0" quotePrefix="0" xfId="0">
      <alignment vertical="top" wrapText="1"/>
    </xf>
    <xf numFmtId="166" fontId="0" fillId="0" borderId="0" applyAlignment="1" pivotButton="0" quotePrefix="0" xfId="0">
      <alignment vertical="top" wrapText="1"/>
    </xf>
  </cellXfs>
  <cellStyles count="1">
    <cellStyle name="Normal" xfId="0"/>
  </cellStyles>
  <dxfs count="5">
    <dxf>
      <font>
        <b val="1"/>
        <color rgb="FF246B32"/>
      </font>
      <fill>
        <patternFill>
          <bgColor rgb="FFD9EEDC"/>
        </patternFill>
      </fill>
    </dxf>
    <dxf>
      <font>
        <b val="1"/>
        <color rgb="FF9B2C24"/>
      </font>
      <fill>
        <patternFill>
          <bgColor rgb="FFFCE0DC"/>
        </patternFill>
      </fill>
    </dxf>
    <dxf>
      <font>
        <b val="1"/>
        <color rgb="FF9B2C24"/>
      </font>
      <fill>
        <patternFill>
          <bgColor rgb="FFFCE0DC"/>
        </patternFill>
      </fill>
    </dxf>
    <dxf>
      <font>
        <b val="1"/>
        <color rgb="FF17324D"/>
      </font>
      <fill>
        <patternFill>
          <bgColor rgb="FFDDEAF2"/>
        </patternFill>
      </fill>
    </dxf>
    <dxf>
      <font>
        <b val="1"/>
        <color rgb="FF7A5300"/>
      </font>
      <fill>
        <patternFill>
          <bgColor rgb="FFFCE8B2"/>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Highest-priority accounts</a:t>
            </a:r>
          </a:p>
        </rich>
      </tx>
      <overlay val="0"/>
    </title>
    <plotArea>
      <barChart>
        <barDir val="col"/>
        <grouping val="clustered"/>
        <varyColors val="0"/>
        <ser>
          <idx val="0"/>
          <order val="0"/>
          <tx>
            <v>Score</v>
          </tx>
          <spPr>
            <a:ln xmlns:a="http://schemas.openxmlformats.org/drawingml/2006/main">
              <a:prstDash val="solid"/>
            </a:ln>
          </spPr>
          <cat>
            <strRef>
              <f>Dashboard!$A$10:$A$21</f>
              <strCache>
                <ptCount val="12"/>
                <pt idx="0">
                  <v>DEL TACO LLC</v>
                </pt>
                <pt idx="1">
                  <v>FIVE GUYS</v>
                </pt>
                <pt idx="2">
                  <v>Focus Brands (GoTo Foods)</v>
                </pt>
                <pt idx="3">
                  <v>SUBWAY</v>
                </pt>
                <pt idx="4">
                  <v>THE STEAK N SHAKE CO</v>
                </pt>
                <pt idx="5">
                  <v>CHOICE HOTELS</v>
                </pt>
                <pt idx="6">
                  <v>RDS FIVE-UNIT REBRAND PILOT</v>
                </pt>
                <pt idx="7">
                  <v>POLLO CAMPERO</v>
                </pt>
                <pt idx="8">
                  <v>EAT'N PARK HOSPITALITY GRP INC</v>
                </pt>
                <pt idx="9">
                  <v>FREDDY'S FROZEN CUSTARD LLC</v>
                </pt>
                <pt idx="10">
                  <v>PAPA JOHN'S USA, INC.</v>
                </pt>
                <pt idx="11">
                  <v>CRACKER BARREL OLD COUNTRY STORE, INC.</v>
                </pt>
              </strCache>
            </strRef>
          </cat>
          <val>
            <numRef>
              <f>Dashboard!$B$10:$B$21</f>
              <numCache>
                <formatCode>0.0</formatCode>
                <ptCount val="12"/>
                <pt idx="0">
                  <v>83</v>
                </pt>
                <pt idx="1">
                  <v>82</v>
                </pt>
                <pt idx="2">
                  <v>81</v>
                </pt>
                <pt idx="3">
                  <v>79</v>
                </pt>
                <pt idx="4">
                  <v>76</v>
                </pt>
                <pt idx="5">
                  <v>75</v>
                </pt>
                <pt idx="6">
                  <v>74</v>
                </pt>
                <pt idx="7">
                  <v>72</v>
                </pt>
                <pt idx="8">
                  <v>64</v>
                </pt>
                <pt idx="9">
                  <v>63</v>
                </pt>
                <pt idx="10">
                  <v>62</v>
                </pt>
                <pt idx="11">
                  <v>61</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72768"/>
        <crosses val="autoZero"/>
        <lblOffset val="100"/>
      </catAx>
      <valAx>
        <axId val="48672768"/>
        <scaling>
          <orientation val="minMax"/>
        </scaling>
        <delete val="0"/>
        <axPos val="l"/>
        <majorGridlines>
          <spPr>
            <a:ln xmlns:a="http://schemas.openxmlformats.org/drawingml/2006/main" w="9525">
              <a:solidFill>
                <a:srgbClr val="CCCCCC"/>
              </a:solidFill>
              <a:prstDash val="dash"/>
            </a:ln>
          </spPr>
        </majorGridlines>
        <numFmt formatCode="0.0" sourceLinked="1"/>
        <majorTickMark val="none"/>
        <minorTickMark val="none"/>
        <tickLblPos val="nextTo"/>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Accounts by RM / route</a:t>
            </a:r>
          </a:p>
        </rich>
      </tx>
      <overlay val="0"/>
    </title>
    <plotArea>
      <barChart>
        <barDir val="col"/>
        <grouping val="clustered"/>
        <varyColors val="0"/>
        <ser>
          <idx val="0"/>
          <order val="0"/>
          <tx>
            <v>Opportunities</v>
          </tx>
          <spPr>
            <a:ln xmlns:a="http://schemas.openxmlformats.org/drawingml/2006/main">
              <a:prstDash val="solid"/>
            </a:ln>
          </spPr>
          <cat>
            <strRef>
              <f>Dashboard!$D$10:$D$15</f>
              <strCache>
                <ptCount val="6"/>
                <pt idx="0">
                  <v>Avery Churchwell</v>
                </pt>
                <pt idx="1">
                  <v>Brian Wood</v>
                </pt>
                <pt idx="2">
                  <v>Maggie Lenhart</v>
                </pt>
                <pt idx="3">
                  <v>Stacie Davis</v>
                </pt>
                <pt idx="4">
                  <v>RDS / Darren Heinze</v>
                </pt>
                <pt idx="5">
                  <v>Unassigned / Worldpay</v>
                </pt>
              </strCache>
            </strRef>
          </cat>
          <val>
            <numRef>
              <f>Dashboard!$E$10:$E$15</f>
              <numCache>
                <formatCode>General</formatCode>
                <ptCount val="6"/>
                <pt idx="0">
                  <v>11</v>
                </pt>
                <pt idx="1">
                  <v>8</v>
                </pt>
                <pt idx="2">
                  <v>6</v>
                </pt>
                <pt idx="3">
                  <v>3</v>
                </pt>
                <pt idx="4">
                  <v>1</v>
                </pt>
                <pt idx="5">
                  <v>1</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72768"/>
        <crosses val="autoZero"/>
        <lblOffset val="10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Incumbent lifecycle posture</a:t>
            </a:r>
          </a:p>
        </rich>
      </tx>
      <overlay val="0"/>
    </title>
    <plotArea>
      <pieChart>
        <varyColors val="1"/>
        <ser>
          <idx val="0"/>
          <order val="0"/>
          <tx>
            <v>Opportunities</v>
          </tx>
          <spPr>
            <a:ln xmlns:a="http://schemas.openxmlformats.org/drawingml/2006/main">
              <a:prstDash val="solid"/>
            </a:ln>
          </spPr>
          <cat>
            <strRef>
              <f>Dashboard!$G$10:$G$14</f>
              <strCache>
                <ptCount val="5"/>
                <pt idx="0">
                  <v>Mature/Aging</v>
                </pt>
                <pt idx="1">
                  <v>Deploying/New</v>
                </pt>
                <pt idx="2">
                  <v>Other/Mixed</v>
                </pt>
                <pt idx="3">
                  <v>Established</v>
                </pt>
                <pt idx="4">
                  <v>Proprietary</v>
                </pt>
              </strCache>
            </strRef>
          </cat>
          <val>
            <numRef>
              <f>Dashboard!$H$10:$H$14</f>
              <numCache>
                <formatCode>General</formatCode>
                <ptCount val="5"/>
                <pt idx="0">
                  <v>4</v>
                </pt>
                <pt idx="1">
                  <v>6</v>
                </pt>
                <pt idx="2">
                  <v>6</v>
                </pt>
                <pt idx="3">
                  <v>11</v>
                </pt>
                <pt idx="4">
                  <v>3</v>
                </pt>
              </numCache>
            </numRef>
          </val>
        </ser>
        <dLbls>
          <showLegendKey val="0"/>
          <showVal val="0"/>
          <showCatName val="0"/>
          <showSerName val="0"/>
          <showPercent val="0"/>
          <showBubbleSize val="0"/>
          <showLeaderLines val="1"/>
        </dLbls>
        <firstSliceAng val="0"/>
      </pieChart>
    </plotArea>
    <legend>
      <legendPos val="b"/>
      <overlay val="0"/>
    </legend>
    <plotVisOnly val="1"/>
    <dispBlanksAs val="gap"/>
  </chart>
  <spPr>
    <a:ln xmlns:a="http://schemas.openxmlformats.org/drawingml/2006/main" w="9525">
      <a:solidFill>
        <a:srgbClr val="D9D9D9"/>
      </a:solidFill>
      <a:prstDash val="solid"/>
    </a:ln>
  </spPr>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Opportunity motion</a:t>
            </a:r>
          </a:p>
        </rich>
      </tx>
      <overlay val="0"/>
    </title>
    <plotArea>
      <barChart>
        <barDir val="col"/>
        <grouping val="clustered"/>
        <varyColors val="0"/>
        <ser>
          <idx val="0"/>
          <order val="0"/>
          <tx>
            <v>Opportunities</v>
          </tx>
          <spPr>
            <a:ln xmlns:a="http://schemas.openxmlformats.org/drawingml/2006/main">
              <a:prstDash val="solid"/>
            </a:ln>
          </spPr>
          <cat>
            <strRef>
              <f>Dashboard!$J$10:$J$13</f>
              <strCache>
                <ptCount val="4"/>
                <pt idx="0">
                  <v>POS-led</v>
                </pt>
                <pt idx="1">
                  <v>Adjacent-led</v>
                </pt>
                <pt idx="2">
                  <v>Discovery/other</v>
                </pt>
                <pt idx="3">
                  <v>Win-back</v>
                </pt>
              </strCache>
            </strRef>
          </cat>
          <val>
            <numRef>
              <f>Dashboard!$K$10:$K$13</f>
              <numCache>
                <formatCode>General</formatCode>
                <ptCount val="4"/>
                <pt idx="0">
                  <v>7</v>
                </pt>
                <pt idx="1">
                  <v>8</v>
                </pt>
                <pt idx="2">
                  <v>14</v>
                </pt>
                <pt idx="3">
                  <v>1</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72768"/>
        <crosses val="autoZero"/>
        <lblOffset val="10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Technology-stack verification coverage</a:t>
            </a:r>
          </a:p>
        </rich>
      </tx>
      <overlay val="0"/>
    </title>
    <plotArea>
      <barChart>
        <barDir val="col"/>
        <grouping val="clustered"/>
        <varyColors val="0"/>
        <ser>
          <idx val="0"/>
          <order val="0"/>
          <tx>
            <v>Named vendor / scope</v>
          </tx>
          <spPr>
            <a:ln xmlns:a="http://schemas.openxmlformats.org/drawingml/2006/main">
              <a:prstDash val="solid"/>
            </a:ln>
          </spPr>
          <cat>
            <strRef>
              <f>Dashboard!$A$26:$A$34</f>
              <strCache>
                <ptCount val="9"/>
                <pt idx="0">
                  <v>POS</v>
                </pt>
                <pt idx="1">
                  <v>Payments</v>
                </pt>
                <pt idx="2">
                  <v>Digital</v>
                </pt>
                <pt idx="3">
                  <v>Loyalty/CRM</v>
                </pt>
                <pt idx="4">
                  <v>Back Office</v>
                </pt>
                <pt idx="5">
                  <v>Kiosk/DMB</v>
                </pt>
                <pt idx="6">
                  <v>KDS</v>
                </pt>
                <pt idx="7">
                  <v>Drive-Thru</v>
                </pt>
                <pt idx="8">
                  <v>Hardware</v>
                </pt>
              </strCache>
            </strRef>
          </cat>
          <val>
            <numRef>
              <f>Dashboard!$B$26:$B$34</f>
              <numCache>
                <formatCode>General</formatCode>
                <ptCount val="9"/>
                <pt idx="0">
                  <v>31</v>
                </pt>
                <pt idx="1">
                  <v>30</v>
                </pt>
                <pt idx="2">
                  <v>30</v>
                </pt>
                <pt idx="3">
                  <v>2</v>
                </pt>
                <pt idx="4">
                  <v>3</v>
                </pt>
                <pt idx="5">
                  <v>13</v>
                </pt>
                <pt idx="6">
                  <v>1</v>
                </pt>
                <pt idx="7">
                  <v>1</v>
                </pt>
                <pt idx="8">
                  <v>20</v>
                </pt>
              </numCache>
            </numRef>
          </val>
        </ser>
        <ser>
          <idx val="1"/>
          <order val="1"/>
          <tx>
            <v>Unverified / gap</v>
          </tx>
          <spPr>
            <a:ln xmlns:a="http://schemas.openxmlformats.org/drawingml/2006/main">
              <a:prstDash val="solid"/>
            </a:ln>
          </spPr>
          <cat>
            <strRef>
              <f>Dashboard!$A$26:$A$34</f>
              <strCache>
                <ptCount val="9"/>
                <pt idx="0">
                  <v>POS</v>
                </pt>
                <pt idx="1">
                  <v>Payments</v>
                </pt>
                <pt idx="2">
                  <v>Digital</v>
                </pt>
                <pt idx="3">
                  <v>Loyalty/CRM</v>
                </pt>
                <pt idx="4">
                  <v>Back Office</v>
                </pt>
                <pt idx="5">
                  <v>Kiosk/DMB</v>
                </pt>
                <pt idx="6">
                  <v>KDS</v>
                </pt>
                <pt idx="7">
                  <v>Drive-Thru</v>
                </pt>
                <pt idx="8">
                  <v>Hardware</v>
                </pt>
              </strCache>
            </strRef>
          </cat>
          <val>
            <numRef>
              <f>Dashboard!$C$26:$C$34</f>
              <numCache>
                <formatCode>General</formatCode>
                <ptCount val="9"/>
                <pt idx="0">
                  <v>1</v>
                </pt>
                <pt idx="1">
                  <v>2</v>
                </pt>
                <pt idx="2">
                  <v>2</v>
                </pt>
                <pt idx="3">
                  <v>30</v>
                </pt>
                <pt idx="4">
                  <v>29</v>
                </pt>
                <pt idx="5">
                  <v>19</v>
                </pt>
                <pt idx="6">
                  <v>31</v>
                </pt>
                <pt idx="7">
                  <v>31</v>
                </pt>
                <pt idx="8">
                  <v>12</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72768"/>
        <crosses val="autoZero"/>
        <lblOffset val="10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50112"/>
        <crosses val="autoZero"/>
        <crossBetween val="between"/>
      </valAx>
    </plotArea>
    <legend>
      <legendPos val="b"/>
      <overlay val="0"/>
    </legend>
    <plotVisOnly val="1"/>
    <dispBlanksAs val="gap"/>
  </chart>
  <spPr>
    <a:ln xmlns:a="http://schemas.openxmlformats.org/drawingml/2006/main" w="9525">
      <a:solidFill>
        <a:srgbClr val="D9D9D9"/>
      </a:solidFill>
      <a:prstDash val="solid"/>
    </a:ln>
  </spPr>
</chartSpace>
</file>

<file path=xl/comments/comment1.xml><?xml version="1.0" encoding="utf-8"?>
<comments xmlns="http://schemas.openxmlformats.org/spreadsheetml/2006/main">
  <authors>
    <author>tc={C63431F5-303C-9D75-A670-6BDB6561D22E}</author>
    <author>tc={F809DE46-53FD-A48E-0876-F2DF04598070}</author>
    <author>tc={DCD780D1-0589-CEE6-16A6-797F02588972}</author>
    <author>tc={806A4198-2E03-BB35-60FE-4967B5BB57B3}</author>
  </authors>
  <commentList>
    <comment ref="C5" authorId="0" shapeId="0">
      <text>
        <t>[Threaded comment]
Your version of Excel allows you to read this threaded comment; however, any edits to it will get removed if the file is opened in a newer version of Excel. Learn more: https://go.microsoft.com/fwlink/?linkid=870924
Comment:
    Evidence and caveats are recorded in the Evidence Ledger and Conflict Register. Research date: 2026-07-20.</t>
      </text>
    </comment>
    <comment ref="C6" authorId="1" shapeId="0">
      <text>
        <t>[Threaded comment]
Your version of Excel allows you to read this threaded comment; however, any edits to it will get removed if the file is opened in a newer version of Excel. Learn more: https://go.microsoft.com/fwlink/?linkid=870924
Comment:
    Evidence and caveats are recorded in the Evidence Ledger and Conflict Register. Research date: 2026-07-20.</t>
      </text>
    </comment>
    <comment ref="C8" authorId="2" shapeId="0">
      <text>
        <t>[Threaded comment]
Your version of Excel allows you to read this threaded comment; however, any edits to it will get removed if the file is opened in a newer version of Excel. Learn more: https://go.microsoft.com/fwlink/?linkid=870924
Comment:
    Evidence and caveats are recorded in the Evidence Ledger and Conflict Register. Research date: 2026-07-20.</t>
      </text>
    </comment>
    <comment ref="C23" authorId="3" shapeId="0">
      <text>
        <t>[Threaded comment]
Your version of Excel allows you to read this threaded comment; however, any edits to it will get removed if the file is opened in a newer version of Excel. Learn more: https://go.microsoft.com/fwlink/?linkid=870924
Comment:
    Evidence and caveats are recorded in the Evidence Ledger and Conflict Register. Research date: 2026-07-20.</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twoCellAnchor>
    <from>
      <col>0</col>
      <colOff>0</colOff>
      <row>36</row>
      <rowOff>0</rowOff>
    </from>
    <to>
      <col>7</col>
      <colOff>0</colOff>
      <row>55</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0</colOff>
      <row>36</row>
      <rowOff>0</rowOff>
    </from>
    <to>
      <col>14</col>
      <colOff>0</colOff>
      <row>55</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0</col>
      <colOff>0</colOff>
      <row>56</row>
      <rowOff>0</rowOff>
    </from>
    <to>
      <col>7</col>
      <colOff>0</colOff>
      <row>75</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7</col>
      <colOff>0</colOff>
      <row>56</row>
      <rowOff>0</rowOff>
    </from>
    <to>
      <col>14</col>
      <colOff>0</colOff>
      <row>75</row>
      <rowOff>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0</colOff>
      <row>76</row>
      <rowOff>0</rowOff>
    </from>
    <to>
      <col>14</col>
      <colOff>0</colOff>
      <row>97</row>
      <rowOff>0</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wsDr>
</file>

<file path=xl/tables/table1.xml><?xml version="1.0" encoding="utf-8"?>
<table xmlns="http://schemas.openxmlformats.org/spreadsheetml/2006/main" id="1" name="RankedPortfolioTable" displayName="RankedPortfolioTable" ref="A4:V34" headerRowCount="1" totalsRowShown="0">
  <tableColumns count="22">
    <tableColumn id="1" name="Rank"/>
    <tableColumn id="2" name="Priority"/>
    <tableColumn id="3" name="Account"/>
    <tableColumn id="4" name="RM"/>
    <tableColumn id="5" name="Tier"/>
    <tableColumn id="6" name="Locations"/>
    <tableColumn id="7" name="Score"/>
    <tableColumn id="8" name="Strategic Value"/>
    <tableColumn id="9" name="Active Trigger"/>
    <tableColumn id="10" name="Access"/>
    <tableColumn id="11" name="Lifecycle"/>
    <tableColumn id="12" name="Deployment Health"/>
    <tableColumn id="13" name="Whitespace"/>
    <tableColumn id="14" name="Coordination"/>
    <tableColumn id="15" name="Trigger / Current State"/>
    <tableColumn id="16" name="Lifecycle Posture"/>
    <tableColumn id="17" name="Health"/>
    <tableColumn id="18" name="Opportunity Type"/>
    <tableColumn id="19" name="Immediate Next Action"/>
    <tableColumn id="20" name="Key Vendors"/>
    <tableColumn id="21" name="Field Intelligence"/>
    <tableColumn id="22" name="Evidence Confidence"/>
  </tableColumns>
  <tableStyleInfo name="TableStyleMedium2" showFirstColumn="0" showLastColumn="0" showRowStripes="1" showColumnStripes="0"/>
</table>
</file>

<file path=xl/tables/table2.xml><?xml version="1.0" encoding="utf-8"?>
<table xmlns="http://schemas.openxmlformats.org/spreadsheetml/2006/main" id="2" name="StackTable" displayName="StackTable" ref="A4:R36" headerRowCount="1" totalsRowShown="0">
  <tableColumns count="18">
    <tableColumn id="1" name="Account"/>
    <tableColumn id="2" name="RM"/>
    <tableColumn id="3" name="POS"/>
    <tableColumn id="4" name="Payments / Gateway"/>
    <tableColumn id="5" name="Digital / Ordering"/>
    <tableColumn id="6" name="Loyalty / CRM"/>
    <tableColumn id="7" name="Back Office / Labor / Inventory"/>
    <tableColumn id="8" name="Kiosk / DMB"/>
    <tableColumn id="9" name="KDS / Kitchen"/>
    <tableColumn id="10" name="Drive-Thru"/>
    <tableColumn id="11" name="Hardware"/>
    <tableColumn id="12" name="Lifecycle"/>
    <tableColumn id="13" name="Deployment Health"/>
    <tableColumn id="14" name="Known Layers"/>
    <tableColumn id="15" name="Unknown Layers"/>
    <tableColumn id="16" name="Coverage %"/>
    <tableColumn id="17" name="Primary Opportunity"/>
    <tableColumn id="18" name="Next Verification"/>
  </tableColumns>
  <tableStyleInfo name="TableStyleMedium4" showFirstColumn="0" showLastColumn="0" showRowStripes="1" showColumnStripes="0"/>
</table>
</file>

<file path=xl/tables/table3.xml><?xml version="1.0" encoding="utf-8"?>
<table xmlns="http://schemas.openxmlformats.org/spreadsheetml/2006/main" id="3" name="EvidenceTable" displayName="EvidenceTable" ref="A4:J74" headerRowCount="1" totalsRowCount="0" totalsRowShown="0">
  <tableColumns count="10">
    <tableColumn id="1" name="Account"/>
    <tableColumn id="2" name="Technology Layer"/>
    <tableColumn id="3" name="Event Type"/>
    <tableColumn id="4" name="Event Date"/>
    <tableColumn id="5" name="Source / Publisher"/>
    <tableColumn id="6" name="Evidence Summary"/>
    <tableColumn id="7" name="Source URL or Reference"/>
    <tableColumn id="8" name="Confidence"/>
    <tableColumn id="9" name="Current-State Interpretation"/>
    <tableColumn id="10" name="Research Date"/>
  </tableColumns>
  <tableStyleInfo name="TableStyleMedium2" showFirstColumn="0" showLastColumn="0" showRowStripes="1" showColumnStripes="0"/>
</table>
</file>

<file path=xl/tables/table4.xml><?xml version="1.0" encoding="utf-8"?>
<table xmlns="http://schemas.openxmlformats.org/spreadsheetml/2006/main" id="4" name="ConflictTable" displayName="ConflictTable" ref="A4:G17" headerRowCount="1" totalsRowShown="0">
  <tableColumns count="7">
    <tableColumn id="1" name="Account"/>
    <tableColumn id="2" name="Issue"/>
    <tableColumn id="3" name="Incoming / Legacy View"/>
    <tableColumn id="4" name="Newer Evidence"/>
    <tableColumn id="5" name="Evidence Type"/>
    <tableColumn id="6" name="Resolution Action"/>
    <tableColumn id="7" name="Status"/>
  </tableColumns>
  <tableStyleInfo name="TableStyleMedium9" showFirstColumn="0" showLastColumn="0" showRowStripes="1" showColumnStripes="0"/>
</table>
</file>

<file path=xl/tables/table5.xml><?xml version="1.0" encoding="utf-8"?>
<table xmlns="http://schemas.openxmlformats.org/spreadsheetml/2006/main" id="5" name="RMTable" displayName="RMTable" ref="A4:H10" headerRowCount="1" totalsRowShown="0">
  <tableColumns count="8">
    <tableColumn id="1" name="RM"/>
    <tableColumn id="2" name="Opportunity Accounts"/>
    <tableColumn id="3" name="P1 Accounts"/>
    <tableColumn id="4" name="Average Score"/>
    <tableColumn id="5" name="Top Ranked Accounts"/>
    <tableColumn id="6" name="Trigger Summary"/>
    <tableColumn id="7" name="Workshop Focus"/>
    <tableColumn id="8" name="Required Output"/>
  </tableColumns>
  <tableStyleInfo name="TableStyleMedium4" showFirstColumn="0" showLastColumn="0" showRowStripes="1" showColumnStripes="0"/>
</table>
</file>

<file path=xl/tables/table6.xml><?xml version="1.0" encoding="utf-8"?>
<table xmlns="http://schemas.openxmlformats.org/spreadsheetml/2006/main" id="6" name="WorldpaySourceTable" displayName="WorldpaySourceTable" ref="A1:AS31" headerRowCount="1" totalsRowShown="0">
  <tableColumns count="45">
    <tableColumn id="1" name="Merchant"/>
    <tableColumn id="2" name="DIrect ID"/>
    <tableColumn id="3" name="Superchain/Corp Chain"/>
    <tableColumn id="4" name="Franchise Code"/>
    <tableColumn id="5" name="National Bank"/>
    <tableColumn id="6" name="CP/Ecom"/>
    <tableColumn id="7" name="Owner"/>
    <tableColumn id="8" name="Vertical"/>
    <tableColumn id="9" name="2022_x000a_Jan-Sep"/>
    <tableColumn id="10" name="2022_x000a_Forecast"/>
    <tableColumn id="11" name="Tier"/>
    <tableColumn id="12" name="# of Locations"/>
    <tableColumn id="13" name="% Corporated Owned"/>
    <tableColumn id="14" name="% Franchise Owned."/>
    <tableColumn id="15" name="Int'l?"/>
    <tableColumn id="16" name="RM"/>
    <tableColumn id="17" name="CSM"/>
    <tableColumn id="18" name="PCO?"/>
    <tableColumn id="19" name="Franchise Relationship Manager"/>
    <tableColumn id="20" name="Notes"/>
    <tableColumn id="21" name="POS"/>
    <tableColumn id="22" name="ISV"/>
    <tableColumn id="23" name="Terminals"/>
    <tableColumn id="24" name="Kiosk"/>
    <tableColumn id="25" name="Ecommerce-Worldpay"/>
    <tableColumn id="26" name="Ecommerce-Other"/>
    <tableColumn id="27" name="Tier Adj_x000a_(Susan)"/>
    <tableColumn id="28" name="Vertical Adj_x000a_(James)"/>
    <tableColumn id="29" name="Tier Adj_x000a_(James)"/>
    <tableColumn id="30" name="James"/>
    <tableColumn id="31" name="Notes.1"/>
    <tableColumn id="32" name="Missing"/>
    <tableColumn id="33" name="Unnamed: 32"/>
    <tableColumn id="34" name="Unnamed: 33"/>
    <tableColumn id="35" name="Unnamed: 34"/>
    <tableColumn id="36" name="Unnamed: 35"/>
    <tableColumn id="37" name="Unnamed: 36"/>
    <tableColumn id="38" name="Unnamed: 37"/>
    <tableColumn id="39" name="Unnamed: 38"/>
    <tableColumn id="40" name="Unnamed: 39"/>
    <tableColumn id="41" name="Unnamed: 40"/>
    <tableColumn id="42" name="Unnamed: 41"/>
    <tableColumn id="43" name="Unnamed: 42"/>
    <tableColumn id="44" name="Unnamed: 43"/>
    <tableColumn id="45" name="Unnamed: 44"/>
  </tableColumns>
  <tableStyleInfo name="TableStyleMedium2" showFirstColumn="0" showLastColumn="0" showRowStripes="1" showColumnStripes="0"/>
</table>
</file>

<file path=xl/tables/table7.xml><?xml version="1.0" encoding="utf-8"?>
<table xmlns="http://schemas.openxmlformats.org/spreadsheetml/2006/main" id="7" name="WorldpayChangeLogTable" displayName="WorldpayChangeLogTable" ref="A4:H19" headerRowCount="1" totalsRowCount="0" totalsRowShown="0">
  <tableColumns count="8">
    <tableColumn id="1" name="Priority"/>
    <tableColumn id="2" name="Account / Theme"/>
    <tableColumn id="3" name="Change"/>
    <tableColumn id="4" name="New Status"/>
    <tableColumn id="5" name="Confidence"/>
    <tableColumn id="6" name="Immediate Next Action"/>
    <tableColumn id="7" name="Owner / Route"/>
    <tableColumn id="8" name="Review By"/>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9.xml.rels><Relationships xmlns="http://schemas.openxmlformats.org/package/2006/relationships"><Relationship Type="http://schemas.openxmlformats.org/officeDocument/2006/relationships/table" Target="/xl/tables/table6.xml" Id="rId1"/></Relationships>
</file>

<file path=xl/worksheets/_rels/sheet10.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H29"/>
  <sheetViews>
    <sheetView showGridLines="0" workbookViewId="0">
      <selection activeCell="A1" sqref="A1"/>
    </sheetView>
  </sheetViews>
  <sheetFormatPr baseColWidth="10" defaultColWidth="8.83203125" defaultRowHeight="14"/>
  <cols>
    <col width="22" customWidth="1" style="59" min="1" max="1"/>
    <col width="45" customWidth="1" style="59" min="2" max="2"/>
    <col width="10" customWidth="1" style="59" min="3" max="3"/>
    <col width="18" customWidth="1" style="59" min="4" max="4"/>
    <col width="30" customWidth="1" style="59" min="5" max="5"/>
    <col width="70" customWidth="1" style="59" min="6" max="6"/>
  </cols>
  <sheetData>
    <row r="1" ht="34" customHeight="1" s="59">
      <c r="A1" s="49" t="inlineStr">
        <is>
          <t>Executive Summary — Worldpay Master Account Plan | 2026-09-04</t>
        </is>
      </c>
      <c r="G1" s="63" t="n"/>
      <c r="H1" s="63" t="n"/>
    </row>
    <row r="2" ht="24" customHeight="1" s="59">
      <c r="A2" s="50" t="inlineStr">
        <is>
          <t>Research and account intelligence refreshed through 2026-09-28 | 30 scored accounts plus 85 supplemental unranked ABM targets | Existing scores and tiers unchanged pending human review</t>
        </is>
      </c>
    </row>
    <row r="4" ht="28" customHeight="1" s="59">
      <c r="A4" s="92" t="inlineStr">
        <is>
          <t>Portfolio Signal</t>
        </is>
      </c>
      <c r="B4" s="94" t="inlineStr">
        <is>
          <t>Current Read</t>
        </is>
      </c>
    </row>
    <row r="5" ht="26" customHeight="1" s="59">
      <c r="A5" s="95" t="inlineStr">
        <is>
          <t>#1 priority</t>
        </is>
      </c>
      <c r="B5" s="99" t="inlineStr">
        <is>
          <t>Del Taco — complete extension, consolidate GP leads and validate the post-Yadav technology/consolidation event</t>
        </is>
      </c>
    </row>
    <row r="6" ht="26" customHeight="1" s="59">
      <c r="A6" s="100" t="inlineStr">
        <is>
          <t>#2 priority</t>
        </is>
      </c>
      <c r="B6" s="104" t="inlineStr">
        <is>
          <t>Five Guys — centralize outreach through Todd and Avery, use FSTEC for relationship-led access, and validate the buying event before presenting any funding model</t>
        </is>
      </c>
    </row>
    <row r="7" ht="26" customHeight="1" s="59">
      <c r="A7" s="100" t="inlineStr">
        <is>
          <t>Channel pilot</t>
        </is>
      </c>
      <c r="B7" s="104" t="inlineStr">
        <is>
          <t>RDS five-unit rebrand — qualify the clean-slate pilot, protection rules and reseller operating model before Genius World</t>
        </is>
      </c>
    </row>
    <row r="8" ht="26" customHeight="1" s="59">
      <c r="A8" s="100" t="inlineStr">
        <is>
          <t>Scope verification</t>
        </is>
      </c>
      <c r="B8" s="104" t="inlineStr">
        <is>
          <t>Subway — replace the prior DMB assumption with reported global Genius KDS; verify product, sites, owner and commitments</t>
        </is>
      </c>
    </row>
    <row r="9" ht="26" customHeight="1" s="59">
      <c r="A9" s="105" t="inlineStr">
        <is>
          <t>Watchlist guardrail</t>
        </is>
      </c>
      <c r="B9" s="109" t="inlineStr">
        <is>
          <t>Freddy's and Slim Chickens are RDS-led/no-direct-outreach; Papa Johns is deployment/adjacency watch, not POS displacement</t>
        </is>
      </c>
    </row>
    <row r="12" ht="28" customHeight="1" s="59">
      <c r="A12" s="92" t="inlineStr">
        <is>
          <t>Rank</t>
        </is>
      </c>
      <c r="B12" s="93" t="inlineStr">
        <is>
          <t>Account</t>
        </is>
      </c>
      <c r="C12" s="93" t="inlineStr">
        <is>
          <t>Score</t>
        </is>
      </c>
      <c r="D12" s="93" t="inlineStr">
        <is>
          <t>RM</t>
        </is>
      </c>
      <c r="E12" s="93" t="inlineStr">
        <is>
          <t>Opportunity Motion</t>
        </is>
      </c>
      <c r="F12" s="94" t="inlineStr">
        <is>
          <t>Immediate Action</t>
        </is>
      </c>
    </row>
    <row r="13" ht="26" customHeight="1" s="59">
      <c r="A13" s="95" t="n">
        <v>1</v>
      </c>
      <c r="B13" s="96" t="inlineStr">
        <is>
          <t>DEL TACO LLC</t>
        </is>
      </c>
      <c r="C13" s="97" t="n">
        <v>83</v>
      </c>
      <c r="D13" s="96" t="inlineStr">
        <is>
          <t>Maggie Lenhart</t>
        </is>
      </c>
      <c r="E13" s="96" t="inlineStr">
        <is>
          <t>POS/payments + multi-brand consolidation</t>
        </is>
      </c>
      <c r="F13" s="99" t="inlineStr">
        <is>
          <t>Complete the extension, consolidate all GP leads, map Yadav technology governance and confirm any sourcing or vendor-consolidation event.</t>
        </is>
      </c>
    </row>
    <row r="14" ht="26" customHeight="1" s="59">
      <c r="A14" s="100" t="n">
        <v>2</v>
      </c>
      <c r="B14" s="101" t="inlineStr">
        <is>
          <t>FIVE GUYS</t>
        </is>
      </c>
      <c r="C14" s="102" t="n">
        <v>82</v>
      </c>
      <c r="D14" s="101" t="inlineStr">
        <is>
          <t>Avery Churchwell</t>
        </is>
      </c>
      <c r="E14" s="101" t="inlineStr">
        <is>
          <t>Pre-RFP shaping + transaction-metered POS feasibility</t>
        </is>
      </c>
      <c r="F14" s="104" t="inlineStr">
        <is>
          <t>Centralize all Five Guys outreach through Todd and Avery; avoid generic prospecting. Use FSTEC only for a relationship-first conversation, validate whether MJ still engages former PAR account manager Chad Kaisel, and confirm PAR term, evaluation type, sponsor, scope and global gaps before presenting any commercial model.</t>
        </is>
      </c>
    </row>
    <row r="15" ht="26" customHeight="1" s="59">
      <c r="A15" s="100" t="n">
        <v>3</v>
      </c>
      <c r="B15" s="101" t="inlineStr">
        <is>
          <t>Focus Brands (GoTo Foods)</t>
        </is>
      </c>
      <c r="C15" s="102" t="n">
        <v>81</v>
      </c>
      <c r="D15" s="101" t="inlineStr">
        <is>
          <t>Brian Wood</t>
        </is>
      </c>
      <c r="E15" s="101" t="inlineStr">
        <is>
          <t>DMB-led adjacency + payments defense</t>
        </is>
      </c>
      <c r="F15" s="104" t="inlineStr">
        <is>
          <t>Map DMB/CMS and buying center; quantify uncovered adjacencies and defend payments without positioning a near-term POS displacement.</t>
        </is>
      </c>
    </row>
    <row r="16" ht="26" customHeight="1" s="59">
      <c r="A16" s="100" t="n">
        <v>4</v>
      </c>
      <c r="B16" s="101" t="inlineStr">
        <is>
          <t>SUBWAY</t>
        </is>
      </c>
      <c r="C16" s="102" t="n">
        <v>79</v>
      </c>
      <c r="D16" s="101" t="inlineStr">
        <is>
          <t>Stacie Davis</t>
        </is>
      </c>
      <c r="E16" s="101" t="inlineStr">
        <is>
          <t>Existing Genius KDS scope verification + relationship map</t>
        </is>
      </c>
      <c r="F16" s="104" t="inlineStr">
        <is>
          <t>Confirm the Genius product owner, KDS sites, deployment status, commitments and customer sponsor before proposing any additional adjacency.</t>
        </is>
      </c>
    </row>
    <row r="17" ht="26" customHeight="1" s="59">
      <c r="A17" s="100" t="n">
        <v>5</v>
      </c>
      <c r="B17" s="101" t="inlineStr">
        <is>
          <t>THE STEAK N SHAKE CO</t>
        </is>
      </c>
      <c r="C17" s="102" t="n">
        <v>76</v>
      </c>
      <c r="D17" s="101" t="inlineStr">
        <is>
          <t>Maggie Lenhart</t>
        </is>
      </c>
      <c r="E17" s="101" t="inlineStr">
        <is>
          <t>Kiosk integration recovery + digital adjacency</t>
        </is>
      </c>
      <c r="F17" s="104" t="inlineStr">
        <is>
          <t>Name the kiosk vendor and owners; document certification, NCR reporting and mobile-app issues with dated remediation milestones.</t>
        </is>
      </c>
    </row>
    <row r="18" ht="26" customHeight="1" s="59">
      <c r="A18" s="100" t="n">
        <v>6</v>
      </c>
      <c r="B18" s="101" t="inlineStr">
        <is>
          <t>CHOICE HOTELS</t>
        </is>
      </c>
      <c r="C18" s="102" t="n">
        <v>75</v>
      </c>
      <c r="D18" s="101" t="inlineStr">
        <is>
          <t>Brian Wood</t>
        </is>
      </c>
      <c r="E18" s="101" t="inlineStr">
        <is>
          <t>Payments win-back + hospitality adjacency</t>
        </is>
      </c>
      <c r="F18" s="104" t="inlineStr">
        <is>
          <t>Confirm whether the RFP remains active, current stage, decision dates, retained Worldpay estate, sponsor and restaurant/DMB scope.</t>
        </is>
      </c>
    </row>
    <row r="19" ht="26" customHeight="1" s="59">
      <c r="A19" s="100" t="n">
        <v>7</v>
      </c>
      <c r="B19" s="101" t="inlineStr">
        <is>
          <t>RDS FIVE-UNIT REBRAND PILOT</t>
        </is>
      </c>
      <c r="C19" s="102" t="n">
        <v>74</v>
      </c>
      <c r="D19" s="101" t="inlineStr">
        <is>
          <t>RDS / Darren Heinze</t>
        </is>
      </c>
      <c r="E19" s="101" t="inlineStr">
        <is>
          <t>RDS-led Genius pilot and reseller proof</t>
        </is>
      </c>
      <c r="F19" s="104" t="inlineStr">
        <is>
          <t>Confirm entity/concept, authority, dates, budget and incumbent contracts; define scope, economics, support, success metrics and case-study rights before Genius World.</t>
        </is>
      </c>
    </row>
    <row r="20" ht="26" customHeight="1" s="59">
      <c r="A20" s="105" t="n">
        <v>8</v>
      </c>
      <c r="B20" s="106" t="inlineStr">
        <is>
          <t>POLLO CAMPERO</t>
        </is>
      </c>
      <c r="C20" s="107" t="n">
        <v>72</v>
      </c>
      <c r="D20" s="106" t="inlineStr">
        <is>
          <t>Unassigned / Worldpay</t>
        </is>
      </c>
      <c r="E20" s="106" t="inlineStr">
        <is>
          <t>RFI qualification + international platform/payments/DMB</t>
        </is>
      </c>
      <c r="F20" s="109" t="inlineStr">
        <is>
          <t>Obtain NDA/RFI, confirm sponsor and deadlines, separate the stalled referral from the procurement stream, and apply country-by-country bid/no-bid gates.</t>
        </is>
      </c>
    </row>
    <row r="23" ht="24" customHeight="1" s="59">
      <c r="A23" s="58" t="inlineStr">
        <is>
          <t>Executive conclusions</t>
        </is>
      </c>
    </row>
    <row r="24" ht="42" customHeight="1" s="59">
      <c r="A24" s="60" t="inlineStr">
        <is>
          <t>1. Del Taco remains #1. The Yadav acquisition is verified, but an active sourcing event is not; finish the extension, merge GP leads and validate post-acquisition governance.</t>
        </is>
      </c>
      <c r="B24" s="75" t="n"/>
      <c r="C24" s="75" t="n"/>
      <c r="D24" s="75" t="n"/>
      <c r="E24" s="75" t="n"/>
      <c r="F24" s="75" t="n"/>
      <c r="G24" s="75" t="n"/>
      <c r="H24" s="76" t="n"/>
    </row>
    <row r="25" ht="42" customHeight="1" s="59">
      <c r="A25" s="52" t="inlineStr">
        <is>
          <t>2. Five Guys remains #2 for account shaping. Uncoordinated outreach has created relationship risk; centralize activity through Todd and Avery, use FSTEC carefully, and keep the transaction-metered concept internal until approved.</t>
        </is>
      </c>
      <c r="B25" s="77" t="n"/>
      <c r="C25" s="77" t="n"/>
      <c r="D25" s="77" t="n"/>
      <c r="E25" s="77" t="n"/>
      <c r="F25" s="77" t="n"/>
      <c r="G25" s="77" t="n"/>
      <c r="H25" s="78" t="n"/>
    </row>
    <row r="26" ht="42" customHeight="1" s="59">
      <c r="A26" s="52" t="inlineStr">
        <is>
          <t>3. The RDS five-unit rebrand is the preferred near-term channel proof. Define entity, authority, stack, economics, support, protections and success metrics before expanding into protected accounts.</t>
        </is>
      </c>
      <c r="B26" s="77" t="n"/>
      <c r="C26" s="77" t="n"/>
      <c r="D26" s="77" t="n"/>
      <c r="E26" s="77" t="n"/>
      <c r="F26" s="77" t="n"/>
      <c r="G26" s="77" t="n"/>
      <c r="H26" s="78" t="n"/>
    </row>
    <row r="27" ht="42" customHeight="1" s="59">
      <c r="A27" s="52" t="inlineStr">
        <is>
          <t>4. Subway requires urgent scope correction: current internal intelligence indicates proprietary POS plus a global Genius KDS deployment, not DMB.</t>
        </is>
      </c>
      <c r="B27" s="77" t="n"/>
      <c r="C27" s="77" t="n"/>
      <c r="D27" s="77" t="n"/>
      <c r="E27" s="77" t="n"/>
      <c r="F27" s="77" t="n"/>
      <c r="G27" s="77" t="n"/>
      <c r="H27" s="78" t="n"/>
    </row>
    <row r="28" ht="42" customHeight="1" s="59">
      <c r="A28" s="52" t="inlineStr">
        <is>
          <t>5. Freddy's and Slim Chickens remain RDS-led. Slim Chickens now has an FSTEC relationship opening; Freddy's remains unresponsive. Little Caesars has active support contact but stalled commercial follow-up, and Red Robin warrants renewed qualification.</t>
        </is>
      </c>
      <c r="B28" s="77" t="n"/>
      <c r="C28" s="77" t="n"/>
      <c r="D28" s="77" t="n"/>
      <c r="E28" s="77" t="n"/>
      <c r="F28" s="77" t="n"/>
      <c r="G28" s="77" t="n"/>
      <c r="H28" s="78" t="n"/>
    </row>
    <row r="29" ht="42" customHeight="1" s="59">
      <c r="A29" s="55" t="inlineStr">
        <is>
          <t>6. PAR's platform, ordering and payments-attachment strategy is the primary competitive pattern. Counter with modularity, integrations, payments economics and deployment proof.</t>
        </is>
      </c>
      <c r="B29" s="79" t="n"/>
      <c r="C29" s="79" t="n"/>
      <c r="D29" s="79" t="n"/>
      <c r="E29" s="79" t="n"/>
      <c r="F29" s="79" t="n"/>
      <c r="G29" s="79" t="n"/>
      <c r="H29" s="80" t="n"/>
    </row>
  </sheetData>
  <mergeCells count="9">
    <mergeCell ref="A2:F2"/>
    <mergeCell ref="A26:H26"/>
    <mergeCell ref="A29:H29"/>
    <mergeCell ref="A25:H25"/>
    <mergeCell ref="A24:H24"/>
    <mergeCell ref="A1:F1"/>
    <mergeCell ref="A28:H28"/>
    <mergeCell ref="A23:H23"/>
    <mergeCell ref="A27:H27"/>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N34"/>
  <sheetViews>
    <sheetView showGridLines="0" workbookViewId="0">
      <selection activeCell="A1" sqref="A1"/>
    </sheetView>
  </sheetViews>
  <sheetFormatPr baseColWidth="10" defaultColWidth="8.83203125" defaultRowHeight="14"/>
  <cols>
    <col width="29" customWidth="1" style="59" min="1" max="1"/>
    <col width="14" customWidth="1" style="59" min="2" max="3"/>
    <col width="21" customWidth="1" style="59" min="4" max="4"/>
    <col width="14" customWidth="1" style="59" min="5" max="6"/>
    <col width="20" customWidth="1" style="59" min="7" max="7"/>
    <col width="14" customWidth="1" style="59" min="8" max="9"/>
    <col width="23" customWidth="1" style="59" min="10" max="10"/>
    <col width="14" customWidth="1" style="59" min="11" max="14"/>
  </cols>
  <sheetData>
    <row r="1" ht="32" customHeight="1" s="59">
      <c r="A1" s="63" t="inlineStr">
        <is>
          <t>Worldpay Master Account Intelligence Dashboard — 2026-09-04</t>
        </is>
      </c>
    </row>
    <row r="2" ht="30" customHeight="1" s="59">
      <c r="A2" s="91" t="inlineStr">
        <is>
          <t>Portfolio refreshed through 2026-09-28. Includes 30 previously scored accounts plus 85 newly supplied unranked ABM targets pending qualification.</t>
        </is>
      </c>
    </row>
    <row r="4">
      <c r="B4" s="81" t="inlineStr">
        <is>
          <t>Opportunities</t>
        </is>
      </c>
      <c r="C4" s="82" t="n"/>
      <c r="D4" s="81" t="inlineStr">
        <is>
          <t>P1 Targets</t>
        </is>
      </c>
      <c r="E4" s="82" t="n"/>
      <c r="F4" s="83" t="inlineStr">
        <is>
          <t>Excluded / Managed Elsewhere</t>
        </is>
      </c>
      <c r="G4" s="82" t="n"/>
      <c r="H4" s="81" t="inlineStr">
        <is>
          <t>RM / Field Updates</t>
        </is>
      </c>
      <c r="I4" s="82" t="n"/>
      <c r="J4" s="81" t="inlineStr">
        <is>
          <t>Evidence Events</t>
        </is>
      </c>
      <c r="K4" s="82" t="n"/>
      <c r="L4" s="81" t="inlineStr">
        <is>
          <t>Open Conflicts</t>
        </is>
      </c>
      <c r="M4" s="82" t="n"/>
    </row>
    <row r="5" ht="26" customHeight="1" s="59">
      <c r="B5" s="84" t="n">
        <v>115</v>
      </c>
      <c r="C5" s="85" t="n"/>
      <c r="D5" s="84" t="n">
        <v>4</v>
      </c>
      <c r="E5" s="85" t="n"/>
      <c r="F5" s="86" t="n">
        <v>2</v>
      </c>
      <c r="G5" s="85" t="n"/>
      <c r="H5" s="84" t="n">
        <v>28</v>
      </c>
      <c r="I5" s="85" t="n"/>
      <c r="J5" s="84" t="n">
        <v>33</v>
      </c>
      <c r="K5" s="85" t="n"/>
      <c r="L5" s="84" t="n">
        <v>10</v>
      </c>
      <c r="M5" s="85" t="n"/>
    </row>
    <row r="9" ht="28" customHeight="1" s="59">
      <c r="A9" s="92" t="inlineStr">
        <is>
          <t>Top Opportunities</t>
        </is>
      </c>
      <c r="B9" s="94" t="inlineStr">
        <is>
          <t>Score</t>
        </is>
      </c>
      <c r="D9" s="92" t="inlineStr">
        <is>
          <t>RM / Route</t>
        </is>
      </c>
      <c r="E9" s="94" t="inlineStr">
        <is>
          <t>Opportunities</t>
        </is>
      </c>
      <c r="G9" s="92" t="inlineStr">
        <is>
          <t>Lifecycle</t>
        </is>
      </c>
      <c r="H9" s="94" t="inlineStr">
        <is>
          <t>Opportunities</t>
        </is>
      </c>
      <c r="J9" s="92" t="inlineStr">
        <is>
          <t>Opportunity Type</t>
        </is>
      </c>
      <c r="K9" s="94" t="inlineStr">
        <is>
          <t>Opportunities</t>
        </is>
      </c>
    </row>
    <row r="10">
      <c r="A10" s="95" t="inlineStr">
        <is>
          <t>DEL TACO LLC</t>
        </is>
      </c>
      <c r="B10" s="30" t="n">
        <v>83</v>
      </c>
      <c r="D10" s="95" t="inlineStr">
        <is>
          <t>Avery Churchwell</t>
        </is>
      </c>
      <c r="E10" s="99" t="n">
        <v>11</v>
      </c>
      <c r="G10" s="95" t="inlineStr">
        <is>
          <t>Mature/Aging</t>
        </is>
      </c>
      <c r="H10" s="99" t="n">
        <v>4</v>
      </c>
      <c r="J10" s="95" t="inlineStr">
        <is>
          <t>POS-led</t>
        </is>
      </c>
      <c r="K10" s="99" t="n">
        <v>7</v>
      </c>
    </row>
    <row r="11">
      <c r="A11" s="100" t="inlineStr">
        <is>
          <t>FIVE GUYS</t>
        </is>
      </c>
      <c r="B11" s="31" t="n">
        <v>82</v>
      </c>
      <c r="D11" s="100" t="inlineStr">
        <is>
          <t>Brian Wood</t>
        </is>
      </c>
      <c r="E11" s="104" t="n">
        <v>8</v>
      </c>
      <c r="G11" s="100" t="inlineStr">
        <is>
          <t>Deploying/New</t>
        </is>
      </c>
      <c r="H11" s="104" t="n">
        <v>6</v>
      </c>
      <c r="J11" s="100" t="inlineStr">
        <is>
          <t>Adjacent-led</t>
        </is>
      </c>
      <c r="K11" s="104" t="n">
        <v>8</v>
      </c>
    </row>
    <row r="12">
      <c r="A12" s="100" t="inlineStr">
        <is>
          <t>Focus Brands (GoTo Foods)</t>
        </is>
      </c>
      <c r="B12" s="31" t="n">
        <v>81</v>
      </c>
      <c r="D12" s="100" t="inlineStr">
        <is>
          <t>Maggie Lenhart</t>
        </is>
      </c>
      <c r="E12" s="104" t="n">
        <v>6</v>
      </c>
      <c r="G12" s="100" t="inlineStr">
        <is>
          <t>Other/Mixed</t>
        </is>
      </c>
      <c r="H12" s="104" t="n">
        <v>6</v>
      </c>
      <c r="J12" s="100" t="inlineStr">
        <is>
          <t>Discovery/other</t>
        </is>
      </c>
      <c r="K12" s="104" t="n">
        <v>14</v>
      </c>
    </row>
    <row r="13">
      <c r="A13" s="100" t="inlineStr">
        <is>
          <t>SUBWAY</t>
        </is>
      </c>
      <c r="B13" s="31" t="n">
        <v>79</v>
      </c>
      <c r="D13" s="105" t="inlineStr">
        <is>
          <t>Stacie Davis</t>
        </is>
      </c>
      <c r="E13" s="109" t="n">
        <v>3</v>
      </c>
      <c r="G13" s="100" t="inlineStr">
        <is>
          <t>Established</t>
        </is>
      </c>
      <c r="H13" s="104" t="n">
        <v>11</v>
      </c>
      <c r="J13" s="105" t="inlineStr">
        <is>
          <t>Win-back</t>
        </is>
      </c>
      <c r="K13" s="109" t="n">
        <v>1</v>
      </c>
    </row>
    <row r="14">
      <c r="A14" s="100" t="inlineStr">
        <is>
          <t>THE STEAK N SHAKE CO</t>
        </is>
      </c>
      <c r="B14" s="31" t="n">
        <v>76</v>
      </c>
      <c r="D14" t="inlineStr">
        <is>
          <t>RDS / Darren Heinze</t>
        </is>
      </c>
      <c r="E14" t="n">
        <v>1</v>
      </c>
      <c r="G14" s="105" t="inlineStr">
        <is>
          <t>Proprietary</t>
        </is>
      </c>
      <c r="H14" s="109" t="n">
        <v>3</v>
      </c>
    </row>
    <row r="15">
      <c r="A15" s="100" t="inlineStr">
        <is>
          <t>CHOICE HOTELS</t>
        </is>
      </c>
      <c r="B15" s="31" t="n">
        <v>75</v>
      </c>
      <c r="D15" t="inlineStr">
        <is>
          <t>Unassigned / Worldpay</t>
        </is>
      </c>
      <c r="E15" t="n">
        <v>1</v>
      </c>
    </row>
    <row r="16">
      <c r="A16" s="100" t="inlineStr">
        <is>
          <t>RDS FIVE-UNIT REBRAND PILOT</t>
        </is>
      </c>
      <c r="B16" s="31" t="n">
        <v>74</v>
      </c>
    </row>
    <row r="17">
      <c r="A17" s="100" t="inlineStr">
        <is>
          <t>POLLO CAMPERO</t>
        </is>
      </c>
      <c r="B17" s="31" t="n">
        <v>72</v>
      </c>
    </row>
    <row r="18">
      <c r="A18" s="100" t="inlineStr">
        <is>
          <t>EAT'N PARK HOSPITALITY GRP INC</t>
        </is>
      </c>
      <c r="B18" s="31" t="n">
        <v>64</v>
      </c>
    </row>
    <row r="19">
      <c r="A19" s="100" t="inlineStr">
        <is>
          <t>FREDDY'S FROZEN CUSTARD LLC</t>
        </is>
      </c>
      <c r="B19" s="31" t="n">
        <v>63</v>
      </c>
    </row>
    <row r="20">
      <c r="A20" s="100" t="inlineStr">
        <is>
          <t>PAPA JOHN'S USA, INC.</t>
        </is>
      </c>
      <c r="B20" s="31" t="n">
        <v>62</v>
      </c>
    </row>
    <row r="21" ht="26" customHeight="1" s="59">
      <c r="A21" s="105" t="inlineStr">
        <is>
          <t>CRACKER BARREL OLD COUNTRY STORE, INC.</t>
        </is>
      </c>
      <c r="B21" s="32" t="n">
        <v>61</v>
      </c>
    </row>
    <row r="25" ht="28" customHeight="1" s="59">
      <c r="A25" s="92" t="inlineStr">
        <is>
          <t>Layer</t>
        </is>
      </c>
      <c r="B25" s="93" t="inlineStr">
        <is>
          <t>Named vendor / scope</t>
        </is>
      </c>
      <c r="C25" s="94" t="inlineStr">
        <is>
          <t>Unverified / gap</t>
        </is>
      </c>
    </row>
    <row r="26">
      <c r="A26" s="95" t="inlineStr">
        <is>
          <t>POS</t>
        </is>
      </c>
      <c r="B26" s="96" t="n">
        <v>31</v>
      </c>
      <c r="C26" s="99" t="n">
        <v>1</v>
      </c>
    </row>
    <row r="27">
      <c r="A27" s="100" t="inlineStr">
        <is>
          <t>Payments</t>
        </is>
      </c>
      <c r="B27" s="101" t="n">
        <v>30</v>
      </c>
      <c r="C27" s="104" t="n">
        <v>2</v>
      </c>
    </row>
    <row r="28">
      <c r="A28" s="100" t="inlineStr">
        <is>
          <t>Digital</t>
        </is>
      </c>
      <c r="B28" s="101" t="n">
        <v>30</v>
      </c>
      <c r="C28" s="104" t="n">
        <v>2</v>
      </c>
    </row>
    <row r="29">
      <c r="A29" s="100" t="inlineStr">
        <is>
          <t>Loyalty/CRM</t>
        </is>
      </c>
      <c r="B29" s="101" t="n">
        <v>2</v>
      </c>
      <c r="C29" s="104" t="n">
        <v>30</v>
      </c>
    </row>
    <row r="30">
      <c r="A30" s="100" t="inlineStr">
        <is>
          <t>Back Office</t>
        </is>
      </c>
      <c r="B30" s="101" t="n">
        <v>3</v>
      </c>
      <c r="C30" s="104" t="n">
        <v>29</v>
      </c>
    </row>
    <row r="31">
      <c r="A31" s="100" t="inlineStr">
        <is>
          <t>Kiosk/DMB</t>
        </is>
      </c>
      <c r="B31" s="101" t="n">
        <v>13</v>
      </c>
      <c r="C31" s="104" t="n">
        <v>19</v>
      </c>
    </row>
    <row r="32">
      <c r="A32" s="100" t="inlineStr">
        <is>
          <t>KDS</t>
        </is>
      </c>
      <c r="B32" s="101" t="n">
        <v>1</v>
      </c>
      <c r="C32" s="104" t="n">
        <v>31</v>
      </c>
    </row>
    <row r="33">
      <c r="A33" s="100" t="inlineStr">
        <is>
          <t>Drive-Thru</t>
        </is>
      </c>
      <c r="B33" s="101" t="n">
        <v>1</v>
      </c>
      <c r="C33" s="104" t="n">
        <v>31</v>
      </c>
    </row>
    <row r="34">
      <c r="A34" s="105" t="inlineStr">
        <is>
          <t>Hardware</t>
        </is>
      </c>
      <c r="B34" s="106" t="n">
        <v>20</v>
      </c>
      <c r="C34" s="109" t="n">
        <v>12</v>
      </c>
    </row>
  </sheetData>
  <mergeCells count="14">
    <mergeCell ref="F4:G4"/>
    <mergeCell ref="J4:K4"/>
    <mergeCell ref="L4:M4"/>
    <mergeCell ref="J5:K5"/>
    <mergeCell ref="B5:C5"/>
    <mergeCell ref="A2:N2"/>
    <mergeCell ref="D5:E5"/>
    <mergeCell ref="F5:G5"/>
    <mergeCell ref="H5:I5"/>
    <mergeCell ref="D4:E4"/>
    <mergeCell ref="L5:M5"/>
    <mergeCell ref="H4:I4"/>
    <mergeCell ref="B4:C4"/>
    <mergeCell ref="A1:N1"/>
  </mergeCells>
  <pageMargins left="0.7" right="0.7" top="0.75" bottom="0.75" header="0.3" footer="0.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G119"/>
  <sheetViews>
    <sheetView showGridLines="0" workbookViewId="0">
      <selection activeCell="A1" sqref="A1"/>
    </sheetView>
  </sheetViews>
  <sheetFormatPr baseColWidth="10" defaultColWidth="8.83203125" defaultRowHeight="14"/>
  <cols>
    <col width="7" customWidth="1" style="59" min="1" max="1"/>
    <col width="9" customWidth="1" style="59" min="2" max="2"/>
    <col width="31" customWidth="1" style="59" min="3" max="3"/>
    <col width="18" customWidth="1" style="59" min="4" max="4"/>
    <col width="10" customWidth="1" style="59" min="5" max="7"/>
    <col width="12" customWidth="1" style="59" min="8" max="9"/>
    <col width="10" customWidth="1" style="59" min="10" max="10"/>
    <col width="11" customWidth="1" style="59" min="11" max="11"/>
    <col width="12" customWidth="1" style="59" min="12" max="12"/>
    <col width="11" customWidth="1" style="59" min="13" max="13"/>
    <col width="12" customWidth="1" style="59" min="14" max="14"/>
    <col width="32" customWidth="1" style="59" min="15" max="15"/>
    <col width="24" customWidth="1" style="59" min="16" max="16"/>
    <col width="22" customWidth="1" style="59" min="17" max="17"/>
    <col width="28" customWidth="1" style="59" min="18" max="18"/>
    <col width="48" customWidth="1" style="59" min="19" max="19"/>
    <col width="32" customWidth="1" style="59" min="20" max="20"/>
    <col width="42" customWidth="1" style="59" min="21" max="21"/>
    <col width="20" customWidth="1" style="59" min="22" max="22"/>
    <col width="20" customWidth="1" style="59" min="23" max="23"/>
    <col width="20" customWidth="1" style="59" min="24" max="24"/>
    <col width="20" customWidth="1" style="59" min="25" max="25"/>
    <col width="20" customWidth="1" style="59" min="26" max="26"/>
    <col width="20" customWidth="1" style="59" min="27" max="27"/>
    <col width="20" customWidth="1" style="59" min="28" max="28"/>
    <col width="20" customWidth="1" style="59" min="29" max="29"/>
    <col width="20" customWidth="1" style="59" min="30" max="30"/>
    <col width="20" customWidth="1" style="59" min="31" max="31"/>
    <col width="20" customWidth="1" style="59" min="32" max="32"/>
    <col width="20" customWidth="1" style="59" min="33" max="33"/>
  </cols>
  <sheetData>
    <row r="1" ht="32" customHeight="1" s="59">
      <c r="A1" s="110" t="inlineStr">
        <is>
          <t>Ranked Worldpay Opportunity Portfolio — 2026-09-04 Master Plan</t>
        </is>
      </c>
    </row>
    <row r="2" ht="30" customHeight="1" s="59">
      <c r="A2" s="112" t="inlineStr">
        <is>
          <t>Existing scored accounts preserved. 85 supplemental Worldpay ABM targets appended unranked on 2026-09-28 pending qualification.</t>
        </is>
      </c>
    </row>
    <row r="3">
      <c r="A3" s="111" t="n"/>
      <c r="B3" s="111" t="n"/>
      <c r="C3" s="111" t="n"/>
      <c r="D3" s="111" t="n"/>
      <c r="E3" s="111" t="n"/>
      <c r="F3" s="111" t="n"/>
      <c r="G3" s="111" t="n"/>
      <c r="H3" s="111" t="n"/>
      <c r="I3" s="111" t="n"/>
      <c r="J3" s="111" t="n"/>
      <c r="K3" s="111" t="n"/>
      <c r="L3" s="111" t="n"/>
      <c r="M3" s="111" t="n"/>
      <c r="N3" s="111" t="n"/>
      <c r="O3" s="111" t="n"/>
      <c r="P3" s="111" t="n"/>
      <c r="Q3" s="111" t="n"/>
      <c r="R3" s="111" t="n"/>
      <c r="S3" s="111" t="n"/>
      <c r="T3" s="111" t="n"/>
      <c r="U3" s="111" t="n"/>
      <c r="V3" s="111" t="n"/>
    </row>
    <row r="4" ht="28" customHeight="1" s="59">
      <c r="A4" s="113" t="inlineStr">
        <is>
          <t>Rank</t>
        </is>
      </c>
      <c r="B4" s="114" t="inlineStr">
        <is>
          <t>Priority</t>
        </is>
      </c>
      <c r="C4" s="114" t="inlineStr">
        <is>
          <t>Account</t>
        </is>
      </c>
      <c r="D4" s="114" t="inlineStr">
        <is>
          <t>RM</t>
        </is>
      </c>
      <c r="E4" s="114" t="inlineStr">
        <is>
          <t>Tier</t>
        </is>
      </c>
      <c r="F4" s="114" t="inlineStr">
        <is>
          <t>Locations</t>
        </is>
      </c>
      <c r="G4" s="114" t="inlineStr">
        <is>
          <t>Score</t>
        </is>
      </c>
      <c r="H4" s="114" t="inlineStr">
        <is>
          <t>Strategic Value</t>
        </is>
      </c>
      <c r="I4" s="114" t="inlineStr">
        <is>
          <t>Active Trigger</t>
        </is>
      </c>
      <c r="J4" s="114" t="inlineStr">
        <is>
          <t>Access</t>
        </is>
      </c>
      <c r="K4" s="114" t="inlineStr">
        <is>
          <t>Lifecycle</t>
        </is>
      </c>
      <c r="L4" s="114" t="inlineStr">
        <is>
          <t>Deployment Health</t>
        </is>
      </c>
      <c r="M4" s="114" t="inlineStr">
        <is>
          <t>Whitespace</t>
        </is>
      </c>
      <c r="N4" s="114" t="inlineStr">
        <is>
          <t>Coordination</t>
        </is>
      </c>
      <c r="O4" s="114" t="inlineStr">
        <is>
          <t>Trigger / Current State</t>
        </is>
      </c>
      <c r="P4" s="114" t="inlineStr">
        <is>
          <t>Lifecycle Posture</t>
        </is>
      </c>
      <c r="Q4" s="114" t="inlineStr">
        <is>
          <t>Health</t>
        </is>
      </c>
      <c r="R4" s="114" t="inlineStr">
        <is>
          <t>Opportunity Type</t>
        </is>
      </c>
      <c r="S4" s="114" t="inlineStr">
        <is>
          <t>Immediate Next Action</t>
        </is>
      </c>
      <c r="T4" s="114" t="inlineStr">
        <is>
          <t>Key Vendors</t>
        </is>
      </c>
      <c r="U4" s="114" t="inlineStr">
        <is>
          <t>Field Intelligence</t>
        </is>
      </c>
      <c r="V4" s="115" t="inlineStr">
        <is>
          <t>Evidence Confidence</t>
        </is>
      </c>
      <c r="W4" s="115" t="inlineStr">
        <is>
          <t>Region</t>
        </is>
      </c>
      <c r="X4" s="115" t="inlineStr">
        <is>
          <t>Geo</t>
        </is>
      </c>
      <c r="Y4" s="115" t="inlineStr">
        <is>
          <t>Sub-segment</t>
        </is>
      </c>
      <c r="Z4" s="115" t="inlineStr">
        <is>
          <t>Relevant to synergy</t>
        </is>
      </c>
      <c r="AA4" s="115" t="inlineStr">
        <is>
          <t>Dyssynergy with WP</t>
        </is>
      </c>
      <c r="AB4" s="115" t="inlineStr">
        <is>
          <t>WP Attrition</t>
        </is>
      </c>
      <c r="AC4" s="115" t="inlineStr">
        <is>
          <t>WP Rep</t>
        </is>
      </c>
      <c r="AD4" s="115" t="inlineStr">
        <is>
          <t>WP Products Used</t>
        </is>
      </c>
      <c r="AE4" s="115" t="inlineStr">
        <is>
          <t>Genius Rep</t>
        </is>
      </c>
      <c r="AF4" s="115" t="inlineStr">
        <is>
          <t>GP Products Used</t>
        </is>
      </c>
      <c r="AG4" s="115" t="inlineStr">
        <is>
          <t>Supplemental Source</t>
        </is>
      </c>
    </row>
    <row r="5" ht="39" customHeight="1" s="59">
      <c r="A5" s="95" t="n">
        <v>1</v>
      </c>
      <c r="B5" s="96" t="inlineStr">
        <is>
          <t>P1</t>
        </is>
      </c>
      <c r="C5" s="96" t="inlineStr">
        <is>
          <t>DEL TACO LLC</t>
        </is>
      </c>
      <c r="D5" s="96" t="inlineStr">
        <is>
          <t>Maggie Lenhart</t>
        </is>
      </c>
      <c r="E5" s="96" t="inlineStr">
        <is>
          <t>Tier 2</t>
        </is>
      </c>
      <c r="F5" s="97" t="n">
        <v>537</v>
      </c>
      <c r="G5" s="97">
        <f>(H5/5*'Scoring Model'!$B$5+I5/5*'Scoring Model'!$B$6+J5/5*'Scoring Model'!$B$7+K5/5*'Scoring Model'!$B$8+L5/5*'Scoring Model'!$B$9+M5/5*'Scoring Model'!$B$10+N5/5*'Scoring Model'!$B$11)*100</f>
        <v/>
      </c>
      <c r="H5" s="98" t="n">
        <v>4</v>
      </c>
      <c r="I5" s="98" t="n">
        <v>5</v>
      </c>
      <c r="J5" s="98" t="n">
        <v>4</v>
      </c>
      <c r="K5" s="98" t="n">
        <v>4</v>
      </c>
      <c r="L5" s="98" t="n">
        <v>3</v>
      </c>
      <c r="M5" s="98" t="n">
        <v>4</v>
      </c>
      <c r="N5" s="98" t="n">
        <v>5</v>
      </c>
      <c r="O5" s="96" t="inlineStr">
        <is>
          <t>Worldpay extension active; Yadav acquisition creates a verified ownership-change window; sourcing event unconfirmed</t>
        </is>
      </c>
      <c r="P5" s="96" t="inlineStr">
        <is>
          <t>Aging NCR estate; post-acquisition multi-brand governance</t>
        </is>
      </c>
      <c r="Q5" s="96" t="inlineStr">
        <is>
          <t>Active relationship; technology and synergy timing to verify</t>
        </is>
      </c>
      <c r="R5" s="96" t="inlineStr">
        <is>
          <t>POS/payments + multi-brand consolidation</t>
        </is>
      </c>
      <c r="S5" s="96" t="inlineStr">
        <is>
          <t>Complete the extension, consolidate all GP leads, map Yadav technology governance and confirm any sourcing or vendor-consolidation event.</t>
        </is>
      </c>
      <c r="T5" s="96" t="inlineStr">
        <is>
          <t>NCR; NCR Connected Payments; Olo; Olo Pay; Bite</t>
        </is>
      </c>
      <c r="U5" s="96" t="inlineStr">
        <is>
          <t>Yadav Enterprises completed the acquisition in Dec. 2025. Direct CIO access and the extension remain strong; cost/stack review is a hypothesis pending customer confirmation.</t>
        </is>
      </c>
      <c r="V5" s="99" t="inlineStr">
        <is>
          <t>High RM intelligence + verified ownership event</t>
        </is>
      </c>
    </row>
    <row r="6" ht="39" customHeight="1" s="59">
      <c r="A6" s="100" t="n">
        <v>2</v>
      </c>
      <c r="B6" s="101" t="inlineStr">
        <is>
          <t>P1</t>
        </is>
      </c>
      <c r="C6" s="101" t="inlineStr">
        <is>
          <t>FIVE GUYS</t>
        </is>
      </c>
      <c r="D6" s="101" t="inlineStr">
        <is>
          <t>Avery Churchwell</t>
        </is>
      </c>
      <c r="E6" s="101" t="inlineStr">
        <is>
          <t>Tier 1</t>
        </is>
      </c>
      <c r="F6" s="102" t="n">
        <v>1500</v>
      </c>
      <c r="G6" s="102">
        <f>(H6/5*'Scoring Model'!$B$5+I6/5*'Scoring Model'!$B$6+J6/5*'Scoring Model'!$B$7+K6/5*'Scoring Model'!$B$8+L6/5*'Scoring Model'!$B$9+M6/5*'Scoring Model'!$B$10+N6/5*'Scoring Model'!$B$11)*100</f>
        <v/>
      </c>
      <c r="H6" s="103" t="n">
        <v>5</v>
      </c>
      <c r="I6" s="103" t="n">
        <v>5</v>
      </c>
      <c r="J6" s="103" t="n">
        <v>4</v>
      </c>
      <c r="K6" s="103" t="n">
        <v>5</v>
      </c>
      <c r="L6" s="103" t="n">
        <v>2</v>
      </c>
      <c r="M6" s="103" t="n">
        <v>2</v>
      </c>
      <c r="N6" s="103" t="n">
        <v>5</v>
      </c>
      <c r="O6" s="101" t="inlineStr">
        <is>
          <t>MJ Worsham remains the key influential contact. Multiple uncoordinated Genius outreach attempts have created account-ownership friction; MJ and Zerick were invited to the FSTEC happy hour but had not responded as of the September 4 Avery call. No formal RFI/RFP is confirmed.</t>
        </is>
      </c>
      <c r="P6" s="101" t="inlineStr">
        <is>
          <t>Mature U.S. PAR estate; global support gaps and modularity hypothesis</t>
        </is>
      </c>
      <c r="Q6" s="101" t="inlineStr">
        <is>
          <t>No verified failure; renewal dates and evaluation type require confirmation</t>
        </is>
      </c>
      <c r="R6" s="101" t="inlineStr">
        <is>
          <t>Pre-RFP shaping + transaction-metered POS feasibility</t>
        </is>
      </c>
      <c r="S6" s="101" t="inlineStr">
        <is>
          <t>Centralize all Five Guys outreach through Todd and Avery; avoid generic prospecting. Use FSTEC only for a relationship-first conversation, validate whether MJ still engages former PAR account manager Chad Kaisel, and confirm PAR term, evaluation type, sponsor, scope and global gaps before presenting any commercial model.</t>
        </is>
      </c>
      <c r="T6" s="101" t="inlineStr">
        <is>
          <t>PAR Brink; NCR (EMEA); CrunchTime; Olo; Worldpay/Global Payments; Verifone; LineTen</t>
        </is>
      </c>
      <c r="U6" s="101" t="inlineStr">
        <is>
          <t>Avery reported that her merchant questioned why multiple Genius people were contacting Five Guys without her knowledge. She emphasized that introductions should flow through the relationship owner. MJ is resistant to consolidating multiple lines of business with one vendor and will require a compelling reason to engage. Todd is internally exploring a capped per-card-swipe technology funding model, but it is not approved or customer-presented.</t>
        </is>
      </c>
      <c r="V6" s="104" t="inlineStr">
        <is>
          <t>High RM intelligence dated 2026-09-04 / buying event, dates and commercial model remain unconfirmed</t>
        </is>
      </c>
    </row>
    <row r="7" ht="39" customHeight="1" s="59">
      <c r="A7" s="100" t="n">
        <v>3</v>
      </c>
      <c r="B7" s="101" t="inlineStr">
        <is>
          <t>P1</t>
        </is>
      </c>
      <c r="C7" s="101" t="inlineStr">
        <is>
          <t>Focus Brands (GoTo Foods)</t>
        </is>
      </c>
      <c r="D7" s="101" t="inlineStr">
        <is>
          <t>Brian Wood</t>
        </is>
      </c>
      <c r="E7" s="101" t="inlineStr">
        <is>
          <t>Tier 2</t>
        </is>
      </c>
      <c r="F7" s="102" t="n">
        <v>2600</v>
      </c>
      <c r="G7" s="102">
        <f>(H7/5*'Scoring Model'!$B$5+I7/5*'Scoring Model'!$B$6+J7/5*'Scoring Model'!$B$7+K7/5*'Scoring Model'!$B$8+L7/5*'Scoring Model'!$B$9+M7/5*'Scoring Model'!$B$10+N7/5*'Scoring Model'!$B$11)*100</f>
        <v/>
      </c>
      <c r="H7" s="103" t="n">
        <v>5</v>
      </c>
      <c r="I7" s="103" t="n">
        <v>5</v>
      </c>
      <c r="J7" s="103" t="n">
        <v>3</v>
      </c>
      <c r="K7" s="103" t="n">
        <v>2</v>
      </c>
      <c r="L7" s="103" t="n">
        <v>5</v>
      </c>
      <c r="M7" s="103" t="n">
        <v>4</v>
      </c>
      <c r="N7" s="103" t="n">
        <v>4</v>
      </c>
      <c r="O7" s="101" t="inlineStr">
        <is>
          <t>Qu established; DMB relationship development and defense against Qu Pay/platform expansion</t>
        </is>
      </c>
      <c r="P7" s="101" t="inlineStr">
        <is>
          <t>Deploying since 2024</t>
        </is>
      </c>
      <c r="Q7" s="101" t="inlineStr">
        <is>
          <t>Schedule risk reported</t>
        </is>
      </c>
      <c r="R7" s="101" t="inlineStr">
        <is>
          <t>DMB-led adjacency + payments defense</t>
        </is>
      </c>
      <c r="S7" s="101" t="inlineStr">
        <is>
          <t>Map DMB/CMS and buying center; quantify uncovered adjacencies and defend payments without positioning a near-term POS displacement.</t>
        </is>
      </c>
      <c r="T7" s="101" t="inlineStr">
        <is>
          <t>Qu; FreedomPay; Olo; Monkey Media</t>
        </is>
      </c>
      <c r="U7" s="101" t="inlineStr">
        <is>
          <t>Qu remains established. Treat PAR/Qu-style platform consolidation and native-payments attachment as the competitive pattern to counter.</t>
        </is>
      </c>
      <c r="V7" s="104" t="inlineStr">
        <is>
          <t>High RM intelligence + public evidence</t>
        </is>
      </c>
    </row>
    <row r="8" ht="39" customHeight="1" s="59">
      <c r="A8" s="100" t="n">
        <v>4</v>
      </c>
      <c r="B8" s="101" t="inlineStr">
        <is>
          <t>P1</t>
        </is>
      </c>
      <c r="C8" s="101" t="inlineStr">
        <is>
          <t>SUBWAY</t>
        </is>
      </c>
      <c r="D8" s="101" t="inlineStr">
        <is>
          <t>Stacie Davis</t>
        </is>
      </c>
      <c r="E8" s="101" t="inlineStr">
        <is>
          <t>Tier 1</t>
        </is>
      </c>
      <c r="F8" s="102" t="n">
        <v>20000</v>
      </c>
      <c r="G8" s="102">
        <f>(H8/5*'Scoring Model'!$B$5+I8/5*'Scoring Model'!$B$6+J8/5*'Scoring Model'!$B$7+K8/5*'Scoring Model'!$B$8+L8/5*'Scoring Model'!$B$9+M8/5*'Scoring Model'!$B$10+N8/5*'Scoring Model'!$B$11)*100</f>
        <v/>
      </c>
      <c r="H8" s="103" t="n">
        <v>5</v>
      </c>
      <c r="I8" s="103" t="n">
        <v>4</v>
      </c>
      <c r="J8" s="103" t="n">
        <v>4</v>
      </c>
      <c r="K8" s="103" t="n">
        <v>3</v>
      </c>
      <c r="L8" s="103" t="n">
        <v>3</v>
      </c>
      <c r="M8" s="103" t="n">
        <v>4</v>
      </c>
      <c r="N8" s="103" t="n">
        <v>4</v>
      </c>
      <c r="O8" s="101" t="inlineStr">
        <is>
          <t>Proprietary POS; internal report indicates a global Genius KDS deployment, replacing the prior DMB assumption</t>
        </is>
      </c>
      <c r="P8" s="101" t="inlineStr">
        <is>
          <t>Fragmented global/franchise estate; existing Genius relationship requires verification</t>
        </is>
      </c>
      <c r="Q8" s="101" t="inlineStr">
        <is>
          <t>Product, site coverage, ownership and commitments unresolved</t>
        </is>
      </c>
      <c r="R8" s="101" t="inlineStr">
        <is>
          <t>Existing Genius KDS scope verification + relationship map</t>
        </is>
      </c>
      <c r="S8" s="101" t="inlineStr">
        <is>
          <t>Confirm the Genius product owner, KDS sites, deployment status, commitments and customer sponsor before proposing any additional adjacency.</t>
        </is>
      </c>
      <c r="T8" s="101" t="inlineStr">
        <is>
          <t>Proprietary; FreedomPay; Ingenico; Genius KDS (reported internally, unverified)</t>
        </is>
      </c>
      <c r="U8" s="101" t="inlineStr">
        <is>
          <t>Ryan Hildebrand described proprietary POS plus a global Genius KDS deployment. Reconcile that internal view with prior DMB reporting.</t>
        </is>
      </c>
      <c r="V8" s="104" t="inlineStr">
        <is>
          <t>High internal intelligence / exact scope unresolved</t>
        </is>
      </c>
    </row>
    <row r="9" ht="26" customHeight="1" s="59">
      <c r="A9" s="100" t="n">
        <v>5</v>
      </c>
      <c r="B9" s="101" t="inlineStr">
        <is>
          <t>P2</t>
        </is>
      </c>
      <c r="C9" s="101" t="inlineStr">
        <is>
          <t>THE STEAK N SHAKE CO</t>
        </is>
      </c>
      <c r="D9" s="101" t="inlineStr">
        <is>
          <t>Maggie Lenhart</t>
        </is>
      </c>
      <c r="E9" s="101" t="inlineStr">
        <is>
          <t>Tier 2</t>
        </is>
      </c>
      <c r="F9" s="102" t="n">
        <v>550</v>
      </c>
      <c r="G9" s="102">
        <f>(H9/5*'Scoring Model'!$B$5+I9/5*'Scoring Model'!$B$6+J9/5*'Scoring Model'!$B$7+K9/5*'Scoring Model'!$B$8+L9/5*'Scoring Model'!$B$9+M9/5*'Scoring Model'!$B$10+N9/5*'Scoring Model'!$B$11)*100</f>
        <v/>
      </c>
      <c r="H9" s="103" t="n">
        <v>4</v>
      </c>
      <c r="I9" s="103" t="n">
        <v>4</v>
      </c>
      <c r="J9" s="103" t="n">
        <v>3</v>
      </c>
      <c r="K9" s="103" t="n">
        <v>4</v>
      </c>
      <c r="L9" s="103" t="n">
        <v>4</v>
      </c>
      <c r="M9" s="103" t="n">
        <v>4</v>
      </c>
      <c r="N9" s="103" t="n">
        <v>3</v>
      </c>
      <c r="O9" s="101" t="inlineStr">
        <is>
          <t>Kiosk transition and NCR reporting integration problems</t>
        </is>
      </c>
      <c r="P9" s="101" t="inlineStr">
        <is>
          <t>Transitioning adjacent stack</t>
        </is>
      </c>
      <c r="Q9" s="101" t="inlineStr">
        <is>
          <t>Current implementation pain</t>
        </is>
      </c>
      <c r="R9" s="101" t="inlineStr">
        <is>
          <t>Kiosk integration recovery + digital adjacency</t>
        </is>
      </c>
      <c r="S9" s="101" t="inlineStr">
        <is>
          <t>Name the kiosk vendor and owners; document certification, NCR reporting and mobile-app issues with dated remediation milestones.</t>
        </is>
      </c>
      <c r="T9" s="101" t="inlineStr">
        <is>
          <t>NCR; NCR Connected Payments; QikServe; Olo; NovaDine</t>
        </is>
      </c>
      <c r="U9" s="101" t="inlineStr">
        <is>
          <t>Maggie reports a difficult kiosk-vendor transition and integration/reporting issues with NCR.</t>
        </is>
      </c>
      <c r="V9" s="104" t="inlineStr">
        <is>
          <t>High RM intelligence</t>
        </is>
      </c>
    </row>
    <row r="10" ht="26" customHeight="1" s="59">
      <c r="A10" s="100" t="n">
        <v>6</v>
      </c>
      <c r="B10" s="101" t="inlineStr">
        <is>
          <t>P2</t>
        </is>
      </c>
      <c r="C10" s="101" t="inlineStr">
        <is>
          <t>CHOICE HOTELS</t>
        </is>
      </c>
      <c r="D10" s="101" t="inlineStr">
        <is>
          <t>Brian Wood</t>
        </is>
      </c>
      <c r="E10" s="101" t="inlineStr">
        <is>
          <t>Tier 2</t>
        </is>
      </c>
      <c r="F10" s="102" t="n"/>
      <c r="G10" s="102">
        <f>(H10/5*'Scoring Model'!$B$5+I10/5*'Scoring Model'!$B$6+J10/5*'Scoring Model'!$B$7+K10/5*'Scoring Model'!$B$8+L10/5*'Scoring Model'!$B$9+M10/5*'Scoring Model'!$B$10+N10/5*'Scoring Model'!$B$11)*100</f>
        <v/>
      </c>
      <c r="H10" s="103" t="n">
        <v>3</v>
      </c>
      <c r="I10" s="103" t="n">
        <v>5</v>
      </c>
      <c r="J10" s="103" t="n">
        <v>3</v>
      </c>
      <c r="K10" s="103" t="n">
        <v>4</v>
      </c>
      <c r="L10" s="103" t="n">
        <v>4</v>
      </c>
      <c r="M10" s="103" t="n">
        <v>3</v>
      </c>
      <c r="N10" s="103" t="n">
        <v>5</v>
      </c>
      <c r="O10" s="101" t="inlineStr">
        <is>
          <t>Gateway/acquiring RFP was active in July; current stage and deadlines now require refresh</t>
        </is>
      </c>
      <c r="P10" s="101" t="inlineStr">
        <is>
          <t>Deconverting</t>
        </is>
      </c>
      <c r="Q10" s="101" t="inlineStr">
        <is>
          <t>Shift4 performance concern reported</t>
        </is>
      </c>
      <c r="R10" s="101" t="inlineStr">
        <is>
          <t>Payments win-back + hospitality adjacency</t>
        </is>
      </c>
      <c r="S10" s="101" t="inlineStr">
        <is>
          <t>Confirm whether the RFP remains active, current stage, decision dates, retained Worldpay estate, sponsor and restaurant/DMB scope.</t>
        </is>
      </c>
      <c r="T10" s="101" t="inlineStr">
        <is>
          <t>Shift4</t>
        </is>
      </c>
      <c r="U10" s="101" t="inlineStr">
        <is>
          <t>Brian and Brendan report an active RFP, remaining Worldpay locations and a possible full win-back.</t>
        </is>
      </c>
      <c r="V10" s="104" t="inlineStr">
        <is>
          <t>High RM intelligence / status aging</t>
        </is>
      </c>
    </row>
    <row r="11" ht="52" customHeight="1" s="59">
      <c r="A11" s="100" t="n">
        <v>7</v>
      </c>
      <c r="B11" s="101" t="inlineStr">
        <is>
          <t>P2</t>
        </is>
      </c>
      <c r="C11" s="101" t="inlineStr">
        <is>
          <t>RDS FIVE-UNIT REBRAND PILOT</t>
        </is>
      </c>
      <c r="D11" s="101" t="inlineStr">
        <is>
          <t>RDS / Darren Heinze</t>
        </is>
      </c>
      <c r="E11" s="101" t="inlineStr">
        <is>
          <t>Channel pilot</t>
        </is>
      </c>
      <c r="F11" s="102" t="n">
        <v>5</v>
      </c>
      <c r="G11" s="102">
        <f>(H11/5*'Scoring Model'!$B$5+I11/5*'Scoring Model'!$B$6+J11/5*'Scoring Model'!$B$7+K11/5*'Scoring Model'!$B$8+L11/5*'Scoring Model'!$B$9+M11/5*'Scoring Model'!$B$10+N11/5*'Scoring Model'!$B$11)*100</f>
        <v/>
      </c>
      <c r="H11" s="103" t="n">
        <v>2</v>
      </c>
      <c r="I11" s="103" t="n">
        <v>4</v>
      </c>
      <c r="J11" s="103" t="n">
        <v>4</v>
      </c>
      <c r="K11" s="103" t="n">
        <v>4</v>
      </c>
      <c r="L11" s="103" t="n">
        <v>3</v>
      </c>
      <c r="M11" s="103" t="n">
        <v>5</v>
      </c>
      <c r="N11" s="103" t="n">
        <v>5</v>
      </c>
      <c r="O11" s="101" t="inlineStr">
        <is>
          <t>Five former Taco Cabana locations are rebranding and evaluating a clean-slate stack and digital menu boards</t>
        </is>
      </c>
      <c r="P11" s="101" t="inlineStr">
        <is>
          <t>Clean-slate conversion; opening and conversion dates unconfirmed</t>
        </is>
      </c>
      <c r="Q11" s="101" t="inlineStr">
        <is>
          <t>High channel access; commercial, support and account-protection model not yet defined</t>
        </is>
      </c>
      <c r="R11" s="101" t="inlineStr">
        <is>
          <t>RDS-led Genius pilot and reseller proof</t>
        </is>
      </c>
      <c r="S11" s="101" t="inlineStr">
        <is>
          <t>Confirm entity/concept, authority, dates, budget and incumbent contracts; define scope, economics, support, success metrics and case-study rights before Genius World.</t>
        </is>
      </c>
      <c r="T11" s="101" t="inlineStr">
        <is>
          <t>To be determined: Genius POS/payments; DMB; drive-thru; loyalty; back office; hardware</t>
        </is>
      </c>
      <c r="U11" s="101" t="inlineStr">
        <is>
          <t>RDS is authorized to resell Genius but lacks implementation experience. The pilot can create channel proof before any larger protected-account motion.</t>
        </is>
      </c>
      <c r="V11" s="104" t="inlineStr">
        <is>
          <t>High field confidence / customer facts require documentation</t>
        </is>
      </c>
    </row>
    <row r="12" ht="39" customHeight="1" s="59">
      <c r="A12" s="100" t="n">
        <v>8</v>
      </c>
      <c r="B12" s="101" t="inlineStr">
        <is>
          <t>P2</t>
        </is>
      </c>
      <c r="C12" s="101" t="inlineStr">
        <is>
          <t>POLLO CAMPERO</t>
        </is>
      </c>
      <c r="D12" s="101" t="inlineStr">
        <is>
          <t>Unassigned / Worldpay</t>
        </is>
      </c>
      <c r="E12" s="101" t="inlineStr">
        <is>
          <t>Emerging strategic</t>
        </is>
      </c>
      <c r="F12" s="102" t="n">
        <v>150</v>
      </c>
      <c r="G12" s="102">
        <f>(H12/5*'Scoring Model'!$B$5+I12/5*'Scoring Model'!$B$6+J12/5*'Scoring Model'!$B$7+K12/5*'Scoring Model'!$B$8+L12/5*'Scoring Model'!$B$9+M12/5*'Scoring Model'!$B$10+N12/5*'Scoring Model'!$B$11)*100</f>
        <v/>
      </c>
      <c r="H12" s="103" t="n">
        <v>4</v>
      </c>
      <c r="I12" s="103" t="n">
        <v>4</v>
      </c>
      <c r="J12" s="103" t="n">
        <v>3</v>
      </c>
      <c r="K12" s="103" t="n">
        <v>3</v>
      </c>
      <c r="L12" s="103" t="n">
        <v>3</v>
      </c>
      <c r="M12" s="103" t="n">
        <v>4</v>
      </c>
      <c r="N12" s="103" t="n">
        <v>4</v>
      </c>
      <c r="O12" s="101" t="inlineStr">
        <is>
          <t>Potential RFI and DMB dissatisfaction; Oracle migration and referral status require immediate qualification</t>
        </is>
      </c>
      <c r="P12" s="101" t="inlineStr">
        <is>
          <t>Mixed NCR/Oracle estate; international platform decision may be underway</t>
        </is>
      </c>
      <c r="Q12" s="101" t="inlineStr">
        <is>
          <t>Decision openness, scope, deadlines and sponsor unconfirmed</t>
        </is>
      </c>
      <c r="R12" s="101" t="inlineStr">
        <is>
          <t>RFI qualification + international platform/payments/DMB</t>
        </is>
      </c>
      <c r="S12" s="101" t="inlineStr">
        <is>
          <t>Obtain NDA/RFI, confirm sponsor and deadlines, separate the stalled referral from the procurement stream, and apply country-by-country bid/no-bid gates.</t>
        </is>
      </c>
      <c r="T12" s="101" t="inlineStr">
        <is>
          <t>Oracle Simphony; NCR Aloha; Fiserv; Olo Pay/Stripe; Valutec; DMB incumbent unverified</t>
        </is>
      </c>
      <c r="U12" s="101" t="inlineStr">
        <is>
          <t>Split estate, reported $200M+ card volume and international footprint create strategic fit, but the Oracle decision may already be advanced.</t>
        </is>
      </c>
      <c r="V12" s="104" t="inlineStr">
        <is>
          <t>Strong internal brief / customer procurement not confirmed</t>
        </is>
      </c>
    </row>
    <row r="13" ht="26" customHeight="1" s="59">
      <c r="A13" s="100" t="n">
        <v>9</v>
      </c>
      <c r="B13" s="101" t="inlineStr">
        <is>
          <t>P3</t>
        </is>
      </c>
      <c r="C13" s="101" t="inlineStr">
        <is>
          <t>EAT'N PARK HOSPITALITY GRP INC</t>
        </is>
      </c>
      <c r="D13" s="101" t="inlineStr">
        <is>
          <t>Avery Churchwell</t>
        </is>
      </c>
      <c r="E13" s="101" t="inlineStr">
        <is>
          <t>Tier 2</t>
        </is>
      </c>
      <c r="F13" s="102" t="n">
        <v>137</v>
      </c>
      <c r="G13" s="102">
        <f>(H13/5*'Scoring Model'!$B$5+I13/5*'Scoring Model'!$B$6+J13/5*'Scoring Model'!$B$7+K13/5*'Scoring Model'!$B$8+L13/5*'Scoring Model'!$B$9+M13/5*'Scoring Model'!$B$10+N13/5*'Scoring Model'!$B$11)*100</f>
        <v/>
      </c>
      <c r="H13" s="103" t="n">
        <v>3</v>
      </c>
      <c r="I13" s="103" t="n">
        <v>3</v>
      </c>
      <c r="J13" s="103" t="n">
        <v>2</v>
      </c>
      <c r="K13" s="103" t="n">
        <v>3</v>
      </c>
      <c r="L13" s="103" t="n">
        <v>3</v>
      </c>
      <c r="M13" s="103" t="n">
        <v>5</v>
      </c>
      <c r="N13" s="103" t="n">
        <v>4</v>
      </c>
      <c r="O13" s="101" t="inlineStr">
        <is>
          <t>Multi-concept conversion noted by Worldpay</t>
        </is>
      </c>
      <c r="P13" s="101" t="inlineStr">
        <is>
          <t>Mixed / transitioning</t>
        </is>
      </c>
      <c r="Q13" s="101" t="inlineStr">
        <is>
          <t>Unknown</t>
        </is>
      </c>
      <c r="R13" s="101" t="inlineStr">
        <is>
          <t>Consolidation and payments</t>
        </is>
      </c>
      <c r="S13" s="101" t="inlineStr">
        <is>
          <t>Separate stacks by concept and validate Oracle/FreedomPay/Tillster/Olo/Nextep ownership.</t>
        </is>
      </c>
      <c r="T13" s="101" t="inlineStr">
        <is>
          <t>Oracle Simphony; FreedomPay; Tillster; Olo; Nextep</t>
        </is>
      </c>
      <c r="U13" s="101" t="n"/>
      <c r="V13" s="104" t="inlineStr">
        <is>
          <t>Internal baseline only</t>
        </is>
      </c>
    </row>
    <row r="14" ht="39" customHeight="1" s="59">
      <c r="A14" s="100" t="n">
        <v>10</v>
      </c>
      <c r="B14" s="101" t="inlineStr">
        <is>
          <t>P3</t>
        </is>
      </c>
      <c r="C14" s="101" t="inlineStr">
        <is>
          <t>FREDDY'S FROZEN CUSTARD LLC</t>
        </is>
      </c>
      <c r="D14" s="101" t="inlineStr">
        <is>
          <t>Avery Churchwell</t>
        </is>
      </c>
      <c r="E14" s="101" t="inlineStr">
        <is>
          <t>Tier 2</t>
        </is>
      </c>
      <c r="F14" s="102" t="n">
        <v>500</v>
      </c>
      <c r="G14" s="102">
        <f>(H14/5*'Scoring Model'!$B$5+I14/5*'Scoring Model'!$B$6+J14/5*'Scoring Model'!$B$7+K14/5*'Scoring Model'!$B$8+L14/5*'Scoring Model'!$B$9+M14/5*'Scoring Model'!$B$10+N14/5*'Scoring Model'!$B$11)*100</f>
        <v/>
      </c>
      <c r="H14" s="103" t="n">
        <v>4</v>
      </c>
      <c r="I14" s="103" t="n">
        <v>3</v>
      </c>
      <c r="J14" s="103" t="n">
        <v>4</v>
      </c>
      <c r="K14" s="103" t="n">
        <v>1</v>
      </c>
      <c r="L14" s="103" t="n">
        <v>3</v>
      </c>
      <c r="M14" s="103" t="n">
        <v>3</v>
      </c>
      <c r="N14" s="103" t="n">
        <v>5</v>
      </c>
      <c r="O14" s="101" t="inlineStr">
        <is>
          <t>Protected RDS account with no verified displacement event. Avery invited Freddy's contacts to the FSTEC happy hour but had received no response as of September 4.</t>
        </is>
      </c>
      <c r="P14" s="101" t="inlineStr">
        <is>
          <t>Established PAR via RDS; protected channel relationship</t>
        </is>
      </c>
      <c r="Q14" s="101" t="inlineStr">
        <is>
          <t>No verified displacement event; RDS has deep operational and CFO access</t>
        </is>
      </c>
      <c r="R14" s="101" t="inlineStr">
        <is>
          <t>RDS-led value review and modular watchlist</t>
        </is>
      </c>
      <c r="S14" s="101" t="inlineStr">
        <is>
          <t>Keep all activity RDS-led. Confirm whether RDS connected with Ryan after Genius World, identify any FSTEC attendance, and wait for a customer-defined business problem before advancing a value case.</t>
        </is>
      </c>
      <c r="T14" s="101" t="inlineStr">
        <is>
          <t>PAR Brink via RDS; Olo Pay; Creative Realities DMB; Neon entry reported, unverified</t>
        </is>
      </c>
      <c r="U14" s="101" t="inlineStr">
        <is>
          <t>Avery and Todd agreed that RDS is the strongest coordinated route into Freddy's. Todd had previously discussed Genius with RDS at the Freddy's show; an RDS contact attended Genius World, but follow-through with Ryan still needed confirmation.</t>
        </is>
      </c>
      <c r="V14" s="104" t="inlineStr">
        <is>
          <t>High RM/channel intelligence dated 2026-09-04 / no active customer buying trigger verified</t>
        </is>
      </c>
    </row>
    <row r="15" ht="39" customHeight="1" s="59">
      <c r="A15" s="100" t="n">
        <v>11</v>
      </c>
      <c r="B15" s="101" t="inlineStr">
        <is>
          <t>P3</t>
        </is>
      </c>
      <c r="C15" s="101" t="inlineStr">
        <is>
          <t>PAPA JOHN'S USA, INC.</t>
        </is>
      </c>
      <c r="D15" s="101" t="inlineStr">
        <is>
          <t>Brian Wood</t>
        </is>
      </c>
      <c r="E15" s="101" t="inlineStr">
        <is>
          <t>Tier 1</t>
        </is>
      </c>
      <c r="F15" s="102" t="n">
        <v>3300</v>
      </c>
      <c r="G15" s="102">
        <f>(H15/5*'Scoring Model'!$B$5+I15/5*'Scoring Model'!$B$6+J15/5*'Scoring Model'!$B$7+K15/5*'Scoring Model'!$B$8+L15/5*'Scoring Model'!$B$9+M15/5*'Scoring Model'!$B$10+N15/5*'Scoring Model'!$B$11)*100</f>
        <v/>
      </c>
      <c r="H15" s="103" t="n">
        <v>5</v>
      </c>
      <c r="I15" s="103" t="n">
        <v>3</v>
      </c>
      <c r="J15" s="103" t="n">
        <v>3</v>
      </c>
      <c r="K15" s="103" t="n">
        <v>1</v>
      </c>
      <c r="L15" s="103" t="n">
        <v>2</v>
      </c>
      <c r="M15" s="103" t="n">
        <v>4</v>
      </c>
      <c r="N15" s="103" t="n">
        <v>2</v>
      </c>
      <c r="O15" s="101" t="inlineStr">
        <is>
          <t>PAR POS + OPS implementation begins in 2026; rollout through 2027; Linux-build dependency reported but unverified</t>
        </is>
      </c>
      <c r="P15" s="101" t="inlineStr">
        <is>
          <t>Newly selected / deploying</t>
        </is>
      </c>
      <c r="Q15" s="101" t="inlineStr">
        <is>
          <t>PAR reports milestones on track; watch implementation and technical dependencies</t>
        </is>
      </c>
      <c r="R15" s="101" t="inlineStr">
        <is>
          <t>DMB adjacency + implementation-risk watch</t>
        </is>
      </c>
      <c r="S15" s="101" t="inlineStr">
        <is>
          <t>Map DMB and adjacent owners; monitor implementation milestones and validate the reported Linux-build dependency without positioning POS displacement.</t>
        </is>
      </c>
      <c r="T15" s="101" t="inlineStr">
        <is>
          <t>PAR POS; PAR OPS; legacy Mainstreet Monetra; Ingenico</t>
        </is>
      </c>
      <c r="U15" s="101" t="inlineStr">
        <is>
          <t>PAR publicly reports development progress and implementation later in 2026. The Linux requirement is confidential field intelligence requiring technical validation.</t>
        </is>
      </c>
      <c r="V15" s="104" t="inlineStr">
        <is>
          <t>High public evidence + unverified technical-risk lead</t>
        </is>
      </c>
    </row>
    <row r="16" ht="26" customHeight="1" s="59">
      <c r="A16" s="100" t="n">
        <v>12</v>
      </c>
      <c r="B16" s="101" t="inlineStr">
        <is>
          <t>P3</t>
        </is>
      </c>
      <c r="C16" s="101" t="inlineStr">
        <is>
          <t>CRACKER BARREL OLD COUNTRY STORE, INC.</t>
        </is>
      </c>
      <c r="D16" s="101" t="inlineStr">
        <is>
          <t>Brian Wood</t>
        </is>
      </c>
      <c r="E16" s="101" t="inlineStr">
        <is>
          <t>Tier 2</t>
        </is>
      </c>
      <c r="F16" s="102" t="n">
        <v>600</v>
      </c>
      <c r="G16" s="102">
        <f>(H16/5*'Scoring Model'!$B$5+I16/5*'Scoring Model'!$B$6+J16/5*'Scoring Model'!$B$7+K16/5*'Scoring Model'!$B$8+L16/5*'Scoring Model'!$B$9+M16/5*'Scoring Model'!$B$10+N16/5*'Scoring Model'!$B$11)*100</f>
        <v/>
      </c>
      <c r="H16" s="103" t="n">
        <v>4</v>
      </c>
      <c r="I16" s="103" t="n">
        <v>3</v>
      </c>
      <c r="J16" s="103" t="n">
        <v>3</v>
      </c>
      <c r="K16" s="103" t="n">
        <v>2</v>
      </c>
      <c r="L16" s="103" t="n">
        <v>3</v>
      </c>
      <c r="M16" s="103" t="n">
        <v>3</v>
      </c>
      <c r="N16" s="103" t="n">
        <v>3</v>
      </c>
      <c r="O16" s="101" t="inlineStr">
        <is>
          <t>Oracle Simphony rollout continuing in 2026</t>
        </is>
      </c>
      <c r="P16" s="101" t="inlineStr">
        <is>
          <t>Deploying / transition</t>
        </is>
      </c>
      <c r="Q16" s="101" t="inlineStr">
        <is>
          <t>Early field adoption signals; verify</t>
        </is>
      </c>
      <c r="R16" s="101" t="inlineStr">
        <is>
          <t>Adjacent stack and deployment support</t>
        </is>
      </c>
      <c r="S16" s="101" t="inlineStr">
        <is>
          <t>Confirm rollout completion, FreedomPay scope, operational issues and remaining adjacent gaps.</t>
        </is>
      </c>
      <c r="T16" s="101" t="inlineStr">
        <is>
          <t>Oracle Simphony; FreedomPay; Olo</t>
        </is>
      </c>
      <c r="U16" s="101" t="n"/>
      <c r="V16" s="104" t="inlineStr">
        <is>
          <t>Mixed / see ledger</t>
        </is>
      </c>
    </row>
    <row r="17" ht="26" customHeight="1" s="59">
      <c r="A17" s="100" t="n">
        <v>13</v>
      </c>
      <c r="B17" s="101" t="inlineStr">
        <is>
          <t>P3</t>
        </is>
      </c>
      <c r="C17" s="101" t="inlineStr">
        <is>
          <t>MILLLER'S ALE HOUSE</t>
        </is>
      </c>
      <c r="D17" s="101" t="inlineStr">
        <is>
          <t>Avery Churchwell</t>
        </is>
      </c>
      <c r="E17" s="101" t="inlineStr">
        <is>
          <t>Tier 2</t>
        </is>
      </c>
      <c r="F17" s="102" t="n">
        <v>112</v>
      </c>
      <c r="G17" s="102">
        <f>(H17/5*'Scoring Model'!$B$5+I17/5*'Scoring Model'!$B$6+J17/5*'Scoring Model'!$B$7+K17/5*'Scoring Model'!$B$8+L17/5*'Scoring Model'!$B$9+M17/5*'Scoring Model'!$B$10+N17/5*'Scoring Model'!$B$11)*100</f>
        <v/>
      </c>
      <c r="H17" s="103" t="n">
        <v>3</v>
      </c>
      <c r="I17" s="103" t="n">
        <v>3</v>
      </c>
      <c r="J17" s="103" t="n">
        <v>2</v>
      </c>
      <c r="K17" s="103" t="n">
        <v>4</v>
      </c>
      <c r="L17" s="103" t="n">
        <v>3</v>
      </c>
      <c r="M17" s="103" t="n">
        <v>3</v>
      </c>
      <c r="N17" s="103" t="n">
        <v>4</v>
      </c>
      <c r="O17" s="101" t="inlineStr">
        <is>
          <t>Digital payments moved direct to Olo</t>
        </is>
      </c>
      <c r="P17" s="101" t="inlineStr">
        <is>
          <t>Established POS; recent digital payment change</t>
        </is>
      </c>
      <c r="Q17" s="101" t="inlineStr">
        <is>
          <t>Unknown</t>
        </is>
      </c>
      <c r="R17" s="101" t="inlineStr">
        <is>
          <t>In-store POS/payments and guest experience</t>
        </is>
      </c>
      <c r="S17" s="101" t="inlineStr">
        <is>
          <t>Confirm lost scope, NCR renewal, Ziosk footprint and remaining payments opportunity.</t>
        </is>
      </c>
      <c r="T17" s="101" t="inlineStr">
        <is>
          <t>NCR; Ziosk; Olo Pay</t>
        </is>
      </c>
      <c r="U17" s="101" t="n"/>
      <c r="V17" s="104" t="inlineStr">
        <is>
          <t>Internal baseline only</t>
        </is>
      </c>
    </row>
    <row r="18" ht="26" customHeight="1" s="59">
      <c r="A18" s="100" t="n">
        <v>14</v>
      </c>
      <c r="B18" s="101" t="inlineStr">
        <is>
          <t>P3</t>
        </is>
      </c>
      <c r="C18" s="101" t="inlineStr">
        <is>
          <t>LAROSA'S INC</t>
        </is>
      </c>
      <c r="D18" s="101" t="inlineStr">
        <is>
          <t>Maggie Lenhart</t>
        </is>
      </c>
      <c r="E18" s="101" t="inlineStr">
        <is>
          <t>Tier 2</t>
        </is>
      </c>
      <c r="F18" s="102" t="n">
        <v>76</v>
      </c>
      <c r="G18" s="102">
        <f>(H18/5*'Scoring Model'!$B$5+I18/5*'Scoring Model'!$B$6+J18/5*'Scoring Model'!$B$7+K18/5*'Scoring Model'!$B$8+L18/5*'Scoring Model'!$B$9+M18/5*'Scoring Model'!$B$10+N18/5*'Scoring Model'!$B$11)*100</f>
        <v/>
      </c>
      <c r="H18" s="103" t="n">
        <v>2</v>
      </c>
      <c r="I18" s="103" t="n">
        <v>3</v>
      </c>
      <c r="J18" s="103" t="n">
        <v>2</v>
      </c>
      <c r="K18" s="103" t="n">
        <v>4</v>
      </c>
      <c r="L18" s="103" t="n">
        <v>3</v>
      </c>
      <c r="M18" s="103" t="n">
        <v>4</v>
      </c>
      <c r="N18" s="103" t="n">
        <v>3</v>
      </c>
      <c r="O18" s="101" t="inlineStr">
        <is>
          <t>Possible EMV modernization gap</t>
        </is>
      </c>
      <c r="P18" s="101" t="inlineStr">
        <is>
          <t>Mature / niche POS</t>
        </is>
      </c>
      <c r="Q18" s="101" t="inlineStr">
        <is>
          <t>Unknown</t>
        </is>
      </c>
      <c r="R18" s="101" t="inlineStr">
        <is>
          <t>EMV, payments and enterprise modernization</t>
        </is>
      </c>
      <c r="S18" s="101" t="inlineStr">
        <is>
          <t>Validate POS.Cloud contract, non-EMV exposure, franchise scope and replacement appetite.</t>
        </is>
      </c>
      <c r="T18" s="101" t="inlineStr">
        <is>
          <t>Point of Sale.Cloud; Mainstreet Monetra; triPOS</t>
        </is>
      </c>
      <c r="U18" s="101" t="n"/>
      <c r="V18" s="104" t="inlineStr">
        <is>
          <t>Internal baseline only</t>
        </is>
      </c>
    </row>
    <row r="19" ht="26" customHeight="1" s="59">
      <c r="A19" s="100" t="n">
        <v>15</v>
      </c>
      <c r="B19" s="101" t="inlineStr">
        <is>
          <t>P3</t>
        </is>
      </c>
      <c r="C19" s="101" t="inlineStr">
        <is>
          <t>CHURCHS CHICKEN 558</t>
        </is>
      </c>
      <c r="D19" s="101" t="inlineStr">
        <is>
          <t>Maggie Lenhart</t>
        </is>
      </c>
      <c r="E19" s="101" t="inlineStr">
        <is>
          <t>Tier 2</t>
        </is>
      </c>
      <c r="F19" s="102" t="n">
        <v>832</v>
      </c>
      <c r="G19" s="102">
        <f>(H19/5*'Scoring Model'!$B$5+I19/5*'Scoring Model'!$B$6+J19/5*'Scoring Model'!$B$7+K19/5*'Scoring Model'!$B$8+L19/5*'Scoring Model'!$B$9+M19/5*'Scoring Model'!$B$10+N19/5*'Scoring Model'!$B$11)*100</f>
        <v/>
      </c>
      <c r="H19" s="103" t="n">
        <v>4</v>
      </c>
      <c r="I19" s="103" t="n">
        <v>2</v>
      </c>
      <c r="J19" s="103" t="n">
        <v>2</v>
      </c>
      <c r="K19" s="103" t="n">
        <v>3</v>
      </c>
      <c r="L19" s="103" t="n">
        <v>2</v>
      </c>
      <c r="M19" s="103" t="n">
        <v>4</v>
      </c>
      <c r="N19" s="103" t="n">
        <v>3</v>
      </c>
      <c r="O19" s="101" t="inlineStr">
        <is>
          <t>Qu vs Oracle decision not officially communicated to Worldpay</t>
        </is>
      </c>
      <c r="P19" s="101" t="inlineStr">
        <is>
          <t>Established</t>
        </is>
      </c>
      <c r="Q19" s="101" t="inlineStr">
        <is>
          <t>Decision believed to favor Qu; verify</t>
        </is>
      </c>
      <c r="R19" s="101" t="inlineStr">
        <is>
          <t>DMB/drive-thru adjacency after POS verification</t>
        </is>
      </c>
      <c r="S19" s="101" t="inlineStr">
        <is>
          <t>Use Maggie to confirm the final POS decision and current payments integration before positioning an adjacency.</t>
        </is>
      </c>
      <c r="T19" s="101" t="inlineStr">
        <is>
          <t>Qu; Aurus; Olo; Bite</t>
        </is>
      </c>
      <c r="U19" s="101" t="inlineStr">
        <is>
          <t>Maggie reports Qu is assumed but not officially confirmed; leadership changes delayed clarity.</t>
        </is>
      </c>
      <c r="V19" s="104" t="inlineStr">
        <is>
          <t>High RM intelligence / unresolved</t>
        </is>
      </c>
    </row>
    <row r="20" ht="26" customHeight="1" s="59">
      <c r="A20" s="100" t="n">
        <v>16</v>
      </c>
      <c r="B20" s="101" t="inlineStr">
        <is>
          <t>P3</t>
        </is>
      </c>
      <c r="C20" s="101" t="inlineStr">
        <is>
          <t>GOLDEN CORRAL</t>
        </is>
      </c>
      <c r="D20" s="101" t="inlineStr">
        <is>
          <t>Maggie Lenhart</t>
        </is>
      </c>
      <c r="E20" s="101" t="inlineStr">
        <is>
          <t>Tier 2</t>
        </is>
      </c>
      <c r="F20" s="102" t="n">
        <v>640</v>
      </c>
      <c r="G20" s="102">
        <f>(H20/5*'Scoring Model'!$B$5+I20/5*'Scoring Model'!$B$6+J20/5*'Scoring Model'!$B$7+K20/5*'Scoring Model'!$B$8+L20/5*'Scoring Model'!$B$9+M20/5*'Scoring Model'!$B$10+N20/5*'Scoring Model'!$B$11)*100</f>
        <v/>
      </c>
      <c r="H20" s="103" t="n">
        <v>4</v>
      </c>
      <c r="I20" s="103" t="n">
        <v>2</v>
      </c>
      <c r="J20" s="103" t="n">
        <v>2</v>
      </c>
      <c r="K20" s="103" t="n">
        <v>3</v>
      </c>
      <c r="L20" s="103" t="n">
        <v>2</v>
      </c>
      <c r="M20" s="103" t="n">
        <v>4</v>
      </c>
      <c r="N20" s="103" t="n">
        <v>3</v>
      </c>
      <c r="O20" s="101" t="inlineStr">
        <is>
          <t>No dated public trigger found</t>
        </is>
      </c>
      <c r="P20" s="101" t="inlineStr">
        <is>
          <t>Established / date unknown</t>
        </is>
      </c>
      <c r="Q20" s="101" t="inlineStr">
        <is>
          <t>Unknown</t>
        </is>
      </c>
      <c r="R20" s="101" t="inlineStr">
        <is>
          <t>Franchise payments + adjacent discovery</t>
        </is>
      </c>
      <c r="S20" s="101" t="inlineStr">
        <is>
          <t>Verify Qu start date, Aurus/Olo scopes, franchise penetration and contract dates.</t>
        </is>
      </c>
      <c r="T20" s="101" t="inlineStr">
        <is>
          <t>Qu; Aurus; Olo</t>
        </is>
      </c>
      <c r="U20" s="101" t="n"/>
      <c r="V20" s="104" t="inlineStr">
        <is>
          <t>Internal baseline only</t>
        </is>
      </c>
    </row>
    <row r="21" ht="39" customHeight="1" s="59">
      <c r="A21" s="100" t="n">
        <v>17</v>
      </c>
      <c r="B21" s="101" t="inlineStr">
        <is>
          <t>P3</t>
        </is>
      </c>
      <c r="C21" s="101" t="inlineStr">
        <is>
          <t>Red Robin</t>
        </is>
      </c>
      <c r="D21" s="101" t="inlineStr">
        <is>
          <t>Avery Churchwell</t>
        </is>
      </c>
      <c r="E21" s="101" t="inlineStr">
        <is>
          <t>Tier 2</t>
        </is>
      </c>
      <c r="F21" s="102" t="n">
        <v>500</v>
      </c>
      <c r="G21" s="102">
        <f>(H21/5*'Scoring Model'!$B$5+I21/5*'Scoring Model'!$B$6+J21/5*'Scoring Model'!$B$7+K21/5*'Scoring Model'!$B$8+L21/5*'Scoring Model'!$B$9+M21/5*'Scoring Model'!$B$10+N21/5*'Scoring Model'!$B$11)*100</f>
        <v/>
      </c>
      <c r="H21" s="103" t="n">
        <v>4</v>
      </c>
      <c r="I21" s="103" t="n">
        <v>2</v>
      </c>
      <c r="J21" s="103" t="n">
        <v>2</v>
      </c>
      <c r="K21" s="103" t="n">
        <v>4</v>
      </c>
      <c r="L21" s="103" t="n">
        <v>2</v>
      </c>
      <c r="M21" s="103" t="n">
        <v>3</v>
      </c>
      <c r="N21" s="103" t="n">
        <v>3</v>
      </c>
      <c r="O21" s="101" t="inlineStr">
        <is>
          <t>Avery sees signs that Red Robin may be in a better operating position and considers it a renewed prospecting possibility; no customer-confirmed buying event was disclosed.</t>
        </is>
      </c>
      <c r="P21" s="101" t="inlineStr">
        <is>
          <t>Mature mixed stack</t>
        </is>
      </c>
      <c r="Q21" s="101" t="inlineStr">
        <is>
          <t>Customer pressure; limited capital</t>
        </is>
      </c>
      <c r="R21" s="101" t="inlineStr">
        <is>
          <t>Pay-at-table replacement + payment savings</t>
        </is>
      </c>
      <c r="S21" s="101" t="inlineStr">
        <is>
          <t>Validate the improved-business-condition signal with current public results and direct RM knowledge, then confirm NCR term, Ziosk dissatisfaction, decision ownership and whether a pay-at-table/payment-savings discussion is timely.</t>
        </is>
      </c>
      <c r="T21" s="101" t="inlineStr">
        <is>
          <t>NCR Aloha; Ziosk; Olo; Monkey Media</t>
        </is>
      </c>
      <c r="U21" s="101" t="inlineStr">
        <is>
          <t>On September 4 Avery said recent reading suggested Red Robin was in a better spot and should be reconsidered as a possibility. This is a directional RM assessment, not a confirmed customer initiative.</t>
        </is>
      </c>
      <c r="V21" s="104" t="inlineStr">
        <is>
          <t>Medium RM assessment dated 2026-09-04 / customer trigger unverified</t>
        </is>
      </c>
    </row>
    <row r="22" ht="26" customHeight="1" s="59">
      <c r="A22" s="100" t="n">
        <v>18</v>
      </c>
      <c r="B22" s="101" t="inlineStr">
        <is>
          <t>P3</t>
        </is>
      </c>
      <c r="C22" s="101" t="inlineStr">
        <is>
          <t>BOB EVANS RESTAURANTS, LLC</t>
        </is>
      </c>
      <c r="D22" s="101" t="inlineStr">
        <is>
          <t>Brian Wood</t>
        </is>
      </c>
      <c r="E22" s="101" t="inlineStr">
        <is>
          <t>Tier 2</t>
        </is>
      </c>
      <c r="F22" s="102" t="n">
        <v>450</v>
      </c>
      <c r="G22" s="102">
        <f>(H22/5*'Scoring Model'!$B$5+I22/5*'Scoring Model'!$B$6+J22/5*'Scoring Model'!$B$7+K22/5*'Scoring Model'!$B$8+L22/5*'Scoring Model'!$B$9+M22/5*'Scoring Model'!$B$10+N22/5*'Scoring Model'!$B$11)*100</f>
        <v/>
      </c>
      <c r="H22" s="103" t="n">
        <v>3</v>
      </c>
      <c r="I22" s="103" t="n">
        <v>2</v>
      </c>
      <c r="J22" s="103" t="n">
        <v>2</v>
      </c>
      <c r="K22" s="103" t="n">
        <v>4</v>
      </c>
      <c r="L22" s="103" t="n">
        <v>2</v>
      </c>
      <c r="M22" s="103" t="n">
        <v>4</v>
      </c>
      <c r="N22" s="103" t="n">
        <v>3</v>
      </c>
      <c r="O22" s="101" t="inlineStr">
        <is>
          <t>No dated primary-source trigger verified</t>
        </is>
      </c>
      <c r="P22" s="101" t="inlineStr">
        <is>
          <t>Established NCR estate</t>
        </is>
      </c>
      <c r="Q22" s="101" t="inlineStr">
        <is>
          <t>Unknown</t>
        </is>
      </c>
      <c r="R22" s="101" t="inlineStr">
        <is>
          <t>Aging POS and adjacent modernization</t>
        </is>
      </c>
      <c r="S22" s="101" t="inlineStr">
        <is>
          <t>Confirm earliest Aloha deployment/renewal and Connected Payments term.</t>
        </is>
      </c>
      <c r="T22" s="101" t="inlineStr">
        <is>
          <t>NCR Aloha; NCR Connected Payments</t>
        </is>
      </c>
      <c r="U22" s="101" t="n"/>
      <c r="V22" s="104" t="inlineStr">
        <is>
          <t>Internal baseline only</t>
        </is>
      </c>
    </row>
    <row r="23" ht="26" customHeight="1" s="59">
      <c r="A23" s="100" t="n">
        <v>19</v>
      </c>
      <c r="B23" s="101" t="inlineStr">
        <is>
          <t>P3</t>
        </is>
      </c>
      <c r="C23" s="101" t="inlineStr">
        <is>
          <t>GRAETERS</t>
        </is>
      </c>
      <c r="D23" s="101" t="inlineStr">
        <is>
          <t>Maggie Lenhart</t>
        </is>
      </c>
      <c r="E23" s="101" t="inlineStr">
        <is>
          <t>Tier 2</t>
        </is>
      </c>
      <c r="F23" s="102" t="n">
        <v>67</v>
      </c>
      <c r="G23" s="102">
        <f>(H23/5*'Scoring Model'!$B$5+I23/5*'Scoring Model'!$B$6+J23/5*'Scoring Model'!$B$7+K23/5*'Scoring Model'!$B$8+L23/5*'Scoring Model'!$B$9+M23/5*'Scoring Model'!$B$10+N23/5*'Scoring Model'!$B$11)*100</f>
        <v/>
      </c>
      <c r="H23" s="103" t="n">
        <v>2</v>
      </c>
      <c r="I23" s="103" t="n">
        <v>3</v>
      </c>
      <c r="J23" s="103" t="n">
        <v>3</v>
      </c>
      <c r="K23" s="103" t="n">
        <v>3</v>
      </c>
      <c r="L23" s="103" t="n">
        <v>2</v>
      </c>
      <c r="M23" s="103" t="n">
        <v>4</v>
      </c>
      <c r="N23" s="103" t="n">
        <v>3</v>
      </c>
      <c r="O23" s="101" t="inlineStr">
        <is>
          <t>Product segmentation clarified</t>
        </is>
      </c>
      <c r="P23" s="101" t="inlineStr">
        <is>
          <t>PAR non-enterprise deployment</t>
        </is>
      </c>
      <c r="Q23" s="101" t="inlineStr">
        <is>
          <t>No adverse signal</t>
        </is>
      </c>
      <c r="R23" s="101" t="inlineStr">
        <is>
          <t>Enterprise upgrade or adjacent stack</t>
        </is>
      </c>
      <c r="S23" s="101" t="inlineStr">
        <is>
          <t>Confirm PAR product/SKU, reseller, site coverage and enterprise gaps; test migration economics without misclassifying current state.</t>
        </is>
      </c>
      <c r="T23" s="101" t="inlineStr">
        <is>
          <t>PAR Brink (non-enterprise); Olo</t>
        </is>
      </c>
      <c r="U23" s="101" t="inlineStr">
        <is>
          <t>Graeter's is a PAR customer but not PAR Enterprise.</t>
        </is>
      </c>
      <c r="V23" s="104" t="inlineStr">
        <is>
          <t>Mixed / see ledger</t>
        </is>
      </c>
    </row>
    <row r="24" ht="26" customHeight="1" s="59">
      <c r="A24" s="100" t="n">
        <v>20</v>
      </c>
      <c r="B24" s="101" t="inlineStr">
        <is>
          <t>P3</t>
        </is>
      </c>
      <c r="C24" s="101" t="inlineStr">
        <is>
          <t>STARBUCKS CORPORATION</t>
        </is>
      </c>
      <c r="D24" s="101" t="inlineStr">
        <is>
          <t>Stacie Davis</t>
        </is>
      </c>
      <c r="E24" s="101" t="inlineStr">
        <is>
          <t>Tier 1</t>
        </is>
      </c>
      <c r="F24" s="102" t="n">
        <v>10000</v>
      </c>
      <c r="G24" s="102">
        <f>(H24/5*'Scoring Model'!$B$5+I24/5*'Scoring Model'!$B$6+J24/5*'Scoring Model'!$B$7+K24/5*'Scoring Model'!$B$8+L24/5*'Scoring Model'!$B$9+M24/5*'Scoring Model'!$B$10+N24/5*'Scoring Model'!$B$11)*100</f>
        <v/>
      </c>
      <c r="H24" s="103" t="n">
        <v>5</v>
      </c>
      <c r="I24" s="103" t="n">
        <v>2</v>
      </c>
      <c r="J24" s="103" t="n">
        <v>2</v>
      </c>
      <c r="K24" s="103" t="n">
        <v>2</v>
      </c>
      <c r="L24" s="103" t="n">
        <v>2</v>
      </c>
      <c r="M24" s="103" t="n">
        <v>3</v>
      </c>
      <c r="N24" s="103" t="n">
        <v>4</v>
      </c>
      <c r="O24" s="101" t="inlineStr">
        <is>
          <t>Only partial Worldpay volume reported</t>
        </is>
      </c>
      <c r="P24" s="101" t="inlineStr">
        <is>
          <t>Proprietary / mature</t>
        </is>
      </c>
      <c r="Q24" s="101" t="inlineStr">
        <is>
          <t>Unknown</t>
        </is>
      </c>
      <c r="R24" s="101" t="inlineStr">
        <is>
          <t>Payments share expansion and hardware</t>
        </is>
      </c>
      <c r="S24" s="101" t="inlineStr">
        <is>
          <t>Quantify the 20% Worldpay footprint, renewal dates, licensed-store scope and Verifone lifecycle.</t>
        </is>
      </c>
      <c r="T24" s="101" t="inlineStr">
        <is>
          <t>Proprietary/VF PWC; Verifone</t>
        </is>
      </c>
      <c r="U24" s="101" t="n"/>
      <c r="V24" s="104" t="inlineStr">
        <is>
          <t>Internal baseline only</t>
        </is>
      </c>
    </row>
    <row r="25" ht="26" customHeight="1" s="59">
      <c r="A25" s="100" t="n">
        <v>21</v>
      </c>
      <c r="B25" s="101" t="inlineStr">
        <is>
          <t>P3</t>
        </is>
      </c>
      <c r="C25" s="101" t="inlineStr">
        <is>
          <t>LITTLE CAESARS ENTERPRISE INC</t>
        </is>
      </c>
      <c r="D25" s="101" t="inlineStr">
        <is>
          <t>Avery Churchwell</t>
        </is>
      </c>
      <c r="E25" s="101" t="inlineStr">
        <is>
          <t>Tier 1</t>
        </is>
      </c>
      <c r="F25" s="102" t="n">
        <v>4200</v>
      </c>
      <c r="G25" s="102">
        <f>(H25/5*'Scoring Model'!$B$5+I25/5*'Scoring Model'!$B$6+J25/5*'Scoring Model'!$B$7+K25/5*'Scoring Model'!$B$8+L25/5*'Scoring Model'!$B$9+M25/5*'Scoring Model'!$B$10+N25/5*'Scoring Model'!$B$11)*100</f>
        <v/>
      </c>
      <c r="H25" s="103" t="n">
        <v>5</v>
      </c>
      <c r="I25" s="103" t="n">
        <v>2</v>
      </c>
      <c r="J25" s="103" t="n">
        <v>2</v>
      </c>
      <c r="K25" s="103" t="n">
        <v>1</v>
      </c>
      <c r="L25" s="103" t="n">
        <v>2</v>
      </c>
      <c r="M25" s="103" t="n">
        <v>4</v>
      </c>
      <c r="N25" s="103" t="n">
        <v>3</v>
      </c>
      <c r="O25" s="101" t="inlineStr">
        <is>
          <t>Relationship is active enough for technical-support interaction, but commercial follow-up is stalled: Avery reported three open items and no response to repeated emails for roughly a week and a half.</t>
        </is>
      </c>
      <c r="P25" s="101" t="inlineStr">
        <is>
          <t>Proprietary / entrenched</t>
        </is>
      </c>
      <c r="Q25" s="101" t="inlineStr">
        <is>
          <t>Unknown</t>
        </is>
      </c>
      <c r="R25" s="101" t="inlineStr">
        <is>
          <t>Payments, DMB, franchise and data adjacency</t>
        </is>
      </c>
      <c r="S25" s="101" t="inlineStr">
        <is>
          <t>Use the existing technical-support interaction to re-establish responsiveness, consolidate the three outstanding requests into one owner/action list, and map CaesarVision, payments renewal, DMB and franchise exceptions without leading with generic POS displacement.</t>
        </is>
      </c>
      <c r="T25" s="101" t="inlineStr">
        <is>
          <t>CaesarVision; Verifone; Mashgin</t>
        </is>
      </c>
      <c r="U25" s="101" t="inlineStr">
        <is>
          <t>Avery reported three items awaiting follow-up and no response to emails for approximately 1.5 weeks, despite participating in a technical-support call with the account earlier that week.</t>
        </is>
      </c>
      <c r="V25" s="104" t="inlineStr">
        <is>
          <t>High RM interaction evidence dated 2026-09-04 / commercial trigger unverified</t>
        </is>
      </c>
    </row>
    <row r="26" ht="26" customHeight="1" s="59">
      <c r="A26" s="100" t="n">
        <v>22</v>
      </c>
      <c r="B26" s="101" t="inlineStr">
        <is>
          <t>P3</t>
        </is>
      </c>
      <c r="C26" s="101" t="inlineStr">
        <is>
          <t>BLACK BEAR DINER</t>
        </is>
      </c>
      <c r="D26" s="101" t="inlineStr">
        <is>
          <t>Avery Churchwell</t>
        </is>
      </c>
      <c r="E26" s="101" t="inlineStr">
        <is>
          <t>Tier 2</t>
        </is>
      </c>
      <c r="F26" s="102" t="n">
        <v>217</v>
      </c>
      <c r="G26" s="102">
        <f>(H26/5*'Scoring Model'!$B$5+I26/5*'Scoring Model'!$B$6+J26/5*'Scoring Model'!$B$7+K26/5*'Scoring Model'!$B$8+L26/5*'Scoring Model'!$B$9+M26/5*'Scoring Model'!$B$10+N26/5*'Scoring Model'!$B$11)*100</f>
        <v/>
      </c>
      <c r="H26" s="103" t="n">
        <v>3</v>
      </c>
      <c r="I26" s="103" t="n">
        <v>3</v>
      </c>
      <c r="J26" s="103" t="n">
        <v>2</v>
      </c>
      <c r="K26" s="103" t="n">
        <v>2</v>
      </c>
      <c r="L26" s="103" t="n">
        <v>3</v>
      </c>
      <c r="M26" s="103" t="n">
        <v>3</v>
      </c>
      <c r="N26" s="103" t="n">
        <v>4</v>
      </c>
      <c r="O26" s="101" t="inlineStr">
        <is>
          <t>Transitioned toward Toast; Olo catering evidence</t>
        </is>
      </c>
      <c r="P26" s="101" t="inlineStr">
        <is>
          <t>Recently changed / deploying</t>
        </is>
      </c>
      <c r="Q26" s="101" t="inlineStr">
        <is>
          <t>Unknown</t>
        </is>
      </c>
      <c r="R26" s="101" t="inlineStr">
        <is>
          <t>Retain payments + adjacent gaps</t>
        </is>
      </c>
      <c r="S26" s="101" t="inlineStr">
        <is>
          <t>Confirm Toast deployment scope and whether Worldpay became unmanaged; map Olo modules and remaining corporate/franchise gaps.</t>
        </is>
      </c>
      <c r="T26" s="101" t="inlineStr">
        <is>
          <t>Toast; Olo</t>
        </is>
      </c>
      <c r="U26" s="101" t="n"/>
      <c r="V26" s="104" t="inlineStr">
        <is>
          <t>Mixed / see ledger</t>
        </is>
      </c>
    </row>
    <row r="27" ht="26" customHeight="1" s="59">
      <c r="A27" s="100" t="n">
        <v>23</v>
      </c>
      <c r="B27" s="101" t="inlineStr">
        <is>
          <t>P3</t>
        </is>
      </c>
      <c r="C27" s="101" t="inlineStr">
        <is>
          <t>DOMINO'S PIZZA</t>
        </is>
      </c>
      <c r="D27" s="101" t="inlineStr">
        <is>
          <t>Stacie Davis</t>
        </is>
      </c>
      <c r="E27" s="101" t="inlineStr">
        <is>
          <t>Tier 1</t>
        </is>
      </c>
      <c r="F27" s="102" t="n">
        <v>7000</v>
      </c>
      <c r="G27" s="102">
        <f>(H27/5*'Scoring Model'!$B$5+I27/5*'Scoring Model'!$B$6+J27/5*'Scoring Model'!$B$7+K27/5*'Scoring Model'!$B$8+L27/5*'Scoring Model'!$B$9+M27/5*'Scoring Model'!$B$10+N27/5*'Scoring Model'!$B$11)*100</f>
        <v/>
      </c>
      <c r="H27" s="103" t="n">
        <v>5</v>
      </c>
      <c r="I27" s="103" t="n">
        <v>2</v>
      </c>
      <c r="J27" s="103" t="n">
        <v>2</v>
      </c>
      <c r="K27" s="103" t="n">
        <v>1</v>
      </c>
      <c r="L27" s="103" t="n">
        <v>2</v>
      </c>
      <c r="M27" s="103" t="n">
        <v>3</v>
      </c>
      <c r="N27" s="103" t="n">
        <v>3</v>
      </c>
      <c r="O27" s="101" t="inlineStr">
        <is>
          <t>Proprietary estate; no open trigger verified</t>
        </is>
      </c>
      <c r="P27" s="101" t="inlineStr">
        <is>
          <t>Proprietary / entrenched</t>
        </is>
      </c>
      <c r="Q27" s="101" t="inlineStr">
        <is>
          <t>Unknown</t>
        </is>
      </c>
      <c r="R27" s="101" t="inlineStr">
        <is>
          <t>Payments, hardware and franchise adjacency</t>
        </is>
      </c>
      <c r="S27" s="101" t="inlineStr">
        <is>
          <t>Confirm ACI/Cybersource tenure, processor split and franchise technology control.</t>
        </is>
      </c>
      <c r="T27" s="101" t="inlineStr">
        <is>
          <t>Proprietary; ACI/Cybersource; Ingenico</t>
        </is>
      </c>
      <c r="U27" s="101" t="n"/>
      <c r="V27" s="104" t="inlineStr">
        <is>
          <t>Internal baseline only</t>
        </is>
      </c>
    </row>
    <row r="28" ht="26" customHeight="1" s="59">
      <c r="A28" s="100" t="n">
        <v>24</v>
      </c>
      <c r="B28" s="101" t="inlineStr">
        <is>
          <t>P3</t>
        </is>
      </c>
      <c r="C28" s="101" t="inlineStr">
        <is>
          <t>FIREHOUSE RESTAURANT</t>
        </is>
      </c>
      <c r="D28" s="101" t="inlineStr">
        <is>
          <t>Brian Wood</t>
        </is>
      </c>
      <c r="E28" s="101" t="inlineStr">
        <is>
          <t>Tier 2</t>
        </is>
      </c>
      <c r="F28" s="102" t="n">
        <v>1200</v>
      </c>
      <c r="G28" s="102">
        <f>(H28/5*'Scoring Model'!$B$5+I28/5*'Scoring Model'!$B$6+J28/5*'Scoring Model'!$B$7+K28/5*'Scoring Model'!$B$8+L28/5*'Scoring Model'!$B$9+M28/5*'Scoring Model'!$B$10+N28/5*'Scoring Model'!$B$11)*100</f>
        <v/>
      </c>
      <c r="H28" s="103" t="n">
        <v>4</v>
      </c>
      <c r="I28" s="103" t="n">
        <v>2</v>
      </c>
      <c r="J28" s="103" t="n">
        <v>2</v>
      </c>
      <c r="K28" s="103" t="n">
        <v>2</v>
      </c>
      <c r="L28" s="103" t="n">
        <v>2</v>
      </c>
      <c r="M28" s="103" t="n">
        <v>3</v>
      </c>
      <c r="N28" s="103" t="n">
        <v>3</v>
      </c>
      <c r="O28" s="101" t="inlineStr">
        <is>
          <t>Toast relationship appears strategic</t>
        </is>
      </c>
      <c r="P28" s="101" t="inlineStr">
        <is>
          <t>Established / strategic</t>
        </is>
      </c>
      <c r="Q28" s="101" t="inlineStr">
        <is>
          <t>No adverse signal</t>
        </is>
      </c>
      <c r="R28" s="101" t="inlineStr">
        <is>
          <t>Franchise payments and adjacent whitespace</t>
        </is>
      </c>
      <c r="S28" s="101" t="inlineStr">
        <is>
          <t>Confirm Toast modules and RBI governance; focus only on uncovered layers/franchise exceptions.</t>
        </is>
      </c>
      <c r="T28" s="101" t="inlineStr">
        <is>
          <t>Toast; eGiftify</t>
        </is>
      </c>
      <c r="U28" s="101" t="n"/>
      <c r="V28" s="104" t="inlineStr">
        <is>
          <t>Internal baseline only</t>
        </is>
      </c>
    </row>
    <row r="29" ht="26" customHeight="1" s="59">
      <c r="A29" s="100" t="n">
        <v>25</v>
      </c>
      <c r="B29" s="101" t="inlineStr">
        <is>
          <t>P3</t>
        </is>
      </c>
      <c r="C29" s="101" t="inlineStr">
        <is>
          <t>BOYNE USA INC</t>
        </is>
      </c>
      <c r="D29" s="101" t="inlineStr">
        <is>
          <t>Avery Churchwell</t>
        </is>
      </c>
      <c r="E29" s="101" t="inlineStr">
        <is>
          <t>Tier 2</t>
        </is>
      </c>
      <c r="F29" s="102" t="n">
        <v>17</v>
      </c>
      <c r="G29" s="102">
        <f>(H29/5*'Scoring Model'!$B$5+I29/5*'Scoring Model'!$B$6+J29/5*'Scoring Model'!$B$7+K29/5*'Scoring Model'!$B$8+L29/5*'Scoring Model'!$B$9+M29/5*'Scoring Model'!$B$10+N29/5*'Scoring Model'!$B$11)*100</f>
        <v/>
      </c>
      <c r="H29" s="103" t="n">
        <v>2</v>
      </c>
      <c r="I29" s="103" t="n">
        <v>2</v>
      </c>
      <c r="J29" s="103" t="n">
        <v>2</v>
      </c>
      <c r="K29" s="103" t="n">
        <v>3</v>
      </c>
      <c r="L29" s="103" t="n">
        <v>2</v>
      </c>
      <c r="M29" s="103" t="n">
        <v>4</v>
      </c>
      <c r="N29" s="103" t="n">
        <v>3</v>
      </c>
      <c r="O29" s="101" t="inlineStr">
        <is>
          <t>No trigger verified</t>
        </is>
      </c>
      <c r="P29" s="101" t="inlineStr">
        <is>
          <t>Established mixed hospitality stack</t>
        </is>
      </c>
      <c r="Q29" s="101" t="inlineStr">
        <is>
          <t>Unknown</t>
        </is>
      </c>
      <c r="R29" s="101" t="inlineStr">
        <is>
          <t>Resort commerce consolidation</t>
        </is>
      </c>
      <c r="S29" s="101" t="inlineStr">
        <is>
          <t>Map Agilysys, RTP, Mashgin and Flaik by venue/property; confirm renewal dates.</t>
        </is>
      </c>
      <c r="T29" s="101" t="inlineStr">
        <is>
          <t>Agilysys; RTP; FreedomPay; Mashgin; Flaik</t>
        </is>
      </c>
      <c r="U29" s="101" t="n"/>
      <c r="V29" s="104" t="inlineStr">
        <is>
          <t>Internal baseline only</t>
        </is>
      </c>
    </row>
    <row r="30" ht="39" customHeight="1" s="59">
      <c r="A30" s="100" t="n">
        <v>26</v>
      </c>
      <c r="B30" s="101" t="inlineStr">
        <is>
          <t>P3</t>
        </is>
      </c>
      <c r="C30" s="101" t="inlineStr">
        <is>
          <t>SLIM CHICKENS</t>
        </is>
      </c>
      <c r="D30" s="101" t="inlineStr">
        <is>
          <t>Avery Churchwell</t>
        </is>
      </c>
      <c r="E30" s="101" t="inlineStr">
        <is>
          <t>Tier 2</t>
        </is>
      </c>
      <c r="F30" s="102" t="n">
        <v>250</v>
      </c>
      <c r="G30" s="102">
        <f>(H30/5*'Scoring Model'!$B$5+I30/5*'Scoring Model'!$B$6+J30/5*'Scoring Model'!$B$7+K30/5*'Scoring Model'!$B$8+L30/5*'Scoring Model'!$B$9+M30/5*'Scoring Model'!$B$10+N30/5*'Scoring Model'!$B$11)*100</f>
        <v/>
      </c>
      <c r="H30" s="103" t="n">
        <v>3</v>
      </c>
      <c r="I30" s="103" t="n">
        <v>2</v>
      </c>
      <c r="J30" s="103" t="n">
        <v>2</v>
      </c>
      <c r="K30" s="103" t="n">
        <v>3</v>
      </c>
      <c r="L30" s="103" t="n">
        <v>1</v>
      </c>
      <c r="M30" s="103" t="n">
        <v>3</v>
      </c>
      <c r="N30" s="103" t="n">
        <v>2</v>
      </c>
      <c r="O30" s="101" t="inlineStr">
        <is>
          <t>Worldpay remains renewed through the reported three-year term. A Slim Chickens contact told Avery she plans to attend the FSTEC happy hour; RDS remains the required channel path.</t>
        </is>
      </c>
      <c r="P30" s="101" t="inlineStr">
        <is>
          <t>Established and expanding digital</t>
        </is>
      </c>
      <c r="Q30" s="101" t="inlineStr">
        <is>
          <t>Payments retained; Olo remains entrenched</t>
        </is>
      </c>
      <c r="R30" s="101" t="inlineStr">
        <is>
          <t>RDS-led relationship map; no active displacement trigger</t>
        </is>
      </c>
      <c r="S30" s="101" t="inlineStr">
        <is>
          <t>Avery to connect the attending Slim Chickens contact with Todd and the onsite Genius team for FSTEC; coordinate all follow-up with RDS and use the meeting to validate stakeholders and customer-defined modular needs, not to force a displacement pitch.</t>
        </is>
      </c>
      <c r="T30" s="101" t="inlineStr">
        <is>
          <t>PAR Brink; Olo Ordering/Dispatch/Rails/Switchboard/Sync</t>
        </is>
      </c>
      <c r="U30" s="101" t="inlineStr">
        <is>
          <t>Avery has a Slim Chickens contact expected at the FSTEC happy hour and will provide Genius attendee contact information because she will be in Europe. Todd is already working through RDS, which both parties agreed is the best joint route into Slim Chickens and Freddy's.</t>
        </is>
      </c>
      <c r="V30" s="104" t="inlineStr">
        <is>
          <t>High RM/channel intelligence dated 2026-09-04</t>
        </is>
      </c>
    </row>
    <row r="31" ht="26" customHeight="1" s="59">
      <c r="A31" s="100" t="n">
        <v>27</v>
      </c>
      <c r="B31" s="101" t="inlineStr">
        <is>
          <t>P3</t>
        </is>
      </c>
      <c r="C31" s="101" t="inlineStr">
        <is>
          <t>Barbara B Mann PAH</t>
        </is>
      </c>
      <c r="D31" s="101" t="inlineStr">
        <is>
          <t>Brian Wood</t>
        </is>
      </c>
      <c r="E31" s="101" t="inlineStr">
        <is>
          <t>Tier 2</t>
        </is>
      </c>
      <c r="F31" s="102" t="n"/>
      <c r="G31" s="102">
        <f>(H31/5*'Scoring Model'!$B$5+I31/5*'Scoring Model'!$B$6+J31/5*'Scoring Model'!$B$7+K31/5*'Scoring Model'!$B$8+L31/5*'Scoring Model'!$B$9+M31/5*'Scoring Model'!$B$10+N31/5*'Scoring Model'!$B$11)*100</f>
        <v/>
      </c>
      <c r="H31" s="103" t="n">
        <v>1</v>
      </c>
      <c r="I31" s="103" t="n">
        <v>2</v>
      </c>
      <c r="J31" s="103" t="n">
        <v>1</v>
      </c>
      <c r="K31" s="103" t="n">
        <v>3</v>
      </c>
      <c r="L31" s="103" t="n">
        <v>2</v>
      </c>
      <c r="M31" s="103" t="n">
        <v>5</v>
      </c>
      <c r="N31" s="103" t="n">
        <v>3</v>
      </c>
      <c r="O31" s="101" t="inlineStr">
        <is>
          <t>No trigger verified</t>
        </is>
      </c>
      <c r="P31" s="101" t="inlineStr">
        <is>
          <t>Unknown</t>
        </is>
      </c>
      <c r="Q31" s="101" t="inlineStr">
        <is>
          <t>Unknown</t>
        </is>
      </c>
      <c r="R31" s="101" t="inlineStr">
        <is>
          <t>Venue commerce discovery</t>
        </is>
      </c>
      <c r="S31" s="101" t="inlineStr">
        <is>
          <t>Resolve legal entity/venue scope and validate Cybersource/ecommerce footprint.</t>
        </is>
      </c>
      <c r="T31" s="101" t="inlineStr">
        <is>
          <t>Cybersource</t>
        </is>
      </c>
      <c r="U31" s="101" t="n"/>
      <c r="V31" s="104" t="inlineStr">
        <is>
          <t>Internal baseline only</t>
        </is>
      </c>
    </row>
    <row r="32" ht="26" customHeight="1" s="59">
      <c r="A32" s="105" t="n">
        <v>28</v>
      </c>
      <c r="B32" s="106" t="inlineStr">
        <is>
          <t>P3</t>
        </is>
      </c>
      <c r="C32" s="106" t="inlineStr">
        <is>
          <t>STATION CASINO</t>
        </is>
      </c>
      <c r="D32" s="106" t="inlineStr">
        <is>
          <t>Avery Churchwell</t>
        </is>
      </c>
      <c r="E32" s="106" t="inlineStr">
        <is>
          <t>Tier 2</t>
        </is>
      </c>
      <c r="F32" s="107" t="n">
        <v>18</v>
      </c>
      <c r="G32" s="107">
        <f>(H32/5*'Scoring Model'!$B$5+I32/5*'Scoring Model'!$B$6+J32/5*'Scoring Model'!$B$7+K32/5*'Scoring Model'!$B$8+L32/5*'Scoring Model'!$B$9+M32/5*'Scoring Model'!$B$10+N32/5*'Scoring Model'!$B$11)*100</f>
        <v/>
      </c>
      <c r="H32" s="108" t="n">
        <v>2</v>
      </c>
      <c r="I32" s="108" t="n">
        <v>2</v>
      </c>
      <c r="J32" s="108" t="n">
        <v>2</v>
      </c>
      <c r="K32" s="108" t="n">
        <v>3</v>
      </c>
      <c r="L32" s="108" t="n">
        <v>2</v>
      </c>
      <c r="M32" s="108" t="n">
        <v>3</v>
      </c>
      <c r="N32" s="108" t="n">
        <v>2</v>
      </c>
      <c r="O32" s="106" t="inlineStr">
        <is>
          <t>No trigger verified</t>
        </is>
      </c>
      <c r="P32" s="106" t="inlineStr">
        <is>
          <t>Established hospitality stack</t>
        </is>
      </c>
      <c r="Q32" s="106" t="inlineStr">
        <is>
          <t>Unknown</t>
        </is>
      </c>
      <c r="R32" s="106" t="inlineStr">
        <is>
          <t>Venue payments and commerce adjacency</t>
        </is>
      </c>
      <c r="S32" s="106" t="inlineStr">
        <is>
          <t>Validate Agilysys/FreedomPay contract dates and venue expansion plans.</t>
        </is>
      </c>
      <c r="T32" s="106" t="inlineStr">
        <is>
          <t>Agilysys; FreedomPay; OnDemand</t>
        </is>
      </c>
      <c r="U32" s="106" t="n"/>
      <c r="V32" s="109" t="inlineStr">
        <is>
          <t>Internal baseline only</t>
        </is>
      </c>
    </row>
    <row r="33" ht="30" customHeight="1" s="59">
      <c r="A33" s="111" t="n">
        <v>29</v>
      </c>
      <c r="B33" s="111" t="inlineStr">
        <is>
          <t>P3</t>
        </is>
      </c>
      <c r="C33" s="111" t="inlineStr">
        <is>
          <t>LATRELLES MANAGEMENT CORP (Bullritos)</t>
        </is>
      </c>
      <c r="D33" s="111" t="inlineStr">
        <is>
          <t>Avery Churchwell</t>
        </is>
      </c>
      <c r="E33" s="111" t="inlineStr">
        <is>
          <t>Tier 2</t>
        </is>
      </c>
      <c r="F33" s="111" t="n">
        <v>35</v>
      </c>
      <c r="G33" s="111">
        <f>(H33/5*'Scoring Model'!$B$5+I33/5*'Scoring Model'!$B$6+J33/5*'Scoring Model'!$B$7+K33/5*'Scoring Model'!$B$8+L33/5*'Scoring Model'!$B$9+M33/5*'Scoring Model'!$B$10+N33/5*'Scoring Model'!$B$11)*100</f>
        <v/>
      </c>
      <c r="H33" s="111" t="n">
        <v>1</v>
      </c>
      <c r="I33" s="111" t="n">
        <v>2</v>
      </c>
      <c r="J33" s="111" t="n">
        <v>2</v>
      </c>
      <c r="K33" s="111" t="n">
        <v>3</v>
      </c>
      <c r="L33" s="111" t="n">
        <v>2</v>
      </c>
      <c r="M33" s="111" t="n">
        <v>4</v>
      </c>
      <c r="N33" s="111" t="n">
        <v>2</v>
      </c>
      <c r="O33" s="111" t="inlineStr">
        <is>
          <t>No trigger verified</t>
        </is>
      </c>
      <c r="P33" s="111" t="inlineStr">
        <is>
          <t>Established NCR</t>
        </is>
      </c>
      <c r="Q33" s="111" t="inlineStr">
        <is>
          <t>Unknown</t>
        </is>
      </c>
      <c r="R33" s="111" t="inlineStr">
        <is>
          <t>Mid-market POS/payments modernization</t>
        </is>
      </c>
      <c r="S33" s="111" t="inlineStr">
        <is>
          <t>Validate current estate and buying authority.</t>
        </is>
      </c>
      <c r="T33" s="111" t="inlineStr">
        <is>
          <t>NCR Aloha; NCR Connected Payments</t>
        </is>
      </c>
      <c r="U33" s="111" t="n"/>
      <c r="V33" s="111" t="inlineStr">
        <is>
          <t>Internal baseline only</t>
        </is>
      </c>
    </row>
    <row r="34" ht="30" customHeight="1" s="59">
      <c r="A34" s="111" t="n">
        <v>30</v>
      </c>
      <c r="B34" s="111" t="inlineStr">
        <is>
          <t>P3</t>
        </is>
      </c>
      <c r="C34" s="111" t="inlineStr">
        <is>
          <t>FESTIVA REAL ESTATE HOLDINGS</t>
        </is>
      </c>
      <c r="D34" s="111" t="inlineStr">
        <is>
          <t>Brian Wood</t>
        </is>
      </c>
      <c r="E34" s="111" t="inlineStr">
        <is>
          <t>Tier 2</t>
        </is>
      </c>
      <c r="F34" s="111" t="n"/>
      <c r="G34" s="111">
        <f>(H34/5*'Scoring Model'!$B$5+I34/5*'Scoring Model'!$B$6+J34/5*'Scoring Model'!$B$7+K34/5*'Scoring Model'!$B$8+L34/5*'Scoring Model'!$B$9+M34/5*'Scoring Model'!$B$10+N34/5*'Scoring Model'!$B$11)*100</f>
        <v/>
      </c>
      <c r="H34" s="111" t="n">
        <v>1</v>
      </c>
      <c r="I34" s="111" t="n">
        <v>2</v>
      </c>
      <c r="J34" s="111" t="n">
        <v>1</v>
      </c>
      <c r="K34" s="111" t="n">
        <v>3</v>
      </c>
      <c r="L34" s="111" t="n">
        <v>2</v>
      </c>
      <c r="M34" s="111" t="n">
        <v>4</v>
      </c>
      <c r="N34" s="111" t="n">
        <v>3</v>
      </c>
      <c r="O34" s="111" t="inlineStr">
        <is>
          <t>Formerly linked to Choice; no active trigger</t>
        </is>
      </c>
      <c r="P34" s="111" t="inlineStr">
        <is>
          <t>Established / unclear</t>
        </is>
      </c>
      <c r="Q34" s="111" t="inlineStr">
        <is>
          <t>Unknown</t>
        </is>
      </c>
      <c r="R34" s="111" t="inlineStr">
        <is>
          <t>Payments discovery</t>
        </is>
      </c>
      <c r="S34" s="111" t="inlineStr">
        <is>
          <t>Resolve entity relationship and current payment estate before pursuit.</t>
        </is>
      </c>
      <c r="T34" s="111" t="inlineStr">
        <is>
          <t>Shift4 and others</t>
        </is>
      </c>
      <c r="U34" s="111" t="n"/>
      <c r="V34" s="111" t="inlineStr">
        <is>
          <t>Internal baseline only</t>
        </is>
      </c>
    </row>
    <row r="35">
      <c r="A35" s="111" t="n">
        <v>31</v>
      </c>
      <c r="B35" s="111" t="inlineStr">
        <is>
          <t>Unranked</t>
        </is>
      </c>
      <c r="C35" s="111" t="inlineStr">
        <is>
          <t>Buffalo Wild Wings</t>
        </is>
      </c>
      <c r="D35" s="111" t="n"/>
      <c r="E35" s="111" t="n"/>
      <c r="F35" s="111" t="n"/>
      <c r="G35" s="111" t="n"/>
      <c r="H35" s="111" t="n"/>
      <c r="I35" s="111" t="n"/>
      <c r="J35" s="111" t="n"/>
      <c r="K35" s="111" t="n"/>
      <c r="L35" s="111" t="n"/>
      <c r="M35" s="111" t="n"/>
      <c r="N35" s="111" t="n"/>
      <c r="O35" s="111" t="n"/>
      <c r="P35" s="111" t="n"/>
      <c r="Q35" s="111" t="n"/>
      <c r="R35" s="111" t="n"/>
      <c r="S35" s="111" t="n"/>
      <c r="T35" s="111" t="n"/>
      <c r="U35" s="111" t="n"/>
      <c r="V35" s="111" t="inlineStr">
        <is>
          <t>User-supplied Worldpay ABM target list; requires qualification</t>
        </is>
      </c>
      <c r="W35" t="inlineStr">
        <is>
          <t>US DIRECT</t>
        </is>
      </c>
      <c r="X35" t="inlineStr">
        <is>
          <t>US</t>
        </is>
      </c>
      <c r="Y35" t="inlineStr">
        <is>
          <t>Family Dining</t>
        </is>
      </c>
      <c r="Z35" t="inlineStr">
        <is>
          <t>Yes</t>
        </is>
      </c>
      <c r="AG35" t="inlineStr">
        <is>
          <t>ABM WP Target Account List.xlsx — ABM Target Accounts</t>
        </is>
      </c>
    </row>
    <row r="36">
      <c r="A36" s="111" t="n">
        <v>32</v>
      </c>
      <c r="B36" s="111" t="inlineStr">
        <is>
          <t>Unranked</t>
        </is>
      </c>
      <c r="C36" s="111" t="inlineStr">
        <is>
          <t>Coffee Bean &amp; Tea Leaf Ma</t>
        </is>
      </c>
      <c r="D36" s="111" t="n"/>
      <c r="E36" s="111" t="n"/>
      <c r="F36" s="111" t="n"/>
      <c r="G36" s="111" t="n"/>
      <c r="H36" s="111" t="n"/>
      <c r="I36" s="111" t="n"/>
      <c r="J36" s="111" t="n"/>
      <c r="K36" s="111" t="n"/>
      <c r="L36" s="111" t="n"/>
      <c r="M36" s="111" t="n"/>
      <c r="N36" s="111" t="n"/>
      <c r="O36" s="111" t="n"/>
      <c r="P36" s="111" t="n"/>
      <c r="Q36" s="111" t="n"/>
      <c r="R36" s="111" t="n"/>
      <c r="S36" s="111" t="n"/>
      <c r="T36" s="111" t="n"/>
      <c r="U36" s="111" t="n"/>
      <c r="V36" s="111" t="inlineStr">
        <is>
          <t>User-supplied Worldpay ABM target list; requires qualification</t>
        </is>
      </c>
      <c r="W36" t="inlineStr">
        <is>
          <t>US DIRECT</t>
        </is>
      </c>
      <c r="X36" t="inlineStr">
        <is>
          <t>US</t>
        </is>
      </c>
      <c r="Y36" t="inlineStr">
        <is>
          <t>Coffee</t>
        </is>
      </c>
      <c r="Z36" t="inlineStr">
        <is>
          <t>Yes</t>
        </is>
      </c>
      <c r="AG36" t="inlineStr">
        <is>
          <t>ABM WP Target Account List.xlsx — ABM Target Accounts</t>
        </is>
      </c>
    </row>
    <row r="37">
      <c r="A37" s="111" t="n">
        <v>33</v>
      </c>
      <c r="B37" s="111" t="inlineStr">
        <is>
          <t>Unranked</t>
        </is>
      </c>
      <c r="C37" s="111" t="inlineStr">
        <is>
          <t>International Coffee &amp; Tea Llc</t>
        </is>
      </c>
      <c r="D37" s="111" t="n"/>
      <c r="E37" s="111" t="n"/>
      <c r="F37" s="111" t="n"/>
      <c r="G37" s="111" t="n"/>
      <c r="H37" s="111" t="n"/>
      <c r="I37" s="111" t="n"/>
      <c r="J37" s="111" t="n"/>
      <c r="K37" s="111" t="n"/>
      <c r="L37" s="111" t="n"/>
      <c r="M37" s="111" t="n"/>
      <c r="N37" s="111" t="n"/>
      <c r="O37" s="111" t="n"/>
      <c r="P37" s="111" t="n"/>
      <c r="Q37" s="111" t="n"/>
      <c r="R37" s="111" t="n"/>
      <c r="S37" s="111" t="n"/>
      <c r="T37" s="111" t="n"/>
      <c r="U37" s="111" t="n"/>
      <c r="V37" s="111" t="inlineStr">
        <is>
          <t>User-supplied Worldpay ABM target list; requires qualification</t>
        </is>
      </c>
      <c r="W37" t="inlineStr">
        <is>
          <t>US DIRECT</t>
        </is>
      </c>
      <c r="X37" t="inlineStr">
        <is>
          <t>US</t>
        </is>
      </c>
      <c r="Y37" t="inlineStr">
        <is>
          <t>Coffee</t>
        </is>
      </c>
      <c r="Z37" t="inlineStr">
        <is>
          <t>Yes</t>
        </is>
      </c>
      <c r="AG37" t="inlineStr">
        <is>
          <t>ABM WP Target Account List.xlsx — ABM Target Accounts</t>
        </is>
      </c>
    </row>
    <row r="38">
      <c r="A38" s="111" t="n">
        <v>34</v>
      </c>
      <c r="B38" s="111" t="inlineStr">
        <is>
          <t>Unranked</t>
        </is>
      </c>
      <c r="C38" s="111" t="inlineStr">
        <is>
          <t>Culver'S</t>
        </is>
      </c>
      <c r="D38" s="111" t="n"/>
      <c r="E38" s="111" t="n"/>
      <c r="F38" s="111" t="n"/>
      <c r="G38" s="111" t="n"/>
      <c r="H38" s="111" t="n"/>
      <c r="I38" s="111" t="n"/>
      <c r="J38" s="111" t="n"/>
      <c r="K38" s="111" t="n"/>
      <c r="L38" s="111" t="n"/>
      <c r="M38" s="111" t="n"/>
      <c r="N38" s="111" t="n"/>
      <c r="O38" s="111" t="n"/>
      <c r="P38" s="111" t="n"/>
      <c r="Q38" s="111" t="n"/>
      <c r="R38" s="111" t="n"/>
      <c r="S38" s="111" t="n"/>
      <c r="T38" s="111" t="n"/>
      <c r="U38" s="111" t="n"/>
      <c r="V38" s="111" t="inlineStr">
        <is>
          <t>User-supplied Worldpay ABM target list; requires qualification</t>
        </is>
      </c>
      <c r="W38" t="inlineStr">
        <is>
          <t>US DIRECT</t>
        </is>
      </c>
      <c r="X38" t="inlineStr">
        <is>
          <t>US</t>
        </is>
      </c>
      <c r="Y38" t="inlineStr">
        <is>
          <t>Burger</t>
        </is>
      </c>
      <c r="Z38" t="inlineStr">
        <is>
          <t>Yes</t>
        </is>
      </c>
      <c r="AA38" t="inlineStr">
        <is>
          <t>N</t>
        </is>
      </c>
      <c r="AG38" t="inlineStr">
        <is>
          <t>ABM WP Target Account List.xlsx — ABM Target Accounts</t>
        </is>
      </c>
    </row>
    <row r="39">
      <c r="A39" s="111" t="n">
        <v>35</v>
      </c>
      <c r="B39" s="111" t="inlineStr">
        <is>
          <t>Unranked</t>
        </is>
      </c>
      <c r="C39" s="111" t="inlineStr">
        <is>
          <t>Caribou Coffee #1243</t>
        </is>
      </c>
      <c r="D39" s="111" t="n"/>
      <c r="E39" s="111" t="n"/>
      <c r="F39" s="111" t="n"/>
      <c r="G39" s="111" t="n"/>
      <c r="H39" s="111" t="n"/>
      <c r="I39" s="111" t="n"/>
      <c r="J39" s="111" t="n"/>
      <c r="K39" s="111" t="n"/>
      <c r="L39" s="111" t="n"/>
      <c r="M39" s="111" t="n"/>
      <c r="N39" s="111" t="n"/>
      <c r="O39" s="111" t="n"/>
      <c r="P39" s="111" t="n"/>
      <c r="Q39" s="111" t="n"/>
      <c r="R39" s="111" t="n"/>
      <c r="S39" s="111" t="n"/>
      <c r="T39" s="111" t="n"/>
      <c r="U39" s="111" t="n"/>
      <c r="V39" s="111" t="inlineStr">
        <is>
          <t>User-supplied Worldpay ABM target list; requires qualification</t>
        </is>
      </c>
      <c r="W39" t="inlineStr">
        <is>
          <t>US DIRECT</t>
        </is>
      </c>
      <c r="X39" t="inlineStr">
        <is>
          <t>US</t>
        </is>
      </c>
      <c r="Y39" t="inlineStr">
        <is>
          <t>Coffee</t>
        </is>
      </c>
      <c r="Z39" t="inlineStr">
        <is>
          <t>Yes</t>
        </is>
      </c>
      <c r="AG39" t="inlineStr">
        <is>
          <t>ABM WP Target Account List.xlsx — ABM Target Accounts</t>
        </is>
      </c>
    </row>
    <row r="40">
      <c r="A40" s="111" t="n">
        <v>36</v>
      </c>
      <c r="B40" s="111" t="inlineStr">
        <is>
          <t>Unranked</t>
        </is>
      </c>
      <c r="C40" s="111" t="inlineStr">
        <is>
          <t>Jamba Juice</t>
        </is>
      </c>
      <c r="D40" s="111" t="n"/>
      <c r="E40" s="111" t="n"/>
      <c r="F40" s="111" t="n"/>
      <c r="G40" s="111" t="n"/>
      <c r="H40" s="111" t="n"/>
      <c r="I40" s="111" t="n"/>
      <c r="J40" s="111" t="n"/>
      <c r="K40" s="111" t="n"/>
      <c r="L40" s="111" t="n"/>
      <c r="M40" s="111" t="n"/>
      <c r="N40" s="111" t="n"/>
      <c r="O40" s="111" t="n"/>
      <c r="P40" s="111" t="n"/>
      <c r="Q40" s="111" t="n"/>
      <c r="R40" s="111" t="n"/>
      <c r="S40" s="111" t="n"/>
      <c r="T40" s="111" t="n"/>
      <c r="U40" s="111" t="n"/>
      <c r="V40" s="111" t="inlineStr">
        <is>
          <t>User-supplied Worldpay ABM target list; requires qualification</t>
        </is>
      </c>
      <c r="W40" t="inlineStr">
        <is>
          <t>US DIRECT</t>
        </is>
      </c>
      <c r="X40" t="inlineStr">
        <is>
          <t>US</t>
        </is>
      </c>
      <c r="Y40" t="inlineStr">
        <is>
          <t>Coffee</t>
        </is>
      </c>
      <c r="Z40" t="inlineStr">
        <is>
          <t>Yes</t>
        </is>
      </c>
      <c r="AG40" t="inlineStr">
        <is>
          <t>ABM WP Target Account List.xlsx — ABM Target Accounts</t>
        </is>
      </c>
    </row>
    <row r="41">
      <c r="A41" s="111" t="n">
        <v>37</v>
      </c>
      <c r="B41" s="111" t="inlineStr">
        <is>
          <t>Unranked</t>
        </is>
      </c>
      <c r="C41" s="111" t="inlineStr">
        <is>
          <t>Moes Southwest Grill</t>
        </is>
      </c>
      <c r="D41" s="111" t="n"/>
      <c r="E41" s="111" t="n"/>
      <c r="F41" s="111" t="n"/>
      <c r="G41" s="111" t="n"/>
      <c r="H41" s="111" t="n"/>
      <c r="I41" s="111" t="n"/>
      <c r="J41" s="111" t="n"/>
      <c r="K41" s="111" t="n"/>
      <c r="L41" s="111" t="n"/>
      <c r="M41" s="111" t="n"/>
      <c r="N41" s="111" t="n"/>
      <c r="O41" s="111" t="n"/>
      <c r="P41" s="111" t="n"/>
      <c r="Q41" s="111" t="n"/>
      <c r="R41" s="111" t="n"/>
      <c r="S41" s="111" t="n"/>
      <c r="T41" s="111" t="n"/>
      <c r="U41" s="111" t="n"/>
      <c r="V41" s="111" t="inlineStr">
        <is>
          <t>User-supplied Worldpay ABM target list; requires qualification</t>
        </is>
      </c>
      <c r="W41" t="inlineStr">
        <is>
          <t>US DIRECT</t>
        </is>
      </c>
      <c r="X41" t="inlineStr">
        <is>
          <t>US</t>
        </is>
      </c>
      <c r="Y41" t="inlineStr">
        <is>
          <t>Mexican</t>
        </is>
      </c>
      <c r="Z41" t="inlineStr">
        <is>
          <t>Yes</t>
        </is>
      </c>
      <c r="AG41" t="inlineStr">
        <is>
          <t>ABM WP Target Account List.xlsx — ABM Target Accounts</t>
        </is>
      </c>
    </row>
    <row r="42">
      <c r="A42" s="111" t="n">
        <v>38</v>
      </c>
      <c r="B42" s="111" t="inlineStr">
        <is>
          <t>Unranked</t>
        </is>
      </c>
      <c r="C42" s="111" t="inlineStr">
        <is>
          <t>American Blue Ribbon Holdings</t>
        </is>
      </c>
      <c r="D42" s="111" t="n"/>
      <c r="E42" s="111" t="n"/>
      <c r="F42" s="111" t="n"/>
      <c r="G42" s="111" t="n"/>
      <c r="H42" s="111" t="n"/>
      <c r="I42" s="111" t="n"/>
      <c r="J42" s="111" t="n"/>
      <c r="K42" s="111" t="n"/>
      <c r="L42" s="111" t="n"/>
      <c r="M42" s="111" t="n"/>
      <c r="N42" s="111" t="n"/>
      <c r="O42" s="111" t="n"/>
      <c r="P42" s="111" t="n"/>
      <c r="Q42" s="111" t="n"/>
      <c r="R42" s="111" t="n"/>
      <c r="S42" s="111" t="n"/>
      <c r="T42" s="111" t="n"/>
      <c r="U42" s="111" t="n"/>
      <c r="V42" s="111" t="inlineStr">
        <is>
          <t>User-supplied Worldpay ABM target list; requires qualification</t>
        </is>
      </c>
      <c r="W42" t="inlineStr">
        <is>
          <t>US DIRECT</t>
        </is>
      </c>
      <c r="X42" t="inlineStr">
        <is>
          <t>US</t>
        </is>
      </c>
      <c r="Y42" t="inlineStr">
        <is>
          <t>Family Dining</t>
        </is>
      </c>
      <c r="Z42" t="inlineStr">
        <is>
          <t>Yes</t>
        </is>
      </c>
      <c r="AG42" t="inlineStr">
        <is>
          <t>ABM WP Target Account List.xlsx — ABM Target Accounts</t>
        </is>
      </c>
    </row>
    <row r="43">
      <c r="A43" s="111" t="n">
        <v>39</v>
      </c>
      <c r="B43" s="111" t="inlineStr">
        <is>
          <t>Unranked</t>
        </is>
      </c>
      <c r="C43" s="111" t="inlineStr">
        <is>
          <t>Ben &amp; Jerry'S</t>
        </is>
      </c>
      <c r="D43" s="111" t="n"/>
      <c r="E43" s="111" t="n"/>
      <c r="F43" s="111" t="n"/>
      <c r="G43" s="111" t="n"/>
      <c r="H43" s="111" t="n"/>
      <c r="I43" s="111" t="n"/>
      <c r="J43" s="111" t="n"/>
      <c r="K43" s="111" t="n"/>
      <c r="L43" s="111" t="n"/>
      <c r="M43" s="111" t="n"/>
      <c r="N43" s="111" t="n"/>
      <c r="O43" s="111" t="n"/>
      <c r="P43" s="111" t="n"/>
      <c r="Q43" s="111" t="n"/>
      <c r="R43" s="111" t="n"/>
      <c r="S43" s="111" t="n"/>
      <c r="T43" s="111" t="n"/>
      <c r="U43" s="111" t="n"/>
      <c r="V43" s="111" t="inlineStr">
        <is>
          <t>User-supplied Worldpay ABM target list; requires qualification</t>
        </is>
      </c>
      <c r="W43" t="inlineStr">
        <is>
          <t>US DIRECT</t>
        </is>
      </c>
      <c r="X43" t="inlineStr">
        <is>
          <t>US</t>
        </is>
      </c>
      <c r="Y43" t="inlineStr">
        <is>
          <t>Dessert</t>
        </is>
      </c>
      <c r="Z43" t="inlineStr">
        <is>
          <t>Yes</t>
        </is>
      </c>
      <c r="AG43" t="inlineStr">
        <is>
          <t>ABM WP Target Account List.xlsx — ABM Target Accounts</t>
        </is>
      </c>
    </row>
    <row r="44">
      <c r="A44" s="111" t="n">
        <v>40</v>
      </c>
      <c r="B44" s="111" t="inlineStr">
        <is>
          <t>Unranked</t>
        </is>
      </c>
      <c r="C44" s="111" t="inlineStr">
        <is>
          <t>Mcalisters Deli</t>
        </is>
      </c>
      <c r="D44" s="111" t="n"/>
      <c r="E44" s="111" t="n"/>
      <c r="F44" s="111" t="n"/>
      <c r="G44" s="111" t="n"/>
      <c r="H44" s="111" t="n"/>
      <c r="I44" s="111" t="n"/>
      <c r="J44" s="111" t="n"/>
      <c r="K44" s="111" t="n"/>
      <c r="L44" s="111" t="n"/>
      <c r="M44" s="111" t="n"/>
      <c r="N44" s="111" t="n"/>
      <c r="O44" s="111" t="n"/>
      <c r="P44" s="111" t="n"/>
      <c r="Q44" s="111" t="n"/>
      <c r="R44" s="111" t="n"/>
      <c r="S44" s="111" t="n"/>
      <c r="T44" s="111" t="n"/>
      <c r="U44" s="111" t="n"/>
      <c r="V44" s="111" t="inlineStr">
        <is>
          <t>User-supplied Worldpay ABM target list; requires qualification</t>
        </is>
      </c>
      <c r="W44" t="inlineStr">
        <is>
          <t>US DIRECT</t>
        </is>
      </c>
      <c r="X44" t="inlineStr">
        <is>
          <t>US</t>
        </is>
      </c>
      <c r="Y44" t="inlineStr">
        <is>
          <t>Sandwich</t>
        </is>
      </c>
      <c r="Z44" t="inlineStr">
        <is>
          <t>Yes</t>
        </is>
      </c>
      <c r="AG44" t="inlineStr">
        <is>
          <t>ABM WP Target Account List.xlsx — ABM Target Accounts</t>
        </is>
      </c>
    </row>
    <row r="45">
      <c r="A45" s="111" t="n">
        <v>41</v>
      </c>
      <c r="B45" s="111" t="inlineStr">
        <is>
          <t>Unranked</t>
        </is>
      </c>
      <c r="C45" s="111" t="inlineStr">
        <is>
          <t>Hungry Howies</t>
        </is>
      </c>
      <c r="D45" s="111" t="n"/>
      <c r="E45" s="111" t="n"/>
      <c r="F45" s="111" t="n"/>
      <c r="G45" s="111" t="n"/>
      <c r="H45" s="111" t="n"/>
      <c r="I45" s="111" t="n"/>
      <c r="J45" s="111" t="n"/>
      <c r="K45" s="111" t="n"/>
      <c r="L45" s="111" t="n"/>
      <c r="M45" s="111" t="n"/>
      <c r="N45" s="111" t="n"/>
      <c r="O45" s="111" t="n"/>
      <c r="P45" s="111" t="n"/>
      <c r="Q45" s="111" t="n"/>
      <c r="R45" s="111" t="n"/>
      <c r="S45" s="111" t="n"/>
      <c r="T45" s="111" t="n"/>
      <c r="U45" s="111" t="n"/>
      <c r="V45" s="111" t="inlineStr">
        <is>
          <t>User-supplied Worldpay ABM target list; requires qualification</t>
        </is>
      </c>
      <c r="W45" t="inlineStr">
        <is>
          <t>US DIRECT</t>
        </is>
      </c>
      <c r="X45" t="inlineStr">
        <is>
          <t>US</t>
        </is>
      </c>
      <c r="Y45" t="inlineStr">
        <is>
          <t>Pizza</t>
        </is>
      </c>
      <c r="Z45" t="inlineStr">
        <is>
          <t>Yes</t>
        </is>
      </c>
      <c r="AG45" t="inlineStr">
        <is>
          <t>ABM WP Target Account List.xlsx — ABM Target Accounts</t>
        </is>
      </c>
    </row>
    <row r="46">
      <c r="A46" s="111" t="n">
        <v>42</v>
      </c>
      <c r="B46" s="111" t="inlineStr">
        <is>
          <t>Unranked</t>
        </is>
      </c>
      <c r="C46" s="111" t="inlineStr">
        <is>
          <t>Aurify Brands, Llc</t>
        </is>
      </c>
      <c r="D46" s="111" t="n"/>
      <c r="E46" s="111" t="n"/>
      <c r="F46" s="111" t="n"/>
      <c r="G46" s="111" t="n"/>
      <c r="H46" s="111" t="n"/>
      <c r="I46" s="111" t="n"/>
      <c r="J46" s="111" t="n"/>
      <c r="K46" s="111" t="n"/>
      <c r="L46" s="111" t="n"/>
      <c r="M46" s="111" t="n"/>
      <c r="N46" s="111" t="n"/>
      <c r="O46" s="111" t="n"/>
      <c r="P46" s="111" t="n"/>
      <c r="Q46" s="111" t="n"/>
      <c r="R46" s="111" t="n"/>
      <c r="S46" s="111" t="n"/>
      <c r="T46" s="111" t="n"/>
      <c r="U46" s="111" t="n"/>
      <c r="V46" s="111" t="inlineStr">
        <is>
          <t>User-supplied Worldpay ABM target list; requires qualification</t>
        </is>
      </c>
      <c r="W46" t="inlineStr">
        <is>
          <t>US DIRECT</t>
        </is>
      </c>
      <c r="X46" t="inlineStr">
        <is>
          <t>US</t>
        </is>
      </c>
      <c r="Y46" t="inlineStr">
        <is>
          <t>Foodservice</t>
        </is>
      </c>
      <c r="Z46" t="inlineStr">
        <is>
          <t>Yes</t>
        </is>
      </c>
      <c r="AG46" t="inlineStr">
        <is>
          <t>ABM WP Target Account List.xlsx — ABM Target Accounts</t>
        </is>
      </c>
    </row>
    <row r="47">
      <c r="A47" s="111" t="n">
        <v>43</v>
      </c>
      <c r="B47" s="111" t="inlineStr">
        <is>
          <t>Unranked</t>
        </is>
      </c>
      <c r="C47" s="111" t="inlineStr">
        <is>
          <t>Peet'S Coffee &amp; Tea</t>
        </is>
      </c>
      <c r="D47" s="111" t="n"/>
      <c r="E47" s="111" t="n"/>
      <c r="F47" s="111" t="n"/>
      <c r="G47" s="111" t="n"/>
      <c r="H47" s="111" t="n"/>
      <c r="I47" s="111" t="n"/>
      <c r="J47" s="111" t="n"/>
      <c r="K47" s="111" t="n"/>
      <c r="L47" s="111" t="n"/>
      <c r="M47" s="111" t="n"/>
      <c r="N47" s="111" t="n"/>
      <c r="O47" s="111" t="n"/>
      <c r="P47" s="111" t="n"/>
      <c r="Q47" s="111" t="n"/>
      <c r="R47" s="111" t="n"/>
      <c r="S47" s="111" t="n"/>
      <c r="T47" s="111" t="n"/>
      <c r="U47" s="111" t="n"/>
      <c r="V47" s="111" t="inlineStr">
        <is>
          <t>User-supplied Worldpay ABM target list; requires qualification</t>
        </is>
      </c>
      <c r="W47" t="inlineStr">
        <is>
          <t>US DIRECT</t>
        </is>
      </c>
      <c r="X47" t="inlineStr">
        <is>
          <t>US</t>
        </is>
      </c>
      <c r="Y47" t="inlineStr">
        <is>
          <t>Coffee</t>
        </is>
      </c>
      <c r="Z47" t="inlineStr">
        <is>
          <t>Yes</t>
        </is>
      </c>
      <c r="AG47" t="inlineStr">
        <is>
          <t>ABM WP Target Account List.xlsx — ABM Target Accounts</t>
        </is>
      </c>
    </row>
    <row r="48">
      <c r="A48" s="111" t="n">
        <v>44</v>
      </c>
      <c r="B48" s="111" t="inlineStr">
        <is>
          <t>Unranked</t>
        </is>
      </c>
      <c r="C48" s="111" t="inlineStr">
        <is>
          <t>Yum Yum Donuts</t>
        </is>
      </c>
      <c r="D48" s="111" t="n"/>
      <c r="E48" s="111" t="n"/>
      <c r="F48" s="111" t="n"/>
      <c r="G48" s="111" t="n"/>
      <c r="H48" s="111" t="n"/>
      <c r="I48" s="111" t="n"/>
      <c r="J48" s="111" t="n"/>
      <c r="K48" s="111" t="n"/>
      <c r="L48" s="111" t="n"/>
      <c r="M48" s="111" t="n"/>
      <c r="N48" s="111" t="n"/>
      <c r="O48" s="111" t="n"/>
      <c r="P48" s="111" t="n"/>
      <c r="Q48" s="111" t="n"/>
      <c r="R48" s="111" t="n"/>
      <c r="S48" s="111" t="n"/>
      <c r="T48" s="111" t="n"/>
      <c r="U48" s="111" t="n"/>
      <c r="V48" s="111" t="inlineStr">
        <is>
          <t>User-supplied Worldpay ABM target list; requires qualification</t>
        </is>
      </c>
      <c r="W48" t="inlineStr">
        <is>
          <t>US DIRECT</t>
        </is>
      </c>
      <c r="X48" t="inlineStr">
        <is>
          <t>US</t>
        </is>
      </c>
      <c r="Y48" t="inlineStr">
        <is>
          <t>Dessert</t>
        </is>
      </c>
      <c r="Z48" t="inlineStr">
        <is>
          <t>Yes</t>
        </is>
      </c>
      <c r="AG48" t="inlineStr">
        <is>
          <t>ABM WP Target Account List.xlsx — ABM Target Accounts</t>
        </is>
      </c>
    </row>
    <row r="49">
      <c r="A49" s="111" t="n">
        <v>45</v>
      </c>
      <c r="B49" s="111" t="inlineStr">
        <is>
          <t>Unranked</t>
        </is>
      </c>
      <c r="C49" s="111" t="inlineStr">
        <is>
          <t>Boston Market</t>
        </is>
      </c>
      <c r="D49" s="111" t="n"/>
      <c r="E49" s="111" t="n"/>
      <c r="F49" s="111" t="n"/>
      <c r="G49" s="111" t="n"/>
      <c r="H49" s="111" t="n"/>
      <c r="I49" s="111" t="n"/>
      <c r="J49" s="111" t="n"/>
      <c r="K49" s="111" t="n"/>
      <c r="L49" s="111" t="n"/>
      <c r="M49" s="111" t="n"/>
      <c r="N49" s="111" t="n"/>
      <c r="O49" s="111" t="n"/>
      <c r="P49" s="111" t="n"/>
      <c r="Q49" s="111" t="n"/>
      <c r="R49" s="111" t="n"/>
      <c r="S49" s="111" t="n"/>
      <c r="T49" s="111" t="n"/>
      <c r="U49" s="111" t="n"/>
      <c r="V49" s="111" t="inlineStr">
        <is>
          <t>User-supplied Worldpay ABM target list; requires qualification</t>
        </is>
      </c>
      <c r="W49" t="inlineStr">
        <is>
          <t>US DIRECT</t>
        </is>
      </c>
      <c r="X49" t="inlineStr">
        <is>
          <t>US</t>
        </is>
      </c>
      <c r="Y49" t="inlineStr">
        <is>
          <t>Chicken</t>
        </is>
      </c>
      <c r="Z49" t="inlineStr">
        <is>
          <t>No</t>
        </is>
      </c>
      <c r="AA49" t="inlineStr">
        <is>
          <t>N</t>
        </is>
      </c>
      <c r="AB49" t="inlineStr">
        <is>
          <t>Attrition</t>
        </is>
      </c>
      <c r="AG49" t="inlineStr">
        <is>
          <t>ABM WP Target Account List.xlsx — ABM Target Accounts</t>
        </is>
      </c>
    </row>
    <row r="50">
      <c r="A50" s="111" t="n">
        <v>46</v>
      </c>
      <c r="B50" s="111" t="inlineStr">
        <is>
          <t>Unranked</t>
        </is>
      </c>
      <c r="C50" s="111" t="inlineStr">
        <is>
          <t>Carvel</t>
        </is>
      </c>
      <c r="D50" s="111" t="n"/>
      <c r="E50" s="111" t="n"/>
      <c r="F50" s="111" t="n"/>
      <c r="G50" s="111" t="n"/>
      <c r="H50" s="111" t="n"/>
      <c r="I50" s="111" t="n"/>
      <c r="J50" s="111" t="n"/>
      <c r="K50" s="111" t="n"/>
      <c r="L50" s="111" t="n"/>
      <c r="M50" s="111" t="n"/>
      <c r="N50" s="111" t="n"/>
      <c r="O50" s="111" t="n"/>
      <c r="P50" s="111" t="n"/>
      <c r="Q50" s="111" t="n"/>
      <c r="R50" s="111" t="n"/>
      <c r="S50" s="111" t="n"/>
      <c r="T50" s="111" t="n"/>
      <c r="U50" s="111" t="n"/>
      <c r="V50" s="111" t="inlineStr">
        <is>
          <t>User-supplied Worldpay ABM target list; requires qualification</t>
        </is>
      </c>
      <c r="W50" t="inlineStr">
        <is>
          <t>US DIRECT</t>
        </is>
      </c>
      <c r="X50" t="inlineStr">
        <is>
          <t>US</t>
        </is>
      </c>
      <c r="Y50" t="inlineStr">
        <is>
          <t>Dessert</t>
        </is>
      </c>
      <c r="Z50" t="inlineStr">
        <is>
          <t>Yes</t>
        </is>
      </c>
      <c r="AG50" t="inlineStr">
        <is>
          <t>ABM WP Target Account List.xlsx — ABM Target Accounts</t>
        </is>
      </c>
    </row>
    <row r="51">
      <c r="A51" s="111" t="n">
        <v>47</v>
      </c>
      <c r="B51" s="111" t="inlineStr">
        <is>
          <t>Unranked</t>
        </is>
      </c>
      <c r="C51" s="111" t="inlineStr">
        <is>
          <t>Sarku Japan</t>
        </is>
      </c>
      <c r="D51" s="111" t="n"/>
      <c r="E51" s="111" t="n"/>
      <c r="F51" s="111" t="n"/>
      <c r="G51" s="111" t="n"/>
      <c r="H51" s="111" t="n"/>
      <c r="I51" s="111" t="n"/>
      <c r="J51" s="111" t="n"/>
      <c r="K51" s="111" t="n"/>
      <c r="L51" s="111" t="n"/>
      <c r="M51" s="111" t="n"/>
      <c r="N51" s="111" t="n"/>
      <c r="O51" s="111" t="n"/>
      <c r="P51" s="111" t="n"/>
      <c r="Q51" s="111" t="n"/>
      <c r="R51" s="111" t="n"/>
      <c r="S51" s="111" t="n"/>
      <c r="T51" s="111" t="n"/>
      <c r="U51" s="111" t="n"/>
      <c r="V51" s="111" t="inlineStr">
        <is>
          <t>User-supplied Worldpay ABM target list; requires qualification</t>
        </is>
      </c>
      <c r="W51" t="inlineStr">
        <is>
          <t>US DIRECT</t>
        </is>
      </c>
      <c r="X51" t="inlineStr">
        <is>
          <t>US</t>
        </is>
      </c>
      <c r="Y51" t="inlineStr">
        <is>
          <t>Asian</t>
        </is>
      </c>
      <c r="Z51" t="inlineStr">
        <is>
          <t>Yes</t>
        </is>
      </c>
      <c r="AG51" t="inlineStr">
        <is>
          <t>ABM WP Target Account List.xlsx — ABM Target Accounts</t>
        </is>
      </c>
    </row>
    <row r="52">
      <c r="A52" s="111" t="n">
        <v>48</v>
      </c>
      <c r="B52" s="111" t="inlineStr">
        <is>
          <t>Unranked</t>
        </is>
      </c>
      <c r="C52" s="111" t="inlineStr">
        <is>
          <t>Fazolis</t>
        </is>
      </c>
      <c r="D52" s="111" t="n"/>
      <c r="E52" s="111" t="n"/>
      <c r="F52" s="111" t="n"/>
      <c r="G52" s="111" t="n"/>
      <c r="H52" s="111" t="n"/>
      <c r="I52" s="111" t="n"/>
      <c r="J52" s="111" t="n"/>
      <c r="K52" s="111" t="n"/>
      <c r="L52" s="111" t="n"/>
      <c r="M52" s="111" t="n"/>
      <c r="N52" s="111" t="n"/>
      <c r="O52" s="111" t="n"/>
      <c r="P52" s="111" t="n"/>
      <c r="Q52" s="111" t="n"/>
      <c r="R52" s="111" t="n"/>
      <c r="S52" s="111" t="n"/>
      <c r="T52" s="111" t="n"/>
      <c r="U52" s="111" t="n"/>
      <c r="V52" s="111" t="inlineStr">
        <is>
          <t>User-supplied Worldpay ABM target list; requires qualification</t>
        </is>
      </c>
      <c r="W52" t="inlineStr">
        <is>
          <t>US DIRECT</t>
        </is>
      </c>
      <c r="X52" t="inlineStr">
        <is>
          <t>US</t>
        </is>
      </c>
      <c r="Y52" t="inlineStr">
        <is>
          <t>Family Dining</t>
        </is>
      </c>
      <c r="Z52" t="inlineStr">
        <is>
          <t>Yes</t>
        </is>
      </c>
      <c r="AG52" t="inlineStr">
        <is>
          <t>ABM WP Target Account List.xlsx — ABM Target Accounts</t>
        </is>
      </c>
    </row>
    <row r="53">
      <c r="A53" s="111" t="n">
        <v>49</v>
      </c>
      <c r="B53" s="111" t="inlineStr">
        <is>
          <t>Unranked</t>
        </is>
      </c>
      <c r="C53" s="111" t="inlineStr">
        <is>
          <t>Ruby Tuesday</t>
        </is>
      </c>
      <c r="D53" s="111" t="n"/>
      <c r="E53" s="111" t="n"/>
      <c r="F53" s="111" t="n"/>
      <c r="G53" s="111" t="n"/>
      <c r="H53" s="111" t="n"/>
      <c r="I53" s="111" t="n"/>
      <c r="J53" s="111" t="n"/>
      <c r="K53" s="111" t="n"/>
      <c r="L53" s="111" t="n"/>
      <c r="M53" s="111" t="n"/>
      <c r="N53" s="111" t="n"/>
      <c r="O53" s="111" t="n"/>
      <c r="P53" s="111" t="n"/>
      <c r="Q53" s="111" t="n"/>
      <c r="R53" s="111" t="n"/>
      <c r="S53" s="111" t="n"/>
      <c r="T53" s="111" t="n"/>
      <c r="U53" s="111" t="n"/>
      <c r="V53" s="111" t="inlineStr">
        <is>
          <t>User-supplied Worldpay ABM target list; requires qualification</t>
        </is>
      </c>
      <c r="W53" t="inlineStr">
        <is>
          <t>US DIRECT</t>
        </is>
      </c>
      <c r="X53" t="inlineStr">
        <is>
          <t>US</t>
        </is>
      </c>
      <c r="Y53" t="inlineStr">
        <is>
          <t>Full-Service Dining</t>
        </is>
      </c>
      <c r="Z53" t="inlineStr">
        <is>
          <t>Yes</t>
        </is>
      </c>
      <c r="AA53" t="inlineStr">
        <is>
          <t>N</t>
        </is>
      </c>
      <c r="AG53" t="inlineStr">
        <is>
          <t>ABM WP Target Account List.xlsx — ABM Target Accounts</t>
        </is>
      </c>
    </row>
    <row r="54">
      <c r="A54" s="111" t="n">
        <v>50</v>
      </c>
      <c r="B54" s="111" t="inlineStr">
        <is>
          <t>Unranked</t>
        </is>
      </c>
      <c r="C54" s="111" t="inlineStr">
        <is>
          <t>Orange Leaf</t>
        </is>
      </c>
      <c r="D54" s="111" t="n"/>
      <c r="E54" s="111" t="n"/>
      <c r="F54" s="111" t="n"/>
      <c r="G54" s="111" t="n"/>
      <c r="H54" s="111" t="n"/>
      <c r="I54" s="111" t="n"/>
      <c r="J54" s="111" t="n"/>
      <c r="K54" s="111" t="n"/>
      <c r="L54" s="111" t="n"/>
      <c r="M54" s="111" t="n"/>
      <c r="N54" s="111" t="n"/>
      <c r="O54" s="111" t="n"/>
      <c r="P54" s="111" t="n"/>
      <c r="Q54" s="111" t="n"/>
      <c r="R54" s="111" t="n"/>
      <c r="S54" s="111" t="n"/>
      <c r="T54" s="111" t="n"/>
      <c r="U54" s="111" t="n"/>
      <c r="V54" s="111" t="inlineStr">
        <is>
          <t>User-supplied Worldpay ABM target list; requires qualification</t>
        </is>
      </c>
      <c r="W54" t="inlineStr">
        <is>
          <t>US DIRECT</t>
        </is>
      </c>
      <c r="X54" t="inlineStr">
        <is>
          <t>US</t>
        </is>
      </c>
      <c r="Y54" t="inlineStr">
        <is>
          <t>Dessert</t>
        </is>
      </c>
      <c r="Z54" t="inlineStr">
        <is>
          <t>Yes</t>
        </is>
      </c>
      <c r="AG54" t="inlineStr">
        <is>
          <t>ABM WP Target Account List.xlsx — ABM Target Accounts</t>
        </is>
      </c>
    </row>
    <row r="55">
      <c r="A55" s="111" t="n">
        <v>51</v>
      </c>
      <c r="B55" s="111" t="inlineStr">
        <is>
          <t>Unranked</t>
        </is>
      </c>
      <c r="C55" s="111" t="inlineStr">
        <is>
          <t>Wow Bao Llc</t>
        </is>
      </c>
      <c r="D55" s="111" t="n"/>
      <c r="E55" s="111" t="n"/>
      <c r="F55" s="111" t="n"/>
      <c r="G55" s="111" t="n"/>
      <c r="H55" s="111" t="n"/>
      <c r="I55" s="111" t="n"/>
      <c r="J55" s="111" t="n"/>
      <c r="K55" s="111" t="n"/>
      <c r="L55" s="111" t="n"/>
      <c r="M55" s="111" t="n"/>
      <c r="N55" s="111" t="n"/>
      <c r="O55" s="111" t="n"/>
      <c r="P55" s="111" t="n"/>
      <c r="Q55" s="111" t="n"/>
      <c r="R55" s="111" t="n"/>
      <c r="S55" s="111" t="n"/>
      <c r="T55" s="111" t="n"/>
      <c r="U55" s="111" t="n"/>
      <c r="V55" s="111" t="inlineStr">
        <is>
          <t>User-supplied Worldpay ABM target list; requires qualification</t>
        </is>
      </c>
      <c r="W55" t="inlineStr">
        <is>
          <t>US</t>
        </is>
      </c>
      <c r="X55" t="inlineStr">
        <is>
          <t>US</t>
        </is>
      </c>
      <c r="Y55" t="inlineStr">
        <is>
          <t>Asian</t>
        </is>
      </c>
      <c r="Z55" t="inlineStr">
        <is>
          <t>Yes</t>
        </is>
      </c>
      <c r="AG55" t="inlineStr">
        <is>
          <t>ABM WP Target Account List.xlsx — ABM Target Accounts</t>
        </is>
      </c>
    </row>
    <row r="56">
      <c r="A56" s="111" t="n">
        <v>52</v>
      </c>
      <c r="B56" s="111" t="inlineStr">
        <is>
          <t>Unranked</t>
        </is>
      </c>
      <c r="C56" s="111" t="inlineStr">
        <is>
          <t>Bruegger'S Enterprises In</t>
        </is>
      </c>
      <c r="D56" s="111" t="n"/>
      <c r="E56" s="111" t="n"/>
      <c r="F56" s="111" t="n"/>
      <c r="G56" s="111" t="n"/>
      <c r="H56" s="111" t="n"/>
      <c r="I56" s="111" t="n"/>
      <c r="J56" s="111" t="n"/>
      <c r="K56" s="111" t="n"/>
      <c r="L56" s="111" t="n"/>
      <c r="M56" s="111" t="n"/>
      <c r="N56" s="111" t="n"/>
      <c r="O56" s="111" t="n"/>
      <c r="P56" s="111" t="n"/>
      <c r="Q56" s="111" t="n"/>
      <c r="R56" s="111" t="n"/>
      <c r="S56" s="111" t="n"/>
      <c r="T56" s="111" t="n"/>
      <c r="U56" s="111" t="n"/>
      <c r="V56" s="111" t="inlineStr">
        <is>
          <t>User-supplied Worldpay ABM target list; requires qualification</t>
        </is>
      </c>
      <c r="W56" t="inlineStr">
        <is>
          <t>US DIRECT</t>
        </is>
      </c>
      <c r="X56" t="inlineStr">
        <is>
          <t>US</t>
        </is>
      </c>
      <c r="Y56" t="inlineStr">
        <is>
          <t>Sandwich</t>
        </is>
      </c>
      <c r="Z56" t="inlineStr">
        <is>
          <t>Yes</t>
        </is>
      </c>
      <c r="AG56" t="inlineStr">
        <is>
          <t>ABM WP Target Account List.xlsx — ABM Target Accounts</t>
        </is>
      </c>
    </row>
    <row r="57">
      <c r="A57" s="111" t="n">
        <v>53</v>
      </c>
      <c r="B57" s="111" t="inlineStr">
        <is>
          <t>Unranked</t>
        </is>
      </c>
      <c r="C57" s="111" t="inlineStr">
        <is>
          <t>Honey Dew Donuts</t>
        </is>
      </c>
      <c r="D57" s="111" t="n"/>
      <c r="E57" s="111" t="n"/>
      <c r="F57" s="111" t="n"/>
      <c r="G57" s="111" t="n"/>
      <c r="H57" s="111" t="n"/>
      <c r="I57" s="111" t="n"/>
      <c r="J57" s="111" t="n"/>
      <c r="K57" s="111" t="n"/>
      <c r="L57" s="111" t="n"/>
      <c r="M57" s="111" t="n"/>
      <c r="N57" s="111" t="n"/>
      <c r="O57" s="111" t="n"/>
      <c r="P57" s="111" t="n"/>
      <c r="Q57" s="111" t="n"/>
      <c r="R57" s="111" t="n"/>
      <c r="S57" s="111" t="n"/>
      <c r="T57" s="111" t="n"/>
      <c r="U57" s="111" t="n"/>
      <c r="V57" s="111" t="inlineStr">
        <is>
          <t>User-supplied Worldpay ABM target list; requires qualification</t>
        </is>
      </c>
      <c r="W57" t="inlineStr">
        <is>
          <t>US DIRECT</t>
        </is>
      </c>
      <c r="X57" t="inlineStr">
        <is>
          <t>US</t>
        </is>
      </c>
      <c r="Y57" t="inlineStr">
        <is>
          <t>Coffee</t>
        </is>
      </c>
      <c r="Z57" t="inlineStr">
        <is>
          <t>Yes</t>
        </is>
      </c>
      <c r="AG57" t="inlineStr">
        <is>
          <t>ABM WP Target Account List.xlsx — ABM Target Accounts</t>
        </is>
      </c>
    </row>
    <row r="58">
      <c r="A58" s="111" t="n">
        <v>54</v>
      </c>
      <c r="B58" s="111" t="inlineStr">
        <is>
          <t>Unranked</t>
        </is>
      </c>
      <c r="C58" s="111" t="inlineStr">
        <is>
          <t>Logan'S Roadhouse</t>
        </is>
      </c>
      <c r="D58" s="111" t="n"/>
      <c r="E58" s="111" t="n"/>
      <c r="F58" s="111" t="n"/>
      <c r="G58" s="111" t="n"/>
      <c r="H58" s="111" t="n"/>
      <c r="I58" s="111" t="n"/>
      <c r="J58" s="111" t="n"/>
      <c r="K58" s="111" t="n"/>
      <c r="L58" s="111" t="n"/>
      <c r="M58" s="111" t="n"/>
      <c r="N58" s="111" t="n"/>
      <c r="O58" s="111" t="n"/>
      <c r="P58" s="111" t="n"/>
      <c r="Q58" s="111" t="n"/>
      <c r="R58" s="111" t="n"/>
      <c r="S58" s="111" t="n"/>
      <c r="T58" s="111" t="n"/>
      <c r="U58" s="111" t="n"/>
      <c r="V58" s="111" t="inlineStr">
        <is>
          <t>User-supplied Worldpay ABM target list; requires qualification</t>
        </is>
      </c>
      <c r="W58" t="inlineStr">
        <is>
          <t>US DIRECT</t>
        </is>
      </c>
      <c r="X58" t="inlineStr">
        <is>
          <t>US</t>
        </is>
      </c>
      <c r="Y58" t="inlineStr">
        <is>
          <t>Family Dining</t>
        </is>
      </c>
      <c r="Z58" t="inlineStr">
        <is>
          <t>No</t>
        </is>
      </c>
      <c r="AG58" t="inlineStr">
        <is>
          <t>ABM WP Target Account List.xlsx — ABM Target Accounts</t>
        </is>
      </c>
    </row>
    <row r="59">
      <c r="A59" s="111" t="n">
        <v>55</v>
      </c>
      <c r="B59" s="111" t="inlineStr">
        <is>
          <t>Unranked</t>
        </is>
      </c>
      <c r="C59" s="111" t="inlineStr">
        <is>
          <t>Famous Dave'S Bbq</t>
        </is>
      </c>
      <c r="D59" s="111" t="n"/>
      <c r="E59" s="111" t="n"/>
      <c r="F59" s="111" t="n"/>
      <c r="G59" s="111" t="n"/>
      <c r="H59" s="111" t="n"/>
      <c r="I59" s="111" t="n"/>
      <c r="J59" s="111" t="n"/>
      <c r="K59" s="111" t="n"/>
      <c r="L59" s="111" t="n"/>
      <c r="M59" s="111" t="n"/>
      <c r="N59" s="111" t="n"/>
      <c r="O59" s="111" t="n"/>
      <c r="P59" s="111" t="n"/>
      <c r="Q59" s="111" t="n"/>
      <c r="R59" s="111" t="n"/>
      <c r="S59" s="111" t="n"/>
      <c r="T59" s="111" t="n"/>
      <c r="U59" s="111" t="n"/>
      <c r="V59" s="111" t="inlineStr">
        <is>
          <t>User-supplied Worldpay ABM target list; requires qualification</t>
        </is>
      </c>
      <c r="W59" t="inlineStr">
        <is>
          <t>US DIRECT</t>
        </is>
      </c>
      <c r="X59" t="inlineStr">
        <is>
          <t>US</t>
        </is>
      </c>
      <c r="Y59" t="inlineStr">
        <is>
          <t>Barbecue</t>
        </is>
      </c>
      <c r="Z59" t="inlineStr">
        <is>
          <t>Yes</t>
        </is>
      </c>
      <c r="AG59" t="inlineStr">
        <is>
          <t>ABM WP Target Account List.xlsx — ABM Target Accounts</t>
        </is>
      </c>
    </row>
    <row r="60">
      <c r="A60" s="111" t="n">
        <v>56</v>
      </c>
      <c r="B60" s="111" t="inlineStr">
        <is>
          <t>Unranked</t>
        </is>
      </c>
      <c r="C60" s="111" t="inlineStr">
        <is>
          <t>Friendly Ice Cream #7776</t>
        </is>
      </c>
      <c r="D60" s="111" t="n"/>
      <c r="E60" s="111" t="n"/>
      <c r="F60" s="111" t="n"/>
      <c r="G60" s="111" t="n"/>
      <c r="H60" s="111" t="n"/>
      <c r="I60" s="111" t="n"/>
      <c r="J60" s="111" t="n"/>
      <c r="K60" s="111" t="n"/>
      <c r="L60" s="111" t="n"/>
      <c r="M60" s="111" t="n"/>
      <c r="N60" s="111" t="n"/>
      <c r="O60" s="111" t="n"/>
      <c r="P60" s="111" t="n"/>
      <c r="Q60" s="111" t="n"/>
      <c r="R60" s="111" t="n"/>
      <c r="S60" s="111" t="n"/>
      <c r="T60" s="111" t="n"/>
      <c r="U60" s="111" t="n"/>
      <c r="V60" s="111" t="inlineStr">
        <is>
          <t>User-supplied Worldpay ABM target list; requires qualification</t>
        </is>
      </c>
      <c r="W60" t="inlineStr">
        <is>
          <t>US DIRECT</t>
        </is>
      </c>
      <c r="X60" t="inlineStr">
        <is>
          <t>US</t>
        </is>
      </c>
      <c r="Y60" t="inlineStr">
        <is>
          <t>Dessert</t>
        </is>
      </c>
      <c r="Z60" t="inlineStr">
        <is>
          <t>Yes</t>
        </is>
      </c>
      <c r="AG60" t="inlineStr">
        <is>
          <t>ABM WP Target Account List.xlsx — ABM Target Accounts</t>
        </is>
      </c>
    </row>
    <row r="61">
      <c r="A61" s="111" t="n">
        <v>57</v>
      </c>
      <c r="B61" s="111" t="inlineStr">
        <is>
          <t>Unranked</t>
        </is>
      </c>
      <c r="C61" s="111" t="inlineStr">
        <is>
          <t>Hwy 55 Burgers Shakes &amp; F</t>
        </is>
      </c>
      <c r="D61" s="111" t="n"/>
      <c r="E61" s="111" t="n"/>
      <c r="F61" s="111" t="n"/>
      <c r="G61" s="111" t="n"/>
      <c r="H61" s="111" t="n"/>
      <c r="I61" s="111" t="n"/>
      <c r="J61" s="111" t="n"/>
      <c r="K61" s="111" t="n"/>
      <c r="L61" s="111" t="n"/>
      <c r="M61" s="111" t="n"/>
      <c r="N61" s="111" t="n"/>
      <c r="O61" s="111" t="n"/>
      <c r="P61" s="111" t="n"/>
      <c r="Q61" s="111" t="n"/>
      <c r="R61" s="111" t="n"/>
      <c r="S61" s="111" t="n"/>
      <c r="T61" s="111" t="n"/>
      <c r="U61" s="111" t="n"/>
      <c r="V61" s="111" t="inlineStr">
        <is>
          <t>User-supplied Worldpay ABM target list; requires qualification</t>
        </is>
      </c>
      <c r="W61" t="inlineStr">
        <is>
          <t>US DIRECT</t>
        </is>
      </c>
      <c r="X61" t="inlineStr">
        <is>
          <t>US</t>
        </is>
      </c>
      <c r="Y61" t="inlineStr">
        <is>
          <t>Burger</t>
        </is>
      </c>
      <c r="Z61" t="inlineStr">
        <is>
          <t>Yes</t>
        </is>
      </c>
      <c r="AG61" t="inlineStr">
        <is>
          <t>ABM WP Target Account List.xlsx — ABM Target Accounts</t>
        </is>
      </c>
    </row>
    <row r="62">
      <c r="A62" s="111" t="n">
        <v>58</v>
      </c>
      <c r="B62" s="111" t="inlineStr">
        <is>
          <t>Unranked</t>
        </is>
      </c>
      <c r="C62" s="111" t="inlineStr">
        <is>
          <t>Tijuana Flats</t>
        </is>
      </c>
      <c r="D62" s="111" t="n"/>
      <c r="E62" s="111" t="n"/>
      <c r="F62" s="111" t="n"/>
      <c r="G62" s="111" t="n"/>
      <c r="H62" s="111" t="n"/>
      <c r="I62" s="111" t="n"/>
      <c r="J62" s="111" t="n"/>
      <c r="K62" s="111" t="n"/>
      <c r="L62" s="111" t="n"/>
      <c r="M62" s="111" t="n"/>
      <c r="N62" s="111" t="n"/>
      <c r="O62" s="111" t="n"/>
      <c r="P62" s="111" t="n"/>
      <c r="Q62" s="111" t="n"/>
      <c r="R62" s="111" t="n"/>
      <c r="S62" s="111" t="n"/>
      <c r="T62" s="111" t="n"/>
      <c r="U62" s="111" t="n"/>
      <c r="V62" s="111" t="inlineStr">
        <is>
          <t>User-supplied Worldpay ABM target list; requires qualification</t>
        </is>
      </c>
      <c r="W62" t="inlineStr">
        <is>
          <t>US DIRECT</t>
        </is>
      </c>
      <c r="X62" t="inlineStr">
        <is>
          <t>US</t>
        </is>
      </c>
      <c r="Y62" t="inlineStr">
        <is>
          <t>Mexican</t>
        </is>
      </c>
      <c r="Z62" t="inlineStr">
        <is>
          <t>No</t>
        </is>
      </c>
      <c r="AA62" t="inlineStr">
        <is>
          <t>N</t>
        </is>
      </c>
      <c r="AB62" t="inlineStr">
        <is>
          <t>Attrition</t>
        </is>
      </c>
      <c r="AG62" t="inlineStr">
        <is>
          <t>ABM WP Target Account List.xlsx — ABM Target Accounts</t>
        </is>
      </c>
    </row>
    <row r="63">
      <c r="A63" s="111" t="n">
        <v>59</v>
      </c>
      <c r="B63" s="111" t="inlineStr">
        <is>
          <t>Unranked</t>
        </is>
      </c>
      <c r="C63" s="111" t="inlineStr">
        <is>
          <t>Shoneys</t>
        </is>
      </c>
      <c r="D63" s="111" t="n"/>
      <c r="E63" s="111" t="n"/>
      <c r="F63" s="111" t="n"/>
      <c r="G63" s="111" t="n"/>
      <c r="H63" s="111" t="n"/>
      <c r="I63" s="111" t="n"/>
      <c r="J63" s="111" t="n"/>
      <c r="K63" s="111" t="n"/>
      <c r="L63" s="111" t="n"/>
      <c r="M63" s="111" t="n"/>
      <c r="N63" s="111" t="n"/>
      <c r="O63" s="111" t="n"/>
      <c r="P63" s="111" t="n"/>
      <c r="Q63" s="111" t="n"/>
      <c r="R63" s="111" t="n"/>
      <c r="S63" s="111" t="n"/>
      <c r="T63" s="111" t="n"/>
      <c r="U63" s="111" t="n"/>
      <c r="V63" s="111" t="inlineStr">
        <is>
          <t>User-supplied Worldpay ABM target list; requires qualification</t>
        </is>
      </c>
      <c r="W63" t="inlineStr">
        <is>
          <t>US DIRECT</t>
        </is>
      </c>
      <c r="X63" t="inlineStr">
        <is>
          <t>US</t>
        </is>
      </c>
      <c r="Y63" t="inlineStr">
        <is>
          <t>Family Dining</t>
        </is>
      </c>
      <c r="Z63" t="inlineStr">
        <is>
          <t>Yes</t>
        </is>
      </c>
      <c r="AG63" t="inlineStr">
        <is>
          <t>ABM WP Target Account List.xlsx — ABM Target Accounts</t>
        </is>
      </c>
    </row>
    <row r="64">
      <c r="A64" s="111" t="n">
        <v>60</v>
      </c>
      <c r="B64" s="111" t="inlineStr">
        <is>
          <t>Unranked</t>
        </is>
      </c>
      <c r="C64" s="111" t="inlineStr">
        <is>
          <t>Frischs</t>
        </is>
      </c>
      <c r="D64" s="111" t="n"/>
      <c r="E64" s="111" t="n"/>
      <c r="F64" s="111" t="n"/>
      <c r="G64" s="111" t="n"/>
      <c r="H64" s="111" t="n"/>
      <c r="I64" s="111" t="n"/>
      <c r="J64" s="111" t="n"/>
      <c r="K64" s="111" t="n"/>
      <c r="L64" s="111" t="n"/>
      <c r="M64" s="111" t="n"/>
      <c r="N64" s="111" t="n"/>
      <c r="O64" s="111" t="n"/>
      <c r="P64" s="111" t="n"/>
      <c r="Q64" s="111" t="n"/>
      <c r="R64" s="111" t="n"/>
      <c r="S64" s="111" t="n"/>
      <c r="T64" s="111" t="n"/>
      <c r="U64" s="111" t="n"/>
      <c r="V64" s="111" t="inlineStr">
        <is>
          <t>User-supplied Worldpay ABM target list; requires qualification</t>
        </is>
      </c>
      <c r="W64" t="inlineStr">
        <is>
          <t>US DIRECT</t>
        </is>
      </c>
      <c r="X64" t="inlineStr">
        <is>
          <t>US</t>
        </is>
      </c>
      <c r="Y64" t="inlineStr">
        <is>
          <t>Family Dining</t>
        </is>
      </c>
      <c r="Z64" t="inlineStr">
        <is>
          <t>Yes</t>
        </is>
      </c>
      <c r="AG64" t="inlineStr">
        <is>
          <t>ABM WP Target Account List.xlsx — ABM Target Accounts</t>
        </is>
      </c>
    </row>
    <row r="65">
      <c r="A65" s="111" t="n">
        <v>61</v>
      </c>
      <c r="B65" s="111" t="inlineStr">
        <is>
          <t>Unranked</t>
        </is>
      </c>
      <c r="C65" s="111" t="inlineStr">
        <is>
          <t>Chuy'S</t>
        </is>
      </c>
      <c r="D65" s="111" t="n"/>
      <c r="E65" s="111" t="n"/>
      <c r="F65" s="111" t="n"/>
      <c r="G65" s="111" t="n"/>
      <c r="H65" s="111" t="n"/>
      <c r="I65" s="111" t="n"/>
      <c r="J65" s="111" t="n"/>
      <c r="K65" s="111" t="n"/>
      <c r="L65" s="111" t="n"/>
      <c r="M65" s="111" t="n"/>
      <c r="N65" s="111" t="n"/>
      <c r="O65" s="111" t="n"/>
      <c r="P65" s="111" t="n"/>
      <c r="Q65" s="111" t="n"/>
      <c r="R65" s="111" t="n"/>
      <c r="S65" s="111" t="n"/>
      <c r="T65" s="111" t="n"/>
      <c r="U65" s="111" t="n"/>
      <c r="V65" s="111" t="inlineStr">
        <is>
          <t>User-supplied Worldpay ABM target list; requires qualification</t>
        </is>
      </c>
      <c r="W65" t="inlineStr">
        <is>
          <t>US DIRECT</t>
        </is>
      </c>
      <c r="X65" t="inlineStr">
        <is>
          <t>US</t>
        </is>
      </c>
      <c r="Y65" t="inlineStr">
        <is>
          <t>Mexican</t>
        </is>
      </c>
      <c r="Z65" t="inlineStr">
        <is>
          <t>Yes</t>
        </is>
      </c>
      <c r="AG65" t="inlineStr">
        <is>
          <t>ABM WP Target Account List.xlsx — ABM Target Accounts</t>
        </is>
      </c>
    </row>
    <row r="66">
      <c r="A66" s="111" t="n">
        <v>62</v>
      </c>
      <c r="B66" s="111" t="inlineStr">
        <is>
          <t>Unranked</t>
        </is>
      </c>
      <c r="C66" s="111" t="inlineStr">
        <is>
          <t>Fuddruckers</t>
        </is>
      </c>
      <c r="D66" s="111" t="n"/>
      <c r="E66" s="111" t="n"/>
      <c r="F66" s="111" t="n"/>
      <c r="G66" s="111" t="n"/>
      <c r="H66" s="111" t="n"/>
      <c r="I66" s="111" t="n"/>
      <c r="J66" s="111" t="n"/>
      <c r="K66" s="111" t="n"/>
      <c r="L66" s="111" t="n"/>
      <c r="M66" s="111" t="n"/>
      <c r="N66" s="111" t="n"/>
      <c r="O66" s="111" t="n"/>
      <c r="P66" s="111" t="n"/>
      <c r="Q66" s="111" t="n"/>
      <c r="R66" s="111" t="n"/>
      <c r="S66" s="111" t="n"/>
      <c r="T66" s="111" t="n"/>
      <c r="U66" s="111" t="n"/>
      <c r="V66" s="111" t="inlineStr">
        <is>
          <t>User-supplied Worldpay ABM target list; requires qualification</t>
        </is>
      </c>
      <c r="W66" t="inlineStr">
        <is>
          <t>US DIRECT</t>
        </is>
      </c>
      <c r="X66" t="inlineStr">
        <is>
          <t>US</t>
        </is>
      </c>
      <c r="Y66" t="inlineStr">
        <is>
          <t>Burger</t>
        </is>
      </c>
      <c r="Z66" t="inlineStr">
        <is>
          <t>Yes</t>
        </is>
      </c>
      <c r="AG66" t="inlineStr">
        <is>
          <t>ABM WP Target Account List.xlsx — ABM Target Accounts</t>
        </is>
      </c>
    </row>
    <row r="67">
      <c r="A67" s="111" t="n">
        <v>63</v>
      </c>
      <c r="B67" s="111" t="inlineStr">
        <is>
          <t>Unranked</t>
        </is>
      </c>
      <c r="C67" s="111" t="inlineStr">
        <is>
          <t>Gold Star Chili</t>
        </is>
      </c>
      <c r="D67" s="111" t="n"/>
      <c r="E67" s="111" t="n"/>
      <c r="F67" s="111" t="n"/>
      <c r="G67" s="111" t="n"/>
      <c r="H67" s="111" t="n"/>
      <c r="I67" s="111" t="n"/>
      <c r="J67" s="111" t="n"/>
      <c r="K67" s="111" t="n"/>
      <c r="L67" s="111" t="n"/>
      <c r="M67" s="111" t="n"/>
      <c r="N67" s="111" t="n"/>
      <c r="O67" s="111" t="n"/>
      <c r="P67" s="111" t="n"/>
      <c r="Q67" s="111" t="n"/>
      <c r="R67" s="111" t="n"/>
      <c r="S67" s="111" t="n"/>
      <c r="T67" s="111" t="n"/>
      <c r="U67" s="111" t="n"/>
      <c r="V67" s="111" t="inlineStr">
        <is>
          <t>User-supplied Worldpay ABM target list; requires qualification</t>
        </is>
      </c>
      <c r="W67" t="inlineStr">
        <is>
          <t>US DIRECT</t>
        </is>
      </c>
      <c r="X67" t="inlineStr">
        <is>
          <t>US</t>
        </is>
      </c>
      <c r="Y67" t="inlineStr">
        <is>
          <t>Burger</t>
        </is>
      </c>
      <c r="Z67" t="inlineStr">
        <is>
          <t>Yes</t>
        </is>
      </c>
      <c r="AG67" t="inlineStr">
        <is>
          <t>ABM WP Target Account List.xlsx — ABM Target Accounts</t>
        </is>
      </c>
    </row>
    <row r="68">
      <c r="A68" s="111" t="n">
        <v>64</v>
      </c>
      <c r="B68" s="111" t="inlineStr">
        <is>
          <t>Unranked</t>
        </is>
      </c>
      <c r="C68" s="111" t="inlineStr">
        <is>
          <t>Bennigan'S</t>
        </is>
      </c>
      <c r="D68" s="111" t="n"/>
      <c r="E68" s="111" t="n"/>
      <c r="F68" s="111" t="n"/>
      <c r="G68" s="111" t="n"/>
      <c r="H68" s="111" t="n"/>
      <c r="I68" s="111" t="n"/>
      <c r="J68" s="111" t="n"/>
      <c r="K68" s="111" t="n"/>
      <c r="L68" s="111" t="n"/>
      <c r="M68" s="111" t="n"/>
      <c r="N68" s="111" t="n"/>
      <c r="O68" s="111" t="n"/>
      <c r="P68" s="111" t="n"/>
      <c r="Q68" s="111" t="n"/>
      <c r="R68" s="111" t="n"/>
      <c r="S68" s="111" t="n"/>
      <c r="T68" s="111" t="n"/>
      <c r="U68" s="111" t="n"/>
      <c r="V68" s="111" t="inlineStr">
        <is>
          <t>User-supplied Worldpay ABM target list; requires qualification</t>
        </is>
      </c>
      <c r="W68" t="inlineStr">
        <is>
          <t>US DIRECT</t>
        </is>
      </c>
      <c r="X68" t="inlineStr">
        <is>
          <t>US</t>
        </is>
      </c>
      <c r="Y68" t="inlineStr">
        <is>
          <t>Full-Service Dining</t>
        </is>
      </c>
      <c r="Z68" t="inlineStr">
        <is>
          <t>Yes</t>
        </is>
      </c>
      <c r="AG68" t="inlineStr">
        <is>
          <t>ABM WP Target Account List.xlsx — ABM Target Accounts</t>
        </is>
      </c>
    </row>
    <row r="69">
      <c r="A69" s="111" t="n">
        <v>65</v>
      </c>
      <c r="B69" s="111" t="inlineStr">
        <is>
          <t>Unranked</t>
        </is>
      </c>
      <c r="C69" s="111" t="inlineStr">
        <is>
          <t>La Madeleine</t>
        </is>
      </c>
      <c r="D69" s="111" t="n"/>
      <c r="E69" s="111" t="n"/>
      <c r="F69" s="111" t="n"/>
      <c r="G69" s="111" t="n"/>
      <c r="H69" s="111" t="n"/>
      <c r="I69" s="111" t="n"/>
      <c r="J69" s="111" t="n"/>
      <c r="K69" s="111" t="n"/>
      <c r="L69" s="111" t="n"/>
      <c r="M69" s="111" t="n"/>
      <c r="N69" s="111" t="n"/>
      <c r="O69" s="111" t="n"/>
      <c r="P69" s="111" t="n"/>
      <c r="Q69" s="111" t="n"/>
      <c r="R69" s="111" t="n"/>
      <c r="S69" s="111" t="n"/>
      <c r="T69" s="111" t="n"/>
      <c r="U69" s="111" t="n"/>
      <c r="V69" s="111" t="inlineStr">
        <is>
          <t>User-supplied Worldpay ABM target list; requires qualification</t>
        </is>
      </c>
      <c r="W69" t="inlineStr">
        <is>
          <t>US DIRECT</t>
        </is>
      </c>
      <c r="X69" t="inlineStr">
        <is>
          <t>US</t>
        </is>
      </c>
      <c r="Y69" t="inlineStr">
        <is>
          <t>Full-Service Dining</t>
        </is>
      </c>
      <c r="Z69" t="inlineStr">
        <is>
          <t>Yes</t>
        </is>
      </c>
      <c r="AG69" t="inlineStr">
        <is>
          <t>ABM WP Target Account List.xlsx — ABM Target Accounts</t>
        </is>
      </c>
    </row>
    <row r="70">
      <c r="A70" s="111" t="n">
        <v>66</v>
      </c>
      <c r="B70" s="111" t="inlineStr">
        <is>
          <t>Unranked</t>
        </is>
      </c>
      <c r="C70" s="111" t="inlineStr">
        <is>
          <t>Uno'S</t>
        </is>
      </c>
      <c r="D70" s="111" t="n"/>
      <c r="E70" s="111" t="n"/>
      <c r="F70" s="111" t="n"/>
      <c r="G70" s="111" t="n"/>
      <c r="H70" s="111" t="n"/>
      <c r="I70" s="111" t="n"/>
      <c r="J70" s="111" t="n"/>
      <c r="K70" s="111" t="n"/>
      <c r="L70" s="111" t="n"/>
      <c r="M70" s="111" t="n"/>
      <c r="N70" s="111" t="n"/>
      <c r="O70" s="111" t="n"/>
      <c r="P70" s="111" t="n"/>
      <c r="Q70" s="111" t="n"/>
      <c r="R70" s="111" t="n"/>
      <c r="S70" s="111" t="n"/>
      <c r="T70" s="111" t="n"/>
      <c r="U70" s="111" t="n"/>
      <c r="V70" s="111" t="inlineStr">
        <is>
          <t>User-supplied Worldpay ABM target list; requires qualification</t>
        </is>
      </c>
      <c r="W70" t="inlineStr">
        <is>
          <t>US DIRECT</t>
        </is>
      </c>
      <c r="X70" t="inlineStr">
        <is>
          <t>US</t>
        </is>
      </c>
      <c r="Y70" t="inlineStr">
        <is>
          <t>Pizza</t>
        </is>
      </c>
      <c r="Z70" t="inlineStr">
        <is>
          <t>Yes</t>
        </is>
      </c>
      <c r="AG70" t="inlineStr">
        <is>
          <t>ABM WP Target Account List.xlsx — ABM Target Accounts</t>
        </is>
      </c>
    </row>
    <row r="71">
      <c r="A71" s="111" t="n">
        <v>67</v>
      </c>
      <c r="B71" s="111" t="inlineStr">
        <is>
          <t>Unranked</t>
        </is>
      </c>
      <c r="C71" s="111" t="inlineStr">
        <is>
          <t>Luby'S Restaurants</t>
        </is>
      </c>
      <c r="D71" s="111" t="n"/>
      <c r="E71" s="111" t="n"/>
      <c r="F71" s="111" t="n"/>
      <c r="G71" s="111" t="n"/>
      <c r="H71" s="111" t="n"/>
      <c r="I71" s="111" t="n"/>
      <c r="J71" s="111" t="n"/>
      <c r="K71" s="111" t="n"/>
      <c r="L71" s="111" t="n"/>
      <c r="M71" s="111" t="n"/>
      <c r="N71" s="111" t="n"/>
      <c r="O71" s="111" t="n"/>
      <c r="P71" s="111" t="n"/>
      <c r="Q71" s="111" t="n"/>
      <c r="R71" s="111" t="n"/>
      <c r="S71" s="111" t="n"/>
      <c r="T71" s="111" t="n"/>
      <c r="U71" s="111" t="n"/>
      <c r="V71" s="111" t="inlineStr">
        <is>
          <t>User-supplied Worldpay ABM target list; requires qualification</t>
        </is>
      </c>
      <c r="W71" t="inlineStr">
        <is>
          <t>US DIRECT</t>
        </is>
      </c>
      <c r="X71" t="inlineStr">
        <is>
          <t>US</t>
        </is>
      </c>
      <c r="Y71" t="inlineStr">
        <is>
          <t>Full-Service Dining</t>
        </is>
      </c>
      <c r="Z71" t="inlineStr">
        <is>
          <t>Yes</t>
        </is>
      </c>
      <c r="AG71" t="inlineStr">
        <is>
          <t>ABM WP Target Account List.xlsx — ABM Target Accounts</t>
        </is>
      </c>
    </row>
    <row r="72">
      <c r="A72" s="111" t="n">
        <v>68</v>
      </c>
      <c r="B72" s="111" t="inlineStr">
        <is>
          <t>Unranked</t>
        </is>
      </c>
      <c r="C72" s="111" t="inlineStr">
        <is>
          <t>Scramblers</t>
        </is>
      </c>
      <c r="D72" s="111" t="n"/>
      <c r="E72" s="111" t="n"/>
      <c r="F72" s="111" t="n"/>
      <c r="G72" s="111" t="n"/>
      <c r="H72" s="111" t="n"/>
      <c r="I72" s="111" t="n"/>
      <c r="J72" s="111" t="n"/>
      <c r="K72" s="111" t="n"/>
      <c r="L72" s="111" t="n"/>
      <c r="M72" s="111" t="n"/>
      <c r="N72" s="111" t="n"/>
      <c r="O72" s="111" t="n"/>
      <c r="P72" s="111" t="n"/>
      <c r="Q72" s="111" t="n"/>
      <c r="R72" s="111" t="n"/>
      <c r="S72" s="111" t="n"/>
      <c r="T72" s="111" t="n"/>
      <c r="U72" s="111" t="n"/>
      <c r="V72" s="111" t="inlineStr">
        <is>
          <t>User-supplied Worldpay ABM target list; requires qualification</t>
        </is>
      </c>
      <c r="W72" t="inlineStr">
        <is>
          <t>US DIRECT</t>
        </is>
      </c>
      <c r="X72" t="inlineStr">
        <is>
          <t>US</t>
        </is>
      </c>
      <c r="Y72" t="inlineStr">
        <is>
          <t>Family Dining</t>
        </is>
      </c>
      <c r="Z72" t="inlineStr">
        <is>
          <t>Yes</t>
        </is>
      </c>
      <c r="AG72" t="inlineStr">
        <is>
          <t>ABM WP Target Account List.xlsx — ABM Target Accounts</t>
        </is>
      </c>
    </row>
    <row r="73">
      <c r="A73" s="111" t="n">
        <v>69</v>
      </c>
      <c r="B73" s="111" t="inlineStr">
        <is>
          <t>Unranked</t>
        </is>
      </c>
      <c r="C73" s="111" t="inlineStr">
        <is>
          <t>Tom &amp; Chee</t>
        </is>
      </c>
      <c r="D73" s="111" t="n"/>
      <c r="E73" s="111" t="n"/>
      <c r="F73" s="111" t="n"/>
      <c r="G73" s="111" t="n"/>
      <c r="H73" s="111" t="n"/>
      <c r="I73" s="111" t="n"/>
      <c r="J73" s="111" t="n"/>
      <c r="K73" s="111" t="n"/>
      <c r="L73" s="111" t="n"/>
      <c r="M73" s="111" t="n"/>
      <c r="N73" s="111" t="n"/>
      <c r="O73" s="111" t="n"/>
      <c r="P73" s="111" t="n"/>
      <c r="Q73" s="111" t="n"/>
      <c r="R73" s="111" t="n"/>
      <c r="S73" s="111" t="n"/>
      <c r="T73" s="111" t="n"/>
      <c r="U73" s="111" t="n"/>
      <c r="V73" s="111" t="inlineStr">
        <is>
          <t>User-supplied Worldpay ABM target list; requires qualification</t>
        </is>
      </c>
      <c r="W73" t="inlineStr">
        <is>
          <t>US DIRECT</t>
        </is>
      </c>
      <c r="X73" t="inlineStr">
        <is>
          <t>US</t>
        </is>
      </c>
      <c r="Y73" t="inlineStr">
        <is>
          <t>Sandwich</t>
        </is>
      </c>
      <c r="Z73" t="inlineStr">
        <is>
          <t>Yes</t>
        </is>
      </c>
      <c r="AG73" t="inlineStr">
        <is>
          <t>ABM WP Target Account List.xlsx — ABM Target Accounts</t>
        </is>
      </c>
    </row>
    <row r="74">
      <c r="A74" s="111" t="n">
        <v>70</v>
      </c>
      <c r="B74" s="111" t="inlineStr">
        <is>
          <t>Unranked</t>
        </is>
      </c>
      <c r="C74" s="111" t="inlineStr">
        <is>
          <t>Ted'S Montana Grill, Inc.</t>
        </is>
      </c>
      <c r="D74" s="111" t="n"/>
      <c r="E74" s="111" t="n"/>
      <c r="F74" s="111" t="n"/>
      <c r="G74" s="111" t="n"/>
      <c r="H74" s="111" t="n"/>
      <c r="I74" s="111" t="n"/>
      <c r="J74" s="111" t="n"/>
      <c r="K74" s="111" t="n"/>
      <c r="L74" s="111" t="n"/>
      <c r="M74" s="111" t="n"/>
      <c r="N74" s="111" t="n"/>
      <c r="O74" s="111" t="n"/>
      <c r="P74" s="111" t="n"/>
      <c r="Q74" s="111" t="n"/>
      <c r="R74" s="111" t="n"/>
      <c r="S74" s="111" t="n"/>
      <c r="T74" s="111" t="n"/>
      <c r="U74" s="111" t="n"/>
      <c r="V74" s="111" t="inlineStr">
        <is>
          <t>User-supplied Worldpay ABM target list; requires qualification</t>
        </is>
      </c>
      <c r="W74" t="inlineStr">
        <is>
          <t>US DIRECT</t>
        </is>
      </c>
      <c r="X74" t="inlineStr">
        <is>
          <t>US</t>
        </is>
      </c>
      <c r="Y74" t="inlineStr">
        <is>
          <t>Steakhouse</t>
        </is>
      </c>
      <c r="Z74" t="inlineStr">
        <is>
          <t>Yes</t>
        </is>
      </c>
      <c r="AG74" t="inlineStr">
        <is>
          <t>ABM WP Target Account List.xlsx — ABM Target Accounts</t>
        </is>
      </c>
    </row>
    <row r="75">
      <c r="A75" s="111" t="n">
        <v>71</v>
      </c>
      <c r="B75" s="111" t="inlineStr">
        <is>
          <t>Unranked</t>
        </is>
      </c>
      <c r="C75" s="111" t="inlineStr">
        <is>
          <t>Dibella'S</t>
        </is>
      </c>
      <c r="D75" s="111" t="n"/>
      <c r="E75" s="111" t="n"/>
      <c r="F75" s="111" t="n"/>
      <c r="G75" s="111" t="n"/>
      <c r="H75" s="111" t="n"/>
      <c r="I75" s="111" t="n"/>
      <c r="J75" s="111" t="n"/>
      <c r="K75" s="111" t="n"/>
      <c r="L75" s="111" t="n"/>
      <c r="M75" s="111" t="n"/>
      <c r="N75" s="111" t="n"/>
      <c r="O75" s="111" t="n"/>
      <c r="P75" s="111" t="n"/>
      <c r="Q75" s="111" t="n"/>
      <c r="R75" s="111" t="n"/>
      <c r="S75" s="111" t="n"/>
      <c r="T75" s="111" t="n"/>
      <c r="U75" s="111" t="n"/>
      <c r="V75" s="111" t="inlineStr">
        <is>
          <t>User-supplied Worldpay ABM target list; requires qualification</t>
        </is>
      </c>
      <c r="W75" t="inlineStr">
        <is>
          <t>US DIRECT</t>
        </is>
      </c>
      <c r="X75" t="inlineStr">
        <is>
          <t>US</t>
        </is>
      </c>
      <c r="Y75" t="inlineStr">
        <is>
          <t>Sandwich</t>
        </is>
      </c>
      <c r="Z75" t="inlineStr">
        <is>
          <t>Yes</t>
        </is>
      </c>
      <c r="AG75" t="inlineStr">
        <is>
          <t>ABM WP Target Account List.xlsx — ABM Target Accounts</t>
        </is>
      </c>
    </row>
    <row r="76">
      <c r="A76" s="111" t="n">
        <v>72</v>
      </c>
      <c r="B76" s="111" t="inlineStr">
        <is>
          <t>Unranked</t>
        </is>
      </c>
      <c r="C76" s="111" t="inlineStr">
        <is>
          <t>J&amp;B Restaurant Partner Of</t>
        </is>
      </c>
      <c r="D76" s="111" t="n"/>
      <c r="E76" s="111" t="n"/>
      <c r="F76" s="111" t="n"/>
      <c r="G76" s="111" t="n"/>
      <c r="H76" s="111" t="n"/>
      <c r="I76" s="111" t="n"/>
      <c r="J76" s="111" t="n"/>
      <c r="K76" s="111" t="n"/>
      <c r="L76" s="111" t="n"/>
      <c r="M76" s="111" t="n"/>
      <c r="N76" s="111" t="n"/>
      <c r="O76" s="111" t="n"/>
      <c r="P76" s="111" t="n"/>
      <c r="Q76" s="111" t="n"/>
      <c r="R76" s="111" t="n"/>
      <c r="S76" s="111" t="n"/>
      <c r="T76" s="111" t="n"/>
      <c r="U76" s="111" t="n"/>
      <c r="V76" s="111" t="inlineStr">
        <is>
          <t>User-supplied Worldpay ABM target list; requires qualification</t>
        </is>
      </c>
      <c r="W76" t="inlineStr">
        <is>
          <t>US DIRECT</t>
        </is>
      </c>
      <c r="X76" t="inlineStr">
        <is>
          <t>US</t>
        </is>
      </c>
      <c r="Y76" t="inlineStr">
        <is>
          <t>Family Dining</t>
        </is>
      </c>
      <c r="Z76" t="inlineStr">
        <is>
          <t>Yes</t>
        </is>
      </c>
      <c r="AG76" t="inlineStr">
        <is>
          <t>ABM WP Target Account List.xlsx — ABM Target Accounts</t>
        </is>
      </c>
    </row>
    <row r="77">
      <c r="A77" s="111" t="n">
        <v>73</v>
      </c>
      <c r="B77" s="111" t="inlineStr">
        <is>
          <t>Unranked</t>
        </is>
      </c>
      <c r="C77" s="111" t="inlineStr">
        <is>
          <t>Latrelle'S Galley Lp</t>
        </is>
      </c>
      <c r="D77" s="111" t="n"/>
      <c r="E77" s="111" t="n"/>
      <c r="F77" s="111" t="n"/>
      <c r="G77" s="111" t="n"/>
      <c r="H77" s="111" t="n"/>
      <c r="I77" s="111" t="n"/>
      <c r="J77" s="111" t="n"/>
      <c r="K77" s="111" t="n"/>
      <c r="L77" s="111" t="n"/>
      <c r="M77" s="111" t="n"/>
      <c r="N77" s="111" t="n"/>
      <c r="O77" s="111" t="n"/>
      <c r="P77" s="111" t="n"/>
      <c r="Q77" s="111" t="n"/>
      <c r="R77" s="111" t="n"/>
      <c r="S77" s="111" t="n"/>
      <c r="T77" s="111" t="n"/>
      <c r="U77" s="111" t="n"/>
      <c r="V77" s="111" t="inlineStr">
        <is>
          <t>User-supplied Worldpay ABM target list; requires qualification</t>
        </is>
      </c>
      <c r="W77" t="inlineStr">
        <is>
          <t>US DIRECT</t>
        </is>
      </c>
      <c r="X77" t="inlineStr">
        <is>
          <t>US</t>
        </is>
      </c>
      <c r="Y77" t="inlineStr">
        <is>
          <t>Full-Service Dining</t>
        </is>
      </c>
      <c r="Z77" t="inlineStr">
        <is>
          <t>Yes</t>
        </is>
      </c>
      <c r="AG77" t="inlineStr">
        <is>
          <t>ABM WP Target Account List.xlsx — ABM Target Accounts</t>
        </is>
      </c>
    </row>
    <row r="78">
      <c r="A78" s="111" t="n">
        <v>74</v>
      </c>
      <c r="B78" s="111" t="inlineStr">
        <is>
          <t>Unranked</t>
        </is>
      </c>
      <c r="C78" s="111" t="inlineStr">
        <is>
          <t>Houlihan'S Restaurants Inc</t>
        </is>
      </c>
      <c r="D78" s="111" t="n"/>
      <c r="E78" s="111" t="n"/>
      <c r="F78" s="111" t="n"/>
      <c r="G78" s="111" t="n"/>
      <c r="H78" s="111" t="n"/>
      <c r="I78" s="111" t="n"/>
      <c r="J78" s="111" t="n"/>
      <c r="K78" s="111" t="n"/>
      <c r="L78" s="111" t="n"/>
      <c r="M78" s="111" t="n"/>
      <c r="N78" s="111" t="n"/>
      <c r="O78" s="111" t="n"/>
      <c r="P78" s="111" t="n"/>
      <c r="Q78" s="111" t="n"/>
      <c r="R78" s="111" t="n"/>
      <c r="S78" s="111" t="n"/>
      <c r="T78" s="111" t="n"/>
      <c r="U78" s="111" t="n"/>
      <c r="V78" s="111" t="inlineStr">
        <is>
          <t>User-supplied Worldpay ABM target list; requires qualification</t>
        </is>
      </c>
      <c r="W78" t="inlineStr">
        <is>
          <t>US DIRECT</t>
        </is>
      </c>
      <c r="X78" t="inlineStr">
        <is>
          <t>US</t>
        </is>
      </c>
      <c r="Y78" t="inlineStr">
        <is>
          <t>Family Dining</t>
        </is>
      </c>
      <c r="Z78" t="inlineStr">
        <is>
          <t>Yes</t>
        </is>
      </c>
      <c r="AG78" t="inlineStr">
        <is>
          <t>ABM WP Target Account List.xlsx — ABM Target Accounts</t>
        </is>
      </c>
    </row>
    <row r="79">
      <c r="A79" s="111" t="n">
        <v>75</v>
      </c>
      <c r="B79" s="111" t="inlineStr">
        <is>
          <t>Unranked</t>
        </is>
      </c>
      <c r="C79" s="111" t="inlineStr">
        <is>
          <t>Norsan Restaurants Inc</t>
        </is>
      </c>
      <c r="D79" s="111" t="n"/>
      <c r="E79" s="111" t="n"/>
      <c r="F79" s="111" t="n"/>
      <c r="G79" s="111" t="n"/>
      <c r="H79" s="111" t="n"/>
      <c r="I79" s="111" t="n"/>
      <c r="J79" s="111" t="n"/>
      <c r="K79" s="111" t="n"/>
      <c r="L79" s="111" t="n"/>
      <c r="M79" s="111" t="n"/>
      <c r="N79" s="111" t="n"/>
      <c r="O79" s="111" t="n"/>
      <c r="P79" s="111" t="n"/>
      <c r="Q79" s="111" t="n"/>
      <c r="R79" s="111" t="n"/>
      <c r="S79" s="111" t="n"/>
      <c r="T79" s="111" t="n"/>
      <c r="U79" s="111" t="n"/>
      <c r="V79" s="111" t="inlineStr">
        <is>
          <t>User-supplied Worldpay ABM target list; requires qualification</t>
        </is>
      </c>
      <c r="W79" t="inlineStr">
        <is>
          <t>US DIRECT</t>
        </is>
      </c>
      <c r="X79" t="inlineStr">
        <is>
          <t>US</t>
        </is>
      </c>
      <c r="Y79" t="inlineStr">
        <is>
          <t>Full-Service Dining</t>
        </is>
      </c>
      <c r="Z79" t="inlineStr">
        <is>
          <t>No</t>
        </is>
      </c>
      <c r="AB79" t="inlineStr">
        <is>
          <t>Attrition</t>
        </is>
      </c>
      <c r="AG79" t="inlineStr">
        <is>
          <t>ABM WP Target Account List.xlsx — ABM Target Accounts</t>
        </is>
      </c>
    </row>
    <row r="80">
      <c r="A80" s="111" t="n">
        <v>76</v>
      </c>
      <c r="B80" s="111" t="inlineStr">
        <is>
          <t>Unranked</t>
        </is>
      </c>
      <c r="C80" s="111" t="inlineStr">
        <is>
          <t>Winghouse</t>
        </is>
      </c>
      <c r="D80" s="111" t="n"/>
      <c r="E80" s="111" t="n"/>
      <c r="F80" s="111" t="n"/>
      <c r="G80" s="111" t="n"/>
      <c r="H80" s="111" t="n"/>
      <c r="I80" s="111" t="n"/>
      <c r="J80" s="111" t="n"/>
      <c r="K80" s="111" t="n"/>
      <c r="L80" s="111" t="n"/>
      <c r="M80" s="111" t="n"/>
      <c r="N80" s="111" t="n"/>
      <c r="O80" s="111" t="n"/>
      <c r="P80" s="111" t="n"/>
      <c r="Q80" s="111" t="n"/>
      <c r="R80" s="111" t="n"/>
      <c r="S80" s="111" t="n"/>
      <c r="T80" s="111" t="n"/>
      <c r="U80" s="111" t="n"/>
      <c r="V80" s="111" t="inlineStr">
        <is>
          <t>User-supplied Worldpay ABM target list; requires qualification</t>
        </is>
      </c>
      <c r="W80" t="inlineStr">
        <is>
          <t>US DIRECT</t>
        </is>
      </c>
      <c r="X80" t="inlineStr">
        <is>
          <t>US</t>
        </is>
      </c>
      <c r="Y80" t="inlineStr">
        <is>
          <t>Chicken</t>
        </is>
      </c>
      <c r="Z80" t="inlineStr">
        <is>
          <t>Yes</t>
        </is>
      </c>
      <c r="AB80" t="inlineStr">
        <is>
          <t>SMB</t>
        </is>
      </c>
      <c r="AG80" t="inlineStr">
        <is>
          <t>ABM WP Target Account List.xlsx — ABM Target Accounts</t>
        </is>
      </c>
    </row>
    <row r="81">
      <c r="A81" s="111" t="n">
        <v>77</v>
      </c>
      <c r="B81" s="111" t="inlineStr">
        <is>
          <t>Unranked</t>
        </is>
      </c>
      <c r="C81" s="111" t="inlineStr">
        <is>
          <t>Creole Cuisine Restaurant</t>
        </is>
      </c>
      <c r="D81" s="111" t="n"/>
      <c r="E81" s="111" t="n"/>
      <c r="F81" s="111" t="n"/>
      <c r="G81" s="111" t="n"/>
      <c r="H81" s="111" t="n"/>
      <c r="I81" s="111" t="n"/>
      <c r="J81" s="111" t="n"/>
      <c r="K81" s="111" t="n"/>
      <c r="L81" s="111" t="n"/>
      <c r="M81" s="111" t="n"/>
      <c r="N81" s="111" t="n"/>
      <c r="O81" s="111" t="n"/>
      <c r="P81" s="111" t="n"/>
      <c r="Q81" s="111" t="n"/>
      <c r="R81" s="111" t="n"/>
      <c r="S81" s="111" t="n"/>
      <c r="T81" s="111" t="n"/>
      <c r="U81" s="111" t="n"/>
      <c r="V81" s="111" t="inlineStr">
        <is>
          <t>User-supplied Worldpay ABM target list; requires qualification</t>
        </is>
      </c>
      <c r="W81" t="inlineStr">
        <is>
          <t>US DIRECT</t>
        </is>
      </c>
      <c r="X81" t="inlineStr">
        <is>
          <t>US</t>
        </is>
      </c>
      <c r="Y81" t="inlineStr">
        <is>
          <t>Full-Service Dining</t>
        </is>
      </c>
      <c r="Z81" t="inlineStr">
        <is>
          <t>Yes</t>
        </is>
      </c>
      <c r="AG81" t="inlineStr">
        <is>
          <t>ABM WP Target Account List.xlsx — ABM Target Accounts</t>
        </is>
      </c>
    </row>
    <row r="82">
      <c r="A82" s="111" t="n">
        <v>78</v>
      </c>
      <c r="B82" s="111" t="inlineStr">
        <is>
          <t>Unranked</t>
        </is>
      </c>
      <c r="C82" s="111" t="inlineStr">
        <is>
          <t>La Carreta Group Inc</t>
        </is>
      </c>
      <c r="D82" s="111" t="n"/>
      <c r="E82" s="111" t="n"/>
      <c r="F82" s="111" t="n"/>
      <c r="G82" s="111" t="n"/>
      <c r="H82" s="111" t="n"/>
      <c r="I82" s="111" t="n"/>
      <c r="J82" s="111" t="n"/>
      <c r="K82" s="111" t="n"/>
      <c r="L82" s="111" t="n"/>
      <c r="M82" s="111" t="n"/>
      <c r="N82" s="111" t="n"/>
      <c r="O82" s="111" t="n"/>
      <c r="P82" s="111" t="n"/>
      <c r="Q82" s="111" t="n"/>
      <c r="R82" s="111" t="n"/>
      <c r="S82" s="111" t="n"/>
      <c r="T82" s="111" t="n"/>
      <c r="U82" s="111" t="n"/>
      <c r="V82" s="111" t="inlineStr">
        <is>
          <t>User-supplied Worldpay ABM target list; requires qualification</t>
        </is>
      </c>
      <c r="W82" t="inlineStr">
        <is>
          <t>US DIRECT</t>
        </is>
      </c>
      <c r="X82" t="inlineStr">
        <is>
          <t>US</t>
        </is>
      </c>
      <c r="Y82" t="inlineStr">
        <is>
          <t>Mexican</t>
        </is>
      </c>
      <c r="Z82" t="inlineStr">
        <is>
          <t>Yes</t>
        </is>
      </c>
      <c r="AG82" t="inlineStr">
        <is>
          <t>ABM WP Target Account List.xlsx — ABM Target Accounts</t>
        </is>
      </c>
    </row>
    <row r="83">
      <c r="A83" s="111" t="n">
        <v>79</v>
      </c>
      <c r="B83" s="111" t="inlineStr">
        <is>
          <t>Unranked</t>
        </is>
      </c>
      <c r="C83" s="111" t="inlineStr">
        <is>
          <t>Jake N Joes</t>
        </is>
      </c>
      <c r="D83" s="111" t="n"/>
      <c r="E83" s="111" t="n"/>
      <c r="F83" s="111" t="n"/>
      <c r="G83" s="111" t="n"/>
      <c r="H83" s="111" t="n"/>
      <c r="I83" s="111" t="n"/>
      <c r="J83" s="111" t="n"/>
      <c r="K83" s="111" t="n"/>
      <c r="L83" s="111" t="n"/>
      <c r="M83" s="111" t="n"/>
      <c r="N83" s="111" t="n"/>
      <c r="O83" s="111" t="n"/>
      <c r="P83" s="111" t="n"/>
      <c r="Q83" s="111" t="n"/>
      <c r="R83" s="111" t="n"/>
      <c r="S83" s="111" t="n"/>
      <c r="T83" s="111" t="n"/>
      <c r="U83" s="111" t="n"/>
      <c r="V83" s="111" t="inlineStr">
        <is>
          <t>User-supplied Worldpay ABM target list; requires qualification</t>
        </is>
      </c>
      <c r="W83" t="inlineStr">
        <is>
          <t>US DIRECT</t>
        </is>
      </c>
      <c r="X83" t="inlineStr">
        <is>
          <t>US</t>
        </is>
      </c>
      <c r="Y83" t="inlineStr">
        <is>
          <t>Full-Service Dining</t>
        </is>
      </c>
      <c r="Z83" t="inlineStr">
        <is>
          <t>Yes</t>
        </is>
      </c>
      <c r="AG83" t="inlineStr">
        <is>
          <t>ABM WP Target Account List.xlsx — ABM Target Accounts</t>
        </is>
      </c>
    </row>
    <row r="84">
      <c r="A84" s="111" t="n">
        <v>80</v>
      </c>
      <c r="B84" s="111" t="inlineStr">
        <is>
          <t>Unranked</t>
        </is>
      </c>
      <c r="C84" s="111" t="inlineStr">
        <is>
          <t>Chateau Restaurant</t>
        </is>
      </c>
      <c r="D84" s="111" t="n"/>
      <c r="E84" s="111" t="n"/>
      <c r="F84" s="111" t="n"/>
      <c r="G84" s="111" t="n"/>
      <c r="H84" s="111" t="n"/>
      <c r="I84" s="111" t="n"/>
      <c r="J84" s="111" t="n"/>
      <c r="K84" s="111" t="n"/>
      <c r="L84" s="111" t="n"/>
      <c r="M84" s="111" t="n"/>
      <c r="N84" s="111" t="n"/>
      <c r="O84" s="111" t="n"/>
      <c r="P84" s="111" t="n"/>
      <c r="Q84" s="111" t="n"/>
      <c r="R84" s="111" t="n"/>
      <c r="S84" s="111" t="n"/>
      <c r="T84" s="111" t="n"/>
      <c r="U84" s="111" t="n"/>
      <c r="V84" s="111" t="inlineStr">
        <is>
          <t>User-supplied Worldpay ABM target list; requires qualification</t>
        </is>
      </c>
      <c r="W84" t="inlineStr">
        <is>
          <t>US DIRECT</t>
        </is>
      </c>
      <c r="X84" t="inlineStr">
        <is>
          <t>US</t>
        </is>
      </c>
      <c r="Y84" t="inlineStr">
        <is>
          <t>Full-Service Dining</t>
        </is>
      </c>
      <c r="Z84" t="inlineStr">
        <is>
          <t>Yes</t>
        </is>
      </c>
      <c r="AG84" t="inlineStr">
        <is>
          <t>ABM WP Target Account List.xlsx — ABM Target Accounts</t>
        </is>
      </c>
    </row>
    <row r="85">
      <c r="A85" s="111" t="n">
        <v>81</v>
      </c>
      <c r="B85" s="111" t="inlineStr">
        <is>
          <t>Unranked</t>
        </is>
      </c>
      <c r="C85" s="111" t="inlineStr">
        <is>
          <t>Cyclone Anaya</t>
        </is>
      </c>
      <c r="D85" s="111" t="n"/>
      <c r="E85" s="111" t="n"/>
      <c r="F85" s="111" t="n"/>
      <c r="G85" s="111" t="n"/>
      <c r="H85" s="111" t="n"/>
      <c r="I85" s="111" t="n"/>
      <c r="J85" s="111" t="n"/>
      <c r="K85" s="111" t="n"/>
      <c r="L85" s="111" t="n"/>
      <c r="M85" s="111" t="n"/>
      <c r="N85" s="111" t="n"/>
      <c r="O85" s="111" t="n"/>
      <c r="P85" s="111" t="n"/>
      <c r="Q85" s="111" t="n"/>
      <c r="R85" s="111" t="n"/>
      <c r="S85" s="111" t="n"/>
      <c r="T85" s="111" t="n"/>
      <c r="U85" s="111" t="n"/>
      <c r="V85" s="111" t="inlineStr">
        <is>
          <t>User-supplied Worldpay ABM target list; requires qualification</t>
        </is>
      </c>
      <c r="W85" t="inlineStr">
        <is>
          <t>US DIRECT</t>
        </is>
      </c>
      <c r="X85" t="inlineStr">
        <is>
          <t>US</t>
        </is>
      </c>
      <c r="Y85" t="inlineStr">
        <is>
          <t>Mexican</t>
        </is>
      </c>
      <c r="Z85" t="inlineStr">
        <is>
          <t>Yes</t>
        </is>
      </c>
      <c r="AG85" t="inlineStr">
        <is>
          <t>ABM WP Target Account List.xlsx — ABM Target Accounts</t>
        </is>
      </c>
    </row>
    <row r="86">
      <c r="A86" s="111" t="n">
        <v>82</v>
      </c>
      <c r="B86" s="111" t="inlineStr">
        <is>
          <t>Unranked</t>
        </is>
      </c>
      <c r="C86" s="111" t="inlineStr">
        <is>
          <t>Jeff Ruby</t>
        </is>
      </c>
      <c r="D86" s="111" t="n"/>
      <c r="E86" s="111" t="n"/>
      <c r="F86" s="111" t="n"/>
      <c r="G86" s="111" t="n"/>
      <c r="H86" s="111" t="n"/>
      <c r="I86" s="111" t="n"/>
      <c r="J86" s="111" t="n"/>
      <c r="K86" s="111" t="n"/>
      <c r="L86" s="111" t="n"/>
      <c r="M86" s="111" t="n"/>
      <c r="N86" s="111" t="n"/>
      <c r="O86" s="111" t="n"/>
      <c r="P86" s="111" t="n"/>
      <c r="Q86" s="111" t="n"/>
      <c r="R86" s="111" t="n"/>
      <c r="S86" s="111" t="n"/>
      <c r="T86" s="111" t="n"/>
      <c r="U86" s="111" t="n"/>
      <c r="V86" s="111" t="inlineStr">
        <is>
          <t>User-supplied Worldpay ABM target list; requires qualification</t>
        </is>
      </c>
      <c r="W86" t="inlineStr">
        <is>
          <t>US DIRECT</t>
        </is>
      </c>
      <c r="X86" t="inlineStr">
        <is>
          <t>US</t>
        </is>
      </c>
      <c r="Y86" t="inlineStr">
        <is>
          <t>Steakhouse</t>
        </is>
      </c>
      <c r="Z86" t="inlineStr">
        <is>
          <t>Yes</t>
        </is>
      </c>
      <c r="AG86" t="inlineStr">
        <is>
          <t>ABM WP Target Account List.xlsx — ABM Target Accounts</t>
        </is>
      </c>
    </row>
    <row r="87">
      <c r="A87" s="111" t="n">
        <v>83</v>
      </c>
      <c r="B87" s="111" t="inlineStr">
        <is>
          <t>Unranked</t>
        </is>
      </c>
      <c r="C87" s="111" t="inlineStr">
        <is>
          <t>Mark'S Feed Store</t>
        </is>
      </c>
      <c r="D87" s="111" t="n"/>
      <c r="E87" s="111" t="n"/>
      <c r="F87" s="111" t="n"/>
      <c r="G87" s="111" t="n"/>
      <c r="H87" s="111" t="n"/>
      <c r="I87" s="111" t="n"/>
      <c r="J87" s="111" t="n"/>
      <c r="K87" s="111" t="n"/>
      <c r="L87" s="111" t="n"/>
      <c r="M87" s="111" t="n"/>
      <c r="N87" s="111" t="n"/>
      <c r="O87" s="111" t="n"/>
      <c r="P87" s="111" t="n"/>
      <c r="Q87" s="111" t="n"/>
      <c r="R87" s="111" t="n"/>
      <c r="S87" s="111" t="n"/>
      <c r="T87" s="111" t="n"/>
      <c r="U87" s="111" t="n"/>
      <c r="V87" s="111" t="inlineStr">
        <is>
          <t>User-supplied Worldpay ABM target list; requires qualification</t>
        </is>
      </c>
      <c r="W87" t="inlineStr">
        <is>
          <t>US DIRECT</t>
        </is>
      </c>
      <c r="X87" t="inlineStr">
        <is>
          <t>US</t>
        </is>
      </c>
      <c r="Y87" t="inlineStr">
        <is>
          <t>Barbecue</t>
        </is>
      </c>
      <c r="Z87" t="inlineStr">
        <is>
          <t>Yes</t>
        </is>
      </c>
      <c r="AG87" t="inlineStr">
        <is>
          <t>ABM WP Target Account List.xlsx — ABM Target Accounts</t>
        </is>
      </c>
    </row>
    <row r="88">
      <c r="A88" s="111" t="n">
        <v>84</v>
      </c>
      <c r="B88" s="111" t="inlineStr">
        <is>
          <t>Unranked</t>
        </is>
      </c>
      <c r="C88" s="111" t="inlineStr">
        <is>
          <t>Cocula Restaurant</t>
        </is>
      </c>
      <c r="D88" s="111" t="n"/>
      <c r="E88" s="111" t="n"/>
      <c r="F88" s="111" t="n"/>
      <c r="G88" s="111" t="n"/>
      <c r="H88" s="111" t="n"/>
      <c r="I88" s="111" t="n"/>
      <c r="J88" s="111" t="n"/>
      <c r="K88" s="111" t="n"/>
      <c r="L88" s="111" t="n"/>
      <c r="M88" s="111" t="n"/>
      <c r="N88" s="111" t="n"/>
      <c r="O88" s="111" t="n"/>
      <c r="P88" s="111" t="n"/>
      <c r="Q88" s="111" t="n"/>
      <c r="R88" s="111" t="n"/>
      <c r="S88" s="111" t="n"/>
      <c r="T88" s="111" t="n"/>
      <c r="U88" s="111" t="n"/>
      <c r="V88" s="111" t="inlineStr">
        <is>
          <t>User-supplied Worldpay ABM target list; requires qualification</t>
        </is>
      </c>
      <c r="W88" t="inlineStr">
        <is>
          <t>US DIRECT</t>
        </is>
      </c>
      <c r="X88" t="inlineStr">
        <is>
          <t>US</t>
        </is>
      </c>
      <c r="Y88" t="inlineStr">
        <is>
          <t>Mexican</t>
        </is>
      </c>
      <c r="Z88" t="inlineStr">
        <is>
          <t>Yes</t>
        </is>
      </c>
      <c r="AG88" t="inlineStr">
        <is>
          <t>ABM WP Target Account List.xlsx — ABM Target Accounts</t>
        </is>
      </c>
    </row>
    <row r="89">
      <c r="A89" s="111" t="n">
        <v>85</v>
      </c>
      <c r="B89" s="111" t="inlineStr">
        <is>
          <t>Unranked</t>
        </is>
      </c>
      <c r="C89" s="111" t="inlineStr">
        <is>
          <t>David'S Pizza</t>
        </is>
      </c>
      <c r="D89" s="111" t="n"/>
      <c r="E89" s="111" t="n"/>
      <c r="F89" s="111" t="n"/>
      <c r="G89" s="111" t="n"/>
      <c r="H89" s="111" t="n"/>
      <c r="I89" s="111" t="n"/>
      <c r="J89" s="111" t="n"/>
      <c r="K89" s="111" t="n"/>
      <c r="L89" s="111" t="n"/>
      <c r="M89" s="111" t="n"/>
      <c r="N89" s="111" t="n"/>
      <c r="O89" s="111" t="n"/>
      <c r="P89" s="111" t="n"/>
      <c r="Q89" s="111" t="n"/>
      <c r="R89" s="111" t="n"/>
      <c r="S89" s="111" t="n"/>
      <c r="T89" s="111" t="n"/>
      <c r="U89" s="111" t="n"/>
      <c r="V89" s="111" t="inlineStr">
        <is>
          <t>User-supplied Worldpay ABM target list; requires qualification</t>
        </is>
      </c>
      <c r="W89" t="inlineStr">
        <is>
          <t>US DIRECT</t>
        </is>
      </c>
      <c r="X89" t="inlineStr">
        <is>
          <t>US</t>
        </is>
      </c>
      <c r="Y89" t="inlineStr">
        <is>
          <t>Pizza</t>
        </is>
      </c>
      <c r="Z89" t="inlineStr">
        <is>
          <t>Yes</t>
        </is>
      </c>
      <c r="AG89" t="inlineStr">
        <is>
          <t>ABM WP Target Account List.xlsx — ABM Target Accounts</t>
        </is>
      </c>
    </row>
    <row r="90">
      <c r="A90" s="111" t="n">
        <v>86</v>
      </c>
      <c r="B90" s="111" t="inlineStr">
        <is>
          <t>Unranked</t>
        </is>
      </c>
      <c r="C90" s="111" t="inlineStr">
        <is>
          <t>Gibsons Llc</t>
        </is>
      </c>
      <c r="D90" s="111" t="n"/>
      <c r="E90" s="111" t="n"/>
      <c r="F90" s="111" t="n"/>
      <c r="G90" s="111" t="n"/>
      <c r="H90" s="111" t="n"/>
      <c r="I90" s="111" t="n"/>
      <c r="J90" s="111" t="n"/>
      <c r="K90" s="111" t="n"/>
      <c r="L90" s="111" t="n"/>
      <c r="M90" s="111" t="n"/>
      <c r="N90" s="111" t="n"/>
      <c r="O90" s="111" t="n"/>
      <c r="P90" s="111" t="n"/>
      <c r="Q90" s="111" t="n"/>
      <c r="R90" s="111" t="n"/>
      <c r="S90" s="111" t="n"/>
      <c r="T90" s="111" t="n"/>
      <c r="U90" s="111" t="n"/>
      <c r="V90" s="111" t="inlineStr">
        <is>
          <t>User-supplied Worldpay ABM target list; requires qualification</t>
        </is>
      </c>
      <c r="W90" t="inlineStr">
        <is>
          <t>US DIRECT</t>
        </is>
      </c>
      <c r="X90" t="inlineStr">
        <is>
          <t>US</t>
        </is>
      </c>
      <c r="Y90" t="inlineStr">
        <is>
          <t>Steakhouse</t>
        </is>
      </c>
      <c r="Z90" t="inlineStr">
        <is>
          <t>Yes</t>
        </is>
      </c>
      <c r="AG90" t="inlineStr">
        <is>
          <t>ABM WP Target Account List.xlsx — ABM Target Accounts</t>
        </is>
      </c>
    </row>
    <row r="91">
      <c r="A91" s="111" t="n">
        <v>87</v>
      </c>
      <c r="B91" s="111" t="inlineStr">
        <is>
          <t>Unranked</t>
        </is>
      </c>
      <c r="C91" s="111" t="inlineStr">
        <is>
          <t>Sam Choy'S</t>
        </is>
      </c>
      <c r="D91" s="111" t="n"/>
      <c r="E91" s="111" t="n"/>
      <c r="F91" s="111" t="n"/>
      <c r="G91" s="111" t="n"/>
      <c r="H91" s="111" t="n"/>
      <c r="I91" s="111" t="n"/>
      <c r="J91" s="111" t="n"/>
      <c r="K91" s="111" t="n"/>
      <c r="L91" s="111" t="n"/>
      <c r="M91" s="111" t="n"/>
      <c r="N91" s="111" t="n"/>
      <c r="O91" s="111" t="n"/>
      <c r="P91" s="111" t="n"/>
      <c r="Q91" s="111" t="n"/>
      <c r="R91" s="111" t="n"/>
      <c r="S91" s="111" t="n"/>
      <c r="T91" s="111" t="n"/>
      <c r="U91" s="111" t="n"/>
      <c r="V91" s="111" t="inlineStr">
        <is>
          <t>User-supplied Worldpay ABM target list; requires qualification</t>
        </is>
      </c>
      <c r="W91" t="inlineStr">
        <is>
          <t>US DIRECT</t>
        </is>
      </c>
      <c r="X91" t="inlineStr">
        <is>
          <t>US</t>
        </is>
      </c>
      <c r="Y91" t="inlineStr">
        <is>
          <t>Full-Service Dining</t>
        </is>
      </c>
      <c r="Z91" t="inlineStr">
        <is>
          <t>Yes</t>
        </is>
      </c>
      <c r="AG91" t="inlineStr">
        <is>
          <t>ABM WP Target Account List.xlsx — ABM Target Accounts</t>
        </is>
      </c>
    </row>
    <row r="92">
      <c r="A92" s="111" t="n">
        <v>88</v>
      </c>
      <c r="B92" s="111" t="inlineStr">
        <is>
          <t>Unranked</t>
        </is>
      </c>
      <c r="C92" s="111" t="inlineStr">
        <is>
          <t>Tibby New Orleans Kitchen</t>
        </is>
      </c>
      <c r="D92" s="111" t="n"/>
      <c r="E92" s="111" t="n"/>
      <c r="F92" s="111" t="n"/>
      <c r="G92" s="111" t="n"/>
      <c r="H92" s="111" t="n"/>
      <c r="I92" s="111" t="n"/>
      <c r="J92" s="111" t="n"/>
      <c r="K92" s="111" t="n"/>
      <c r="L92" s="111" t="n"/>
      <c r="M92" s="111" t="n"/>
      <c r="N92" s="111" t="n"/>
      <c r="O92" s="111" t="n"/>
      <c r="P92" s="111" t="n"/>
      <c r="Q92" s="111" t="n"/>
      <c r="R92" s="111" t="n"/>
      <c r="S92" s="111" t="n"/>
      <c r="T92" s="111" t="n"/>
      <c r="U92" s="111" t="n"/>
      <c r="V92" s="111" t="inlineStr">
        <is>
          <t>User-supplied Worldpay ABM target list; requires qualification</t>
        </is>
      </c>
      <c r="W92" t="inlineStr">
        <is>
          <t>US DIRECT</t>
        </is>
      </c>
      <c r="X92" t="inlineStr">
        <is>
          <t>US</t>
        </is>
      </c>
      <c r="Y92" t="inlineStr">
        <is>
          <t>Full-Service Dining</t>
        </is>
      </c>
      <c r="Z92" t="inlineStr">
        <is>
          <t>Yes</t>
        </is>
      </c>
      <c r="AG92" t="inlineStr">
        <is>
          <t>ABM WP Target Account List.xlsx — ABM Target Accounts</t>
        </is>
      </c>
    </row>
    <row r="93">
      <c r="A93" s="111" t="n">
        <v>89</v>
      </c>
      <c r="B93" s="111" t="inlineStr">
        <is>
          <t>Unranked</t>
        </is>
      </c>
      <c r="C93" s="111" t="inlineStr">
        <is>
          <t>Siren Retail Corporation</t>
        </is>
      </c>
      <c r="D93" s="111" t="n"/>
      <c r="E93" s="111" t="n"/>
      <c r="F93" s="111" t="n"/>
      <c r="G93" s="111" t="n"/>
      <c r="H93" s="111" t="n"/>
      <c r="I93" s="111" t="n"/>
      <c r="J93" s="111" t="n"/>
      <c r="K93" s="111" t="n"/>
      <c r="L93" s="111" t="n"/>
      <c r="M93" s="111" t="n"/>
      <c r="N93" s="111" t="n"/>
      <c r="O93" s="111" t="n"/>
      <c r="P93" s="111" t="n"/>
      <c r="Q93" s="111" t="n"/>
      <c r="R93" s="111" t="n"/>
      <c r="S93" s="111" t="n"/>
      <c r="T93" s="111" t="n"/>
      <c r="U93" s="111" t="n"/>
      <c r="V93" s="111" t="inlineStr">
        <is>
          <t>User-supplied Worldpay ABM target list; requires qualification</t>
        </is>
      </c>
      <c r="W93" t="inlineStr">
        <is>
          <t>US DIRECT</t>
        </is>
      </c>
      <c r="X93" t="inlineStr">
        <is>
          <t>US</t>
        </is>
      </c>
      <c r="Y93" t="inlineStr">
        <is>
          <t>Coffee</t>
        </is>
      </c>
      <c r="Z93" t="inlineStr">
        <is>
          <t>Yes</t>
        </is>
      </c>
      <c r="AG93" t="inlineStr">
        <is>
          <t>ABM WP Target Account List.xlsx — ABM Target Accounts</t>
        </is>
      </c>
    </row>
    <row r="94">
      <c r="A94" s="111" t="n">
        <v>90</v>
      </c>
      <c r="B94" s="111" t="inlineStr">
        <is>
          <t>Unranked</t>
        </is>
      </c>
      <c r="C94" s="111" t="inlineStr">
        <is>
          <t>Amanda'S Fonda</t>
        </is>
      </c>
      <c r="D94" s="111" t="n"/>
      <c r="E94" s="111" t="n"/>
      <c r="F94" s="111" t="n"/>
      <c r="G94" s="111" t="n"/>
      <c r="H94" s="111" t="n"/>
      <c r="I94" s="111" t="n"/>
      <c r="J94" s="111" t="n"/>
      <c r="K94" s="111" t="n"/>
      <c r="L94" s="111" t="n"/>
      <c r="M94" s="111" t="n"/>
      <c r="N94" s="111" t="n"/>
      <c r="O94" s="111" t="n"/>
      <c r="P94" s="111" t="n"/>
      <c r="Q94" s="111" t="n"/>
      <c r="R94" s="111" t="n"/>
      <c r="S94" s="111" t="n"/>
      <c r="T94" s="111" t="n"/>
      <c r="U94" s="111" t="n"/>
      <c r="V94" s="111" t="inlineStr">
        <is>
          <t>User-supplied Worldpay ABM target list; requires qualification</t>
        </is>
      </c>
      <c r="W94" t="inlineStr">
        <is>
          <t>US DIRECT</t>
        </is>
      </c>
      <c r="X94" t="inlineStr">
        <is>
          <t>US</t>
        </is>
      </c>
      <c r="Y94" t="inlineStr">
        <is>
          <t>Mexican</t>
        </is>
      </c>
      <c r="Z94" t="inlineStr">
        <is>
          <t>No</t>
        </is>
      </c>
      <c r="AG94" t="inlineStr">
        <is>
          <t>ABM WP Target Account List.xlsx — ABM Target Accounts</t>
        </is>
      </c>
    </row>
    <row r="95">
      <c r="A95" s="111" t="n">
        <v>91</v>
      </c>
      <c r="B95" s="111" t="inlineStr">
        <is>
          <t>Unranked</t>
        </is>
      </c>
      <c r="C95" s="111" t="inlineStr">
        <is>
          <t>Broadway On Deck Llc</t>
        </is>
      </c>
      <c r="D95" s="111" t="n"/>
      <c r="E95" s="111" t="n"/>
      <c r="F95" s="111" t="n"/>
      <c r="G95" s="111" t="n"/>
      <c r="H95" s="111" t="n"/>
      <c r="I95" s="111" t="n"/>
      <c r="J95" s="111" t="n"/>
      <c r="K95" s="111" t="n"/>
      <c r="L95" s="111" t="n"/>
      <c r="M95" s="111" t="n"/>
      <c r="N95" s="111" t="n"/>
      <c r="O95" s="111" t="n"/>
      <c r="P95" s="111" t="n"/>
      <c r="Q95" s="111" t="n"/>
      <c r="R95" s="111" t="n"/>
      <c r="S95" s="111" t="n"/>
      <c r="T95" s="111" t="n"/>
      <c r="U95" s="111" t="n"/>
      <c r="V95" s="111" t="inlineStr">
        <is>
          <t>User-supplied Worldpay ABM target list; requires qualification</t>
        </is>
      </c>
      <c r="W95" t="inlineStr">
        <is>
          <t>US</t>
        </is>
      </c>
      <c r="X95" t="inlineStr">
        <is>
          <t>US</t>
        </is>
      </c>
      <c r="Y95" t="inlineStr">
        <is>
          <t>Full-Service Dining</t>
        </is>
      </c>
      <c r="Z95" t="inlineStr">
        <is>
          <t>No</t>
        </is>
      </c>
      <c r="AG95" t="inlineStr">
        <is>
          <t>ABM WP Target Account List.xlsx — ABM Target Accounts</t>
        </is>
      </c>
    </row>
    <row r="96">
      <c r="A96" s="111" t="n">
        <v>92</v>
      </c>
      <c r="B96" s="111" t="inlineStr">
        <is>
          <t>Unranked</t>
        </is>
      </c>
      <c r="C96" s="111" t="inlineStr">
        <is>
          <t>Down The Hatch</t>
        </is>
      </c>
      <c r="D96" s="111" t="n"/>
      <c r="E96" s="111" t="n"/>
      <c r="F96" s="111" t="n"/>
      <c r="G96" s="111" t="n"/>
      <c r="H96" s="111" t="n"/>
      <c r="I96" s="111" t="n"/>
      <c r="J96" s="111" t="n"/>
      <c r="K96" s="111" t="n"/>
      <c r="L96" s="111" t="n"/>
      <c r="M96" s="111" t="n"/>
      <c r="N96" s="111" t="n"/>
      <c r="O96" s="111" t="n"/>
      <c r="P96" s="111" t="n"/>
      <c r="Q96" s="111" t="n"/>
      <c r="R96" s="111" t="n"/>
      <c r="S96" s="111" t="n"/>
      <c r="T96" s="111" t="n"/>
      <c r="U96" s="111" t="n"/>
      <c r="V96" s="111" t="inlineStr">
        <is>
          <t>User-supplied Worldpay ABM target list; requires qualification</t>
        </is>
      </c>
      <c r="W96" t="inlineStr">
        <is>
          <t>US DIRECT</t>
        </is>
      </c>
      <c r="X96" t="inlineStr">
        <is>
          <t>US</t>
        </is>
      </c>
      <c r="Y96" t="inlineStr">
        <is>
          <t>Full-Service Dining</t>
        </is>
      </c>
      <c r="Z96" t="inlineStr">
        <is>
          <t>No</t>
        </is>
      </c>
      <c r="AG96" t="inlineStr">
        <is>
          <t>ABM WP Target Account List.xlsx — ABM Target Accounts</t>
        </is>
      </c>
    </row>
    <row r="97">
      <c r="A97" s="111" t="n">
        <v>93</v>
      </c>
      <c r="B97" s="111" t="inlineStr">
        <is>
          <t>Unranked</t>
        </is>
      </c>
      <c r="C97" s="111" t="inlineStr">
        <is>
          <t>Fontana Subway Sandwiches</t>
        </is>
      </c>
      <c r="D97" s="111" t="n"/>
      <c r="E97" s="111" t="n"/>
      <c r="F97" s="111" t="n"/>
      <c r="G97" s="111" t="n"/>
      <c r="H97" s="111" t="n"/>
      <c r="I97" s="111" t="n"/>
      <c r="J97" s="111" t="n"/>
      <c r="K97" s="111" t="n"/>
      <c r="L97" s="111" t="n"/>
      <c r="M97" s="111" t="n"/>
      <c r="N97" s="111" t="n"/>
      <c r="O97" s="111" t="n"/>
      <c r="P97" s="111" t="n"/>
      <c r="Q97" s="111" t="n"/>
      <c r="R97" s="111" t="n"/>
      <c r="S97" s="111" t="n"/>
      <c r="T97" s="111" t="n"/>
      <c r="U97" s="111" t="n"/>
      <c r="V97" s="111" t="inlineStr">
        <is>
          <t>User-supplied Worldpay ABM target list; requires qualification</t>
        </is>
      </c>
      <c r="W97" t="inlineStr">
        <is>
          <t>US DIRECT</t>
        </is>
      </c>
      <c r="X97" t="inlineStr">
        <is>
          <t>US</t>
        </is>
      </c>
      <c r="Y97" t="inlineStr">
        <is>
          <t>Sandwich</t>
        </is>
      </c>
      <c r="Z97" t="inlineStr">
        <is>
          <t>No</t>
        </is>
      </c>
      <c r="AG97" t="inlineStr">
        <is>
          <t>ABM WP Target Account List.xlsx — ABM Target Accounts</t>
        </is>
      </c>
    </row>
    <row r="98">
      <c r="A98" s="111" t="n">
        <v>94</v>
      </c>
      <c r="B98" s="111" t="inlineStr">
        <is>
          <t>Unranked</t>
        </is>
      </c>
      <c r="C98" s="111" t="inlineStr">
        <is>
          <t>Forward Subway</t>
        </is>
      </c>
      <c r="D98" s="111" t="n"/>
      <c r="E98" s="111" t="n"/>
      <c r="F98" s="111" t="n"/>
      <c r="G98" s="111" t="n"/>
      <c r="H98" s="111" t="n"/>
      <c r="I98" s="111" t="n"/>
      <c r="J98" s="111" t="n"/>
      <c r="K98" s="111" t="n"/>
      <c r="L98" s="111" t="n"/>
      <c r="M98" s="111" t="n"/>
      <c r="N98" s="111" t="n"/>
      <c r="O98" s="111" t="n"/>
      <c r="P98" s="111" t="n"/>
      <c r="Q98" s="111" t="n"/>
      <c r="R98" s="111" t="n"/>
      <c r="S98" s="111" t="n"/>
      <c r="T98" s="111" t="n"/>
      <c r="U98" s="111" t="n"/>
      <c r="V98" s="111" t="inlineStr">
        <is>
          <t>User-supplied Worldpay ABM target list; requires qualification</t>
        </is>
      </c>
      <c r="W98" t="inlineStr">
        <is>
          <t>US DIRECT</t>
        </is>
      </c>
      <c r="X98" t="inlineStr">
        <is>
          <t>US</t>
        </is>
      </c>
      <c r="Y98" t="inlineStr">
        <is>
          <t>Sandwich</t>
        </is>
      </c>
      <c r="Z98" t="inlineStr">
        <is>
          <t>No</t>
        </is>
      </c>
      <c r="AG98" t="inlineStr">
        <is>
          <t>ABM WP Target Account List.xlsx — ABM Target Accounts</t>
        </is>
      </c>
    </row>
    <row r="99">
      <c r="A99" s="111" t="n">
        <v>95</v>
      </c>
      <c r="B99" s="111" t="inlineStr">
        <is>
          <t>Unranked</t>
        </is>
      </c>
      <c r="C99" s="111" t="inlineStr">
        <is>
          <t>Jb'S On The Beach</t>
        </is>
      </c>
      <c r="D99" s="111" t="n"/>
      <c r="E99" s="111" t="n"/>
      <c r="F99" s="111" t="n"/>
      <c r="G99" s="111" t="n"/>
      <c r="H99" s="111" t="n"/>
      <c r="I99" s="111" t="n"/>
      <c r="J99" s="111" t="n"/>
      <c r="K99" s="111" t="n"/>
      <c r="L99" s="111" t="n"/>
      <c r="M99" s="111" t="n"/>
      <c r="N99" s="111" t="n"/>
      <c r="O99" s="111" t="n"/>
      <c r="P99" s="111" t="n"/>
      <c r="Q99" s="111" t="n"/>
      <c r="R99" s="111" t="n"/>
      <c r="S99" s="111" t="n"/>
      <c r="T99" s="111" t="n"/>
      <c r="U99" s="111" t="n"/>
      <c r="V99" s="111" t="inlineStr">
        <is>
          <t>User-supplied Worldpay ABM target list; requires qualification</t>
        </is>
      </c>
      <c r="W99" t="inlineStr">
        <is>
          <t>US DIRECT</t>
        </is>
      </c>
      <c r="X99" t="inlineStr">
        <is>
          <t>US</t>
        </is>
      </c>
      <c r="Y99" t="inlineStr">
        <is>
          <t>Full-Service Dining</t>
        </is>
      </c>
      <c r="Z99" t="inlineStr">
        <is>
          <t>No</t>
        </is>
      </c>
      <c r="AG99" t="inlineStr">
        <is>
          <t>ABM WP Target Account List.xlsx — ABM Target Accounts</t>
        </is>
      </c>
    </row>
    <row r="100">
      <c r="A100" s="111" t="n">
        <v>96</v>
      </c>
      <c r="B100" s="111" t="inlineStr">
        <is>
          <t>Unranked</t>
        </is>
      </c>
      <c r="C100" s="111" t="inlineStr">
        <is>
          <t>Jy5, Inc</t>
        </is>
      </c>
      <c r="D100" s="111" t="n"/>
      <c r="E100" s="111" t="n"/>
      <c r="F100" s="111" t="n"/>
      <c r="G100" s="111" t="n"/>
      <c r="H100" s="111" t="n"/>
      <c r="I100" s="111" t="n"/>
      <c r="J100" s="111" t="n"/>
      <c r="K100" s="111" t="n"/>
      <c r="L100" s="111" t="n"/>
      <c r="M100" s="111" t="n"/>
      <c r="N100" s="111" t="n"/>
      <c r="O100" s="111" t="n"/>
      <c r="P100" s="111" t="n"/>
      <c r="Q100" s="111" t="n"/>
      <c r="R100" s="111" t="n"/>
      <c r="S100" s="111" t="n"/>
      <c r="T100" s="111" t="n"/>
      <c r="U100" s="111" t="n"/>
      <c r="V100" s="111" t="inlineStr">
        <is>
          <t>User-supplied Worldpay ABM target list; requires qualification</t>
        </is>
      </c>
      <c r="W100" t="inlineStr">
        <is>
          <t>US DIRECT</t>
        </is>
      </c>
      <c r="X100" t="inlineStr">
        <is>
          <t>US</t>
        </is>
      </c>
      <c r="Y100" t="inlineStr">
        <is>
          <t>Sandwich</t>
        </is>
      </c>
      <c r="Z100" t="inlineStr">
        <is>
          <t>No</t>
        </is>
      </c>
      <c r="AG100" t="inlineStr">
        <is>
          <t>ABM WP Target Account List.xlsx — ABM Target Accounts</t>
        </is>
      </c>
    </row>
    <row r="101">
      <c r="A101" s="111" t="n">
        <v>97</v>
      </c>
      <c r="B101" s="111" t="inlineStr">
        <is>
          <t>Unranked</t>
        </is>
      </c>
      <c r="C101" s="111" t="inlineStr">
        <is>
          <t>Kj Endeavors, Llc</t>
        </is>
      </c>
      <c r="D101" s="111" t="n"/>
      <c r="E101" s="111" t="n"/>
      <c r="F101" s="111" t="n"/>
      <c r="G101" s="111" t="n"/>
      <c r="H101" s="111" t="n"/>
      <c r="I101" s="111" t="n"/>
      <c r="J101" s="111" t="n"/>
      <c r="K101" s="111" t="n"/>
      <c r="L101" s="111" t="n"/>
      <c r="M101" s="111" t="n"/>
      <c r="N101" s="111" t="n"/>
      <c r="O101" s="111" t="n"/>
      <c r="P101" s="111" t="n"/>
      <c r="Q101" s="111" t="n"/>
      <c r="R101" s="111" t="n"/>
      <c r="S101" s="111" t="n"/>
      <c r="T101" s="111" t="n"/>
      <c r="U101" s="111" t="n"/>
      <c r="V101" s="111" t="inlineStr">
        <is>
          <t>User-supplied Worldpay ABM target list; requires qualification</t>
        </is>
      </c>
      <c r="W101" t="inlineStr">
        <is>
          <t>US DIRECT</t>
        </is>
      </c>
      <c r="X101" t="inlineStr">
        <is>
          <t>US</t>
        </is>
      </c>
      <c r="Y101" t="inlineStr">
        <is>
          <t>Pizza</t>
        </is>
      </c>
      <c r="Z101" t="inlineStr">
        <is>
          <t>No</t>
        </is>
      </c>
      <c r="AG101" t="inlineStr">
        <is>
          <t>ABM WP Target Account List.xlsx — ABM Target Accounts</t>
        </is>
      </c>
    </row>
    <row r="102">
      <c r="A102" s="111" t="n">
        <v>98</v>
      </c>
      <c r="B102" s="111" t="inlineStr">
        <is>
          <t>Unranked</t>
        </is>
      </c>
      <c r="C102" s="111" t="inlineStr">
        <is>
          <t>Langhorne, Pa #727, Llc</t>
        </is>
      </c>
      <c r="D102" s="111" t="n"/>
      <c r="E102" s="111" t="n"/>
      <c r="F102" s="111" t="n"/>
      <c r="G102" s="111" t="n"/>
      <c r="H102" s="111" t="n"/>
      <c r="I102" s="111" t="n"/>
      <c r="J102" s="111" t="n"/>
      <c r="K102" s="111" t="n"/>
      <c r="L102" s="111" t="n"/>
      <c r="M102" s="111" t="n"/>
      <c r="N102" s="111" t="n"/>
      <c r="O102" s="111" t="n"/>
      <c r="P102" s="111" t="n"/>
      <c r="Q102" s="111" t="n"/>
      <c r="R102" s="111" t="n"/>
      <c r="S102" s="111" t="n"/>
      <c r="T102" s="111" t="n"/>
      <c r="U102" s="111" t="n"/>
      <c r="V102" s="111" t="inlineStr">
        <is>
          <t>User-supplied Worldpay ABM target list; requires qualification</t>
        </is>
      </c>
      <c r="W102" t="inlineStr">
        <is>
          <t>US DIRECT</t>
        </is>
      </c>
      <c r="X102" t="inlineStr">
        <is>
          <t>US</t>
        </is>
      </c>
      <c r="Y102" t="inlineStr">
        <is>
          <t>Sandwich</t>
        </is>
      </c>
      <c r="Z102" t="inlineStr">
        <is>
          <t>No</t>
        </is>
      </c>
      <c r="AG102" t="inlineStr">
        <is>
          <t>ABM WP Target Account List.xlsx — ABM Target Accounts</t>
        </is>
      </c>
    </row>
    <row r="103">
      <c r="A103" s="111" t="n">
        <v>99</v>
      </c>
      <c r="B103" s="111" t="inlineStr">
        <is>
          <t>Unranked</t>
        </is>
      </c>
      <c r="C103" s="111" t="inlineStr">
        <is>
          <t>Logan Dining Llc</t>
        </is>
      </c>
      <c r="D103" s="111" t="n"/>
      <c r="E103" s="111" t="n"/>
      <c r="F103" s="111" t="n"/>
      <c r="G103" s="111" t="n"/>
      <c r="H103" s="111" t="n"/>
      <c r="I103" s="111" t="n"/>
      <c r="J103" s="111" t="n"/>
      <c r="K103" s="111" t="n"/>
      <c r="L103" s="111" t="n"/>
      <c r="M103" s="111" t="n"/>
      <c r="N103" s="111" t="n"/>
      <c r="O103" s="111" t="n"/>
      <c r="P103" s="111" t="n"/>
      <c r="Q103" s="111" t="n"/>
      <c r="R103" s="111" t="n"/>
      <c r="S103" s="111" t="n"/>
      <c r="T103" s="111" t="n"/>
      <c r="U103" s="111" t="n"/>
      <c r="V103" s="111" t="inlineStr">
        <is>
          <t>User-supplied Worldpay ABM target list; requires qualification</t>
        </is>
      </c>
      <c r="W103" t="inlineStr">
        <is>
          <t>US DIRECT</t>
        </is>
      </c>
      <c r="X103" t="inlineStr">
        <is>
          <t>US</t>
        </is>
      </c>
      <c r="Y103" t="inlineStr">
        <is>
          <t>Full-Service Dining</t>
        </is>
      </c>
      <c r="Z103" t="inlineStr">
        <is>
          <t>No</t>
        </is>
      </c>
      <c r="AG103" t="inlineStr">
        <is>
          <t>ABM WP Target Account List.xlsx — ABM Target Accounts</t>
        </is>
      </c>
    </row>
    <row r="104">
      <c r="A104" s="111" t="n">
        <v>100</v>
      </c>
      <c r="B104" s="111" t="inlineStr">
        <is>
          <t>Unranked</t>
        </is>
      </c>
      <c r="C104" s="111" t="inlineStr">
        <is>
          <t>Marlton Restaurant, Llc</t>
        </is>
      </c>
      <c r="D104" s="111" t="n"/>
      <c r="E104" s="111" t="n"/>
      <c r="F104" s="111" t="n"/>
      <c r="G104" s="111" t="n"/>
      <c r="H104" s="111" t="n"/>
      <c r="I104" s="111" t="n"/>
      <c r="J104" s="111" t="n"/>
      <c r="K104" s="111" t="n"/>
      <c r="L104" s="111" t="n"/>
      <c r="M104" s="111" t="n"/>
      <c r="N104" s="111" t="n"/>
      <c r="O104" s="111" t="n"/>
      <c r="P104" s="111" t="n"/>
      <c r="Q104" s="111" t="n"/>
      <c r="R104" s="111" t="n"/>
      <c r="S104" s="111" t="n"/>
      <c r="T104" s="111" t="n"/>
      <c r="U104" s="111" t="n"/>
      <c r="V104" s="111" t="inlineStr">
        <is>
          <t>User-supplied Worldpay ABM target list; requires qualification</t>
        </is>
      </c>
      <c r="W104" t="inlineStr">
        <is>
          <t>US DIRECT</t>
        </is>
      </c>
      <c r="X104" t="inlineStr">
        <is>
          <t>US</t>
        </is>
      </c>
      <c r="Y104" t="inlineStr">
        <is>
          <t>Full-Service Dining</t>
        </is>
      </c>
      <c r="Z104" t="inlineStr">
        <is>
          <t>No</t>
        </is>
      </c>
      <c r="AG104" t="inlineStr">
        <is>
          <t>ABM WP Target Account List.xlsx — ABM Target Accounts</t>
        </is>
      </c>
    </row>
    <row r="105">
      <c r="A105" s="111" t="n">
        <v>101</v>
      </c>
      <c r="B105" s="111" t="inlineStr">
        <is>
          <t>Unranked</t>
        </is>
      </c>
      <c r="C105" s="111" t="inlineStr">
        <is>
          <t>Michael Nelson Enterprise</t>
        </is>
      </c>
      <c r="D105" s="111" t="n"/>
      <c r="E105" s="111" t="n"/>
      <c r="F105" s="111" t="n"/>
      <c r="G105" s="111" t="n"/>
      <c r="H105" s="111" t="n"/>
      <c r="I105" s="111" t="n"/>
      <c r="J105" s="111" t="n"/>
      <c r="K105" s="111" t="n"/>
      <c r="L105" s="111" t="n"/>
      <c r="M105" s="111" t="n"/>
      <c r="N105" s="111" t="n"/>
      <c r="O105" s="111" t="n"/>
      <c r="P105" s="111" t="n"/>
      <c r="Q105" s="111" t="n"/>
      <c r="R105" s="111" t="n"/>
      <c r="S105" s="111" t="n"/>
      <c r="T105" s="111" t="n"/>
      <c r="U105" s="111" t="n"/>
      <c r="V105" s="111" t="inlineStr">
        <is>
          <t>User-supplied Worldpay ABM target list; requires qualification</t>
        </is>
      </c>
      <c r="W105" t="inlineStr">
        <is>
          <t>US DIRECT</t>
        </is>
      </c>
      <c r="X105" t="inlineStr">
        <is>
          <t>US</t>
        </is>
      </c>
      <c r="Y105" t="inlineStr">
        <is>
          <t>Pizza</t>
        </is>
      </c>
      <c r="Z105" t="inlineStr">
        <is>
          <t>No</t>
        </is>
      </c>
      <c r="AG105" t="inlineStr">
        <is>
          <t>ABM WP Target Account List.xlsx — ABM Target Accounts</t>
        </is>
      </c>
    </row>
    <row r="106">
      <c r="A106" s="111" t="n">
        <v>102</v>
      </c>
      <c r="B106" s="111" t="inlineStr">
        <is>
          <t>Unranked</t>
        </is>
      </c>
      <c r="C106" s="111" t="inlineStr">
        <is>
          <t>Ms Roosevelt Field, Llc</t>
        </is>
      </c>
      <c r="D106" s="111" t="n"/>
      <c r="E106" s="111" t="n"/>
      <c r="F106" s="111" t="n"/>
      <c r="G106" s="111" t="n"/>
      <c r="H106" s="111" t="n"/>
      <c r="I106" s="111" t="n"/>
      <c r="J106" s="111" t="n"/>
      <c r="K106" s="111" t="n"/>
      <c r="L106" s="111" t="n"/>
      <c r="M106" s="111" t="n"/>
      <c r="N106" s="111" t="n"/>
      <c r="O106" s="111" t="n"/>
      <c r="P106" s="111" t="n"/>
      <c r="Q106" s="111" t="n"/>
      <c r="R106" s="111" t="n"/>
      <c r="S106" s="111" t="n"/>
      <c r="T106" s="111" t="n"/>
      <c r="U106" s="111" t="n"/>
      <c r="V106" s="111" t="inlineStr">
        <is>
          <t>User-supplied Worldpay ABM target list; requires qualification</t>
        </is>
      </c>
      <c r="W106" t="inlineStr">
        <is>
          <t>US DIRECT</t>
        </is>
      </c>
      <c r="X106" t="inlineStr">
        <is>
          <t>US</t>
        </is>
      </c>
      <c r="Y106" t="inlineStr">
        <is>
          <t>Shopping Mall</t>
        </is>
      </c>
      <c r="Z106" t="inlineStr">
        <is>
          <t>No</t>
        </is>
      </c>
      <c r="AG106" t="inlineStr">
        <is>
          <t>ABM WP Target Account List.xlsx — ABM Target Accounts</t>
        </is>
      </c>
    </row>
    <row r="107">
      <c r="A107" s="111" t="n">
        <v>103</v>
      </c>
      <c r="B107" s="111" t="inlineStr">
        <is>
          <t>Unranked</t>
        </is>
      </c>
      <c r="C107" s="111" t="inlineStr">
        <is>
          <t>Off The Wagon</t>
        </is>
      </c>
      <c r="D107" s="111" t="n"/>
      <c r="E107" s="111" t="n"/>
      <c r="F107" s="111" t="n"/>
      <c r="G107" s="111" t="n"/>
      <c r="H107" s="111" t="n"/>
      <c r="I107" s="111" t="n"/>
      <c r="J107" s="111" t="n"/>
      <c r="K107" s="111" t="n"/>
      <c r="L107" s="111" t="n"/>
      <c r="M107" s="111" t="n"/>
      <c r="N107" s="111" t="n"/>
      <c r="O107" s="111" t="n"/>
      <c r="P107" s="111" t="n"/>
      <c r="Q107" s="111" t="n"/>
      <c r="R107" s="111" t="n"/>
      <c r="S107" s="111" t="n"/>
      <c r="T107" s="111" t="n"/>
      <c r="U107" s="111" t="n"/>
      <c r="V107" s="111" t="inlineStr">
        <is>
          <t>User-supplied Worldpay ABM target list; requires qualification</t>
        </is>
      </c>
      <c r="W107" t="inlineStr">
        <is>
          <t>US DIRECT</t>
        </is>
      </c>
      <c r="X107" t="inlineStr">
        <is>
          <t>US</t>
        </is>
      </c>
      <c r="Y107" t="inlineStr">
        <is>
          <t>Full-Service Dining</t>
        </is>
      </c>
      <c r="Z107" t="inlineStr">
        <is>
          <t>No</t>
        </is>
      </c>
      <c r="AG107" t="inlineStr">
        <is>
          <t>ABM WP Target Account List.xlsx — ABM Target Accounts</t>
        </is>
      </c>
    </row>
    <row r="108">
      <c r="A108" s="111" t="n">
        <v>104</v>
      </c>
      <c r="B108" s="111" t="inlineStr">
        <is>
          <t>Unranked</t>
        </is>
      </c>
      <c r="C108" s="111" t="inlineStr">
        <is>
          <t>Oyster House</t>
        </is>
      </c>
      <c r="D108" s="111" t="n"/>
      <c r="E108" s="111" t="n"/>
      <c r="F108" s="111" t="n"/>
      <c r="G108" s="111" t="n"/>
      <c r="H108" s="111" t="n"/>
      <c r="I108" s="111" t="n"/>
      <c r="J108" s="111" t="n"/>
      <c r="K108" s="111" t="n"/>
      <c r="L108" s="111" t="n"/>
      <c r="M108" s="111" t="n"/>
      <c r="N108" s="111" t="n"/>
      <c r="O108" s="111" t="n"/>
      <c r="P108" s="111" t="n"/>
      <c r="Q108" s="111" t="n"/>
      <c r="R108" s="111" t="n"/>
      <c r="S108" s="111" t="n"/>
      <c r="T108" s="111" t="n"/>
      <c r="U108" s="111" t="n"/>
      <c r="V108" s="111" t="inlineStr">
        <is>
          <t>User-supplied Worldpay ABM target list; requires qualification</t>
        </is>
      </c>
      <c r="W108" t="inlineStr">
        <is>
          <t>US DIRECT</t>
        </is>
      </c>
      <c r="X108" t="inlineStr">
        <is>
          <t>US</t>
        </is>
      </c>
      <c r="Y108" t="inlineStr">
        <is>
          <t>Full-Service Dining</t>
        </is>
      </c>
      <c r="Z108" t="inlineStr">
        <is>
          <t>No</t>
        </is>
      </c>
      <c r="AG108" t="inlineStr">
        <is>
          <t>ABM WP Target Account List.xlsx — ABM Target Accounts</t>
        </is>
      </c>
    </row>
    <row r="109">
      <c r="A109" s="111" t="n">
        <v>105</v>
      </c>
      <c r="B109" s="111" t="inlineStr">
        <is>
          <t>Unranked</t>
        </is>
      </c>
      <c r="C109" s="111" t="inlineStr">
        <is>
          <t>Robek S #289</t>
        </is>
      </c>
      <c r="D109" s="111" t="n"/>
      <c r="E109" s="111" t="n"/>
      <c r="F109" s="111" t="n"/>
      <c r="G109" s="111" t="n"/>
      <c r="H109" s="111" t="n"/>
      <c r="I109" s="111" t="n"/>
      <c r="J109" s="111" t="n"/>
      <c r="K109" s="111" t="n"/>
      <c r="L109" s="111" t="n"/>
      <c r="M109" s="111" t="n"/>
      <c r="N109" s="111" t="n"/>
      <c r="O109" s="111" t="n"/>
      <c r="P109" s="111" t="n"/>
      <c r="Q109" s="111" t="n"/>
      <c r="R109" s="111" t="n"/>
      <c r="S109" s="111" t="n"/>
      <c r="T109" s="111" t="n"/>
      <c r="U109" s="111" t="n"/>
      <c r="V109" s="111" t="inlineStr">
        <is>
          <t>User-supplied Worldpay ABM target list; requires qualification</t>
        </is>
      </c>
      <c r="W109" t="inlineStr">
        <is>
          <t>US DIRECT</t>
        </is>
      </c>
      <c r="X109" t="inlineStr">
        <is>
          <t>US</t>
        </is>
      </c>
      <c r="Y109" t="inlineStr">
        <is>
          <t>Dessert</t>
        </is>
      </c>
      <c r="Z109" t="inlineStr">
        <is>
          <t>No</t>
        </is>
      </c>
      <c r="AG109" t="inlineStr">
        <is>
          <t>ABM WP Target Account List.xlsx — ABM Target Accounts</t>
        </is>
      </c>
    </row>
    <row r="110">
      <c r="A110" s="111" t="n">
        <v>106</v>
      </c>
      <c r="B110" s="111" t="inlineStr">
        <is>
          <t>Unranked</t>
        </is>
      </c>
      <c r="C110" s="111" t="inlineStr">
        <is>
          <t>Sc 10024, Llc</t>
        </is>
      </c>
      <c r="D110" s="111" t="n"/>
      <c r="E110" s="111" t="n"/>
      <c r="F110" s="111" t="n"/>
      <c r="G110" s="111" t="n"/>
      <c r="H110" s="111" t="n"/>
      <c r="I110" s="111" t="n"/>
      <c r="J110" s="111" t="n"/>
      <c r="K110" s="111" t="n"/>
      <c r="L110" s="111" t="n"/>
      <c r="M110" s="111" t="n"/>
      <c r="N110" s="111" t="n"/>
      <c r="O110" s="111" t="n"/>
      <c r="P110" s="111" t="n"/>
      <c r="Q110" s="111" t="n"/>
      <c r="R110" s="111" t="n"/>
      <c r="S110" s="111" t="n"/>
      <c r="T110" s="111" t="n"/>
      <c r="U110" s="111" t="n"/>
      <c r="V110" s="111" t="inlineStr">
        <is>
          <t>User-supplied Worldpay ABM target list; requires qualification</t>
        </is>
      </c>
      <c r="W110" t="inlineStr">
        <is>
          <t>US DIRECT</t>
        </is>
      </c>
      <c r="X110" t="inlineStr">
        <is>
          <t>US</t>
        </is>
      </c>
      <c r="Y110" t="inlineStr">
        <is>
          <t>Sandwich</t>
        </is>
      </c>
      <c r="Z110" t="inlineStr">
        <is>
          <t>No</t>
        </is>
      </c>
      <c r="AG110" t="inlineStr">
        <is>
          <t>ABM WP Target Account List.xlsx — ABM Target Accounts</t>
        </is>
      </c>
    </row>
    <row r="111">
      <c r="A111" s="111" t="n">
        <v>107</v>
      </c>
      <c r="B111" s="111" t="inlineStr">
        <is>
          <t>Unranked</t>
        </is>
      </c>
      <c r="C111" s="111" t="inlineStr">
        <is>
          <t>Subway Tryan</t>
        </is>
      </c>
      <c r="D111" s="111" t="n"/>
      <c r="E111" s="111" t="n"/>
      <c r="F111" s="111" t="n"/>
      <c r="G111" s="111" t="n"/>
      <c r="H111" s="111" t="n"/>
      <c r="I111" s="111" t="n"/>
      <c r="J111" s="111" t="n"/>
      <c r="K111" s="111" t="n"/>
      <c r="L111" s="111" t="n"/>
      <c r="M111" s="111" t="n"/>
      <c r="N111" s="111" t="n"/>
      <c r="O111" s="111" t="n"/>
      <c r="P111" s="111" t="n"/>
      <c r="Q111" s="111" t="n"/>
      <c r="R111" s="111" t="n"/>
      <c r="S111" s="111" t="n"/>
      <c r="T111" s="111" t="n"/>
      <c r="U111" s="111" t="n"/>
      <c r="V111" s="111" t="inlineStr">
        <is>
          <t>User-supplied Worldpay ABM target list; requires qualification</t>
        </is>
      </c>
      <c r="W111" t="inlineStr">
        <is>
          <t>US DIRECT</t>
        </is>
      </c>
      <c r="X111" t="inlineStr">
        <is>
          <t>US</t>
        </is>
      </c>
      <c r="Y111" t="inlineStr">
        <is>
          <t>Sandwich</t>
        </is>
      </c>
      <c r="Z111" t="inlineStr">
        <is>
          <t>No</t>
        </is>
      </c>
      <c r="AG111" t="inlineStr">
        <is>
          <t>ABM WP Target Account List.xlsx — ABM Target Accounts</t>
        </is>
      </c>
    </row>
    <row r="112">
      <c r="A112" s="111" t="n">
        <v>108</v>
      </c>
      <c r="B112" s="111" t="inlineStr">
        <is>
          <t>Unranked</t>
        </is>
      </c>
      <c r="C112" s="111" t="inlineStr">
        <is>
          <t>Ten Star Enterprises #9</t>
        </is>
      </c>
      <c r="D112" s="111" t="n"/>
      <c r="E112" s="111" t="n"/>
      <c r="F112" s="111" t="n"/>
      <c r="G112" s="111" t="n"/>
      <c r="H112" s="111" t="n"/>
      <c r="I112" s="111" t="n"/>
      <c r="J112" s="111" t="n"/>
      <c r="K112" s="111" t="n"/>
      <c r="L112" s="111" t="n"/>
      <c r="M112" s="111" t="n"/>
      <c r="N112" s="111" t="n"/>
      <c r="O112" s="111" t="n"/>
      <c r="P112" s="111" t="n"/>
      <c r="Q112" s="111" t="n"/>
      <c r="R112" s="111" t="n"/>
      <c r="S112" s="111" t="n"/>
      <c r="T112" s="111" t="n"/>
      <c r="U112" s="111" t="n"/>
      <c r="V112" s="111" t="inlineStr">
        <is>
          <t>User-supplied Worldpay ABM target list; requires qualification</t>
        </is>
      </c>
      <c r="W112" t="inlineStr">
        <is>
          <t>US DIRECT</t>
        </is>
      </c>
      <c r="X112" t="inlineStr">
        <is>
          <t>US</t>
        </is>
      </c>
      <c r="Y112" t="inlineStr">
        <is>
          <t>Sandwich</t>
        </is>
      </c>
      <c r="Z112" t="inlineStr">
        <is>
          <t>No</t>
        </is>
      </c>
      <c r="AG112" t="inlineStr">
        <is>
          <t>ABM WP Target Account List.xlsx — ABM Target Accounts</t>
        </is>
      </c>
    </row>
    <row r="113">
      <c r="A113" s="111" t="n">
        <v>109</v>
      </c>
      <c r="B113" s="111" t="inlineStr">
        <is>
          <t>Unranked</t>
        </is>
      </c>
      <c r="C113" s="111" t="inlineStr">
        <is>
          <t>The Gin Mill</t>
        </is>
      </c>
      <c r="D113" s="111" t="n"/>
      <c r="E113" s="111" t="n"/>
      <c r="F113" s="111" t="n"/>
      <c r="G113" s="111" t="n"/>
      <c r="H113" s="111" t="n"/>
      <c r="I113" s="111" t="n"/>
      <c r="J113" s="111" t="n"/>
      <c r="K113" s="111" t="n"/>
      <c r="L113" s="111" t="n"/>
      <c r="M113" s="111" t="n"/>
      <c r="N113" s="111" t="n"/>
      <c r="O113" s="111" t="n"/>
      <c r="P113" s="111" t="n"/>
      <c r="Q113" s="111" t="n"/>
      <c r="R113" s="111" t="n"/>
      <c r="S113" s="111" t="n"/>
      <c r="T113" s="111" t="n"/>
      <c r="U113" s="111" t="n"/>
      <c r="V113" s="111" t="inlineStr">
        <is>
          <t>User-supplied Worldpay ABM target list; requires qualification</t>
        </is>
      </c>
      <c r="W113" t="inlineStr">
        <is>
          <t>US DIRECT</t>
        </is>
      </c>
      <c r="X113" t="inlineStr">
        <is>
          <t>US</t>
        </is>
      </c>
      <c r="Y113" t="inlineStr">
        <is>
          <t>Full-Service Dining</t>
        </is>
      </c>
      <c r="Z113" t="inlineStr">
        <is>
          <t>No</t>
        </is>
      </c>
      <c r="AG113" t="inlineStr">
        <is>
          <t>ABM WP Target Account List.xlsx — ABM Target Accounts</t>
        </is>
      </c>
    </row>
    <row r="114">
      <c r="A114" s="111" t="n">
        <v>110</v>
      </c>
      <c r="B114" s="111" t="inlineStr">
        <is>
          <t>Unranked</t>
        </is>
      </c>
      <c r="C114" s="111" t="inlineStr">
        <is>
          <t>The Stumble Inn</t>
        </is>
      </c>
      <c r="D114" s="111" t="n"/>
      <c r="E114" s="111" t="n"/>
      <c r="F114" s="111" t="n"/>
      <c r="G114" s="111" t="n"/>
      <c r="H114" s="111" t="n"/>
      <c r="I114" s="111" t="n"/>
      <c r="J114" s="111" t="n"/>
      <c r="K114" s="111" t="n"/>
      <c r="L114" s="111" t="n"/>
      <c r="M114" s="111" t="n"/>
      <c r="N114" s="111" t="n"/>
      <c r="O114" s="111" t="n"/>
      <c r="P114" s="111" t="n"/>
      <c r="Q114" s="111" t="n"/>
      <c r="R114" s="111" t="n"/>
      <c r="S114" s="111" t="n"/>
      <c r="T114" s="111" t="n"/>
      <c r="U114" s="111" t="n"/>
      <c r="V114" s="111" t="inlineStr">
        <is>
          <t>User-supplied Worldpay ABM target list; requires qualification</t>
        </is>
      </c>
      <c r="W114" t="inlineStr">
        <is>
          <t>US DIRECT</t>
        </is>
      </c>
      <c r="X114" t="inlineStr">
        <is>
          <t>US</t>
        </is>
      </c>
      <c r="Y114" t="inlineStr">
        <is>
          <t>Full-Service Dining</t>
        </is>
      </c>
      <c r="Z114" t="inlineStr">
        <is>
          <t>No</t>
        </is>
      </c>
      <c r="AG114" t="inlineStr">
        <is>
          <t>ABM WP Target Account List.xlsx — ABM Target Accounts</t>
        </is>
      </c>
    </row>
    <row r="115">
      <c r="A115" s="111" t="n">
        <v>111</v>
      </c>
      <c r="B115" s="111" t="inlineStr">
        <is>
          <t>Unranked</t>
        </is>
      </c>
      <c r="C115" s="111" t="inlineStr">
        <is>
          <t>Avi Foodsystems</t>
        </is>
      </c>
      <c r="D115" s="111" t="n"/>
      <c r="E115" s="111" t="n"/>
      <c r="F115" s="111" t="n"/>
      <c r="G115" s="111" t="n"/>
      <c r="H115" s="111" t="n"/>
      <c r="I115" s="111" t="n"/>
      <c r="J115" s="111" t="n"/>
      <c r="K115" s="111" t="n"/>
      <c r="L115" s="111" t="n"/>
      <c r="M115" s="111" t="n"/>
      <c r="N115" s="111" t="n"/>
      <c r="O115" s="111" t="n"/>
      <c r="P115" s="111" t="n"/>
      <c r="Q115" s="111" t="n"/>
      <c r="R115" s="111" t="n"/>
      <c r="S115" s="111" t="n"/>
      <c r="T115" s="111" t="n"/>
      <c r="U115" s="111" t="n"/>
      <c r="V115" s="111" t="inlineStr">
        <is>
          <t>User-supplied Worldpay ABM target list; requires qualification</t>
        </is>
      </c>
      <c r="W115" t="inlineStr">
        <is>
          <t>US DIRECT</t>
        </is>
      </c>
      <c r="X115" t="inlineStr">
        <is>
          <t>US</t>
        </is>
      </c>
      <c r="Y115" t="inlineStr">
        <is>
          <t>Foodservice</t>
        </is>
      </c>
      <c r="Z115" t="inlineStr">
        <is>
          <t>Yes</t>
        </is>
      </c>
      <c r="AG115" t="inlineStr">
        <is>
          <t>ABM WP Target Account List.xlsx — ABM Target Accounts</t>
        </is>
      </c>
    </row>
    <row r="116">
      <c r="A116" s="111" t="n">
        <v>112</v>
      </c>
      <c r="B116" s="111" t="inlineStr">
        <is>
          <t>Unranked</t>
        </is>
      </c>
      <c r="C116" s="111" t="inlineStr">
        <is>
          <t>D&amp;C Foods Inc #5</t>
        </is>
      </c>
      <c r="D116" s="111" t="n"/>
      <c r="E116" s="111" t="n"/>
      <c r="F116" s="111" t="n"/>
      <c r="G116" s="111" t="n"/>
      <c r="H116" s="111" t="n"/>
      <c r="I116" s="111" t="n"/>
      <c r="J116" s="111" t="n"/>
      <c r="K116" s="111" t="n"/>
      <c r="L116" s="111" t="n"/>
      <c r="M116" s="111" t="n"/>
      <c r="N116" s="111" t="n"/>
      <c r="O116" s="111" t="n"/>
      <c r="P116" s="111" t="n"/>
      <c r="Q116" s="111" t="n"/>
      <c r="R116" s="111" t="n"/>
      <c r="S116" s="111" t="n"/>
      <c r="T116" s="111" t="n"/>
      <c r="U116" s="111" t="n"/>
      <c r="V116" s="111" t="inlineStr">
        <is>
          <t>User-supplied Worldpay ABM target list; requires qualification</t>
        </is>
      </c>
      <c r="W116" t="inlineStr">
        <is>
          <t>US DIRECT</t>
        </is>
      </c>
      <c r="X116" t="inlineStr">
        <is>
          <t>US</t>
        </is>
      </c>
      <c r="Y116" t="inlineStr">
        <is>
          <t>Pizza</t>
        </is>
      </c>
      <c r="Z116" t="inlineStr">
        <is>
          <t>Yes</t>
        </is>
      </c>
      <c r="AG116" t="inlineStr">
        <is>
          <t>ABM WP Target Account List.xlsx — ABM Target Accounts</t>
        </is>
      </c>
    </row>
    <row r="117">
      <c r="A117" s="111" t="n">
        <v>113</v>
      </c>
      <c r="B117" s="111" t="inlineStr">
        <is>
          <t>Unranked</t>
        </is>
      </c>
      <c r="C117" s="111" t="inlineStr">
        <is>
          <t>Lunchdrop</t>
        </is>
      </c>
      <c r="D117" s="111" t="n"/>
      <c r="E117" s="111" t="n"/>
      <c r="F117" s="111" t="n"/>
      <c r="G117" s="111" t="n"/>
      <c r="H117" s="111" t="n"/>
      <c r="I117" s="111" t="n"/>
      <c r="J117" s="111" t="n"/>
      <c r="K117" s="111" t="n"/>
      <c r="L117" s="111" t="n"/>
      <c r="M117" s="111" t="n"/>
      <c r="N117" s="111" t="n"/>
      <c r="O117" s="111" t="n"/>
      <c r="P117" s="111" t="n"/>
      <c r="Q117" s="111" t="n"/>
      <c r="R117" s="111" t="n"/>
      <c r="S117" s="111" t="n"/>
      <c r="T117" s="111" t="n"/>
      <c r="U117" s="111" t="n"/>
      <c r="V117" s="111" t="inlineStr">
        <is>
          <t>User-supplied Worldpay ABM target list; requires qualification</t>
        </is>
      </c>
      <c r="W117" t="inlineStr">
        <is>
          <t>US</t>
        </is>
      </c>
      <c r="X117" t="inlineStr">
        <is>
          <t>US</t>
        </is>
      </c>
      <c r="Y117" t="inlineStr">
        <is>
          <t>Sandwich</t>
        </is>
      </c>
      <c r="Z117" t="inlineStr">
        <is>
          <t>Yes</t>
        </is>
      </c>
      <c r="AG117" t="inlineStr">
        <is>
          <t>ABM WP Target Account List.xlsx — ABM Target Accounts</t>
        </is>
      </c>
    </row>
    <row r="118">
      <c r="A118" s="111" t="n">
        <v>114</v>
      </c>
      <c r="B118" s="111" t="inlineStr">
        <is>
          <t>Unranked</t>
        </is>
      </c>
      <c r="C118" s="111" t="inlineStr">
        <is>
          <t>Smashburger #1567</t>
        </is>
      </c>
      <c r="D118" s="111" t="n"/>
      <c r="E118" s="111" t="n"/>
      <c r="F118" s="111" t="n"/>
      <c r="G118" s="111" t="n"/>
      <c r="H118" s="111" t="n"/>
      <c r="I118" s="111" t="n"/>
      <c r="J118" s="111" t="n"/>
      <c r="K118" s="111" t="n"/>
      <c r="L118" s="111" t="n"/>
      <c r="M118" s="111" t="n"/>
      <c r="N118" s="111" t="n"/>
      <c r="O118" s="111" t="n"/>
      <c r="P118" s="111" t="n"/>
      <c r="Q118" s="111" t="n"/>
      <c r="R118" s="111" t="n"/>
      <c r="S118" s="111" t="n"/>
      <c r="T118" s="111" t="n"/>
      <c r="U118" s="111" t="n"/>
      <c r="V118" s="111" t="inlineStr">
        <is>
          <t>User-supplied Worldpay ABM target list; requires qualification</t>
        </is>
      </c>
      <c r="W118" t="inlineStr">
        <is>
          <t>US DIRECT</t>
        </is>
      </c>
      <c r="X118" t="inlineStr">
        <is>
          <t>US</t>
        </is>
      </c>
      <c r="Y118" t="inlineStr">
        <is>
          <t>Burger</t>
        </is>
      </c>
      <c r="Z118" t="inlineStr">
        <is>
          <t>Yes</t>
        </is>
      </c>
      <c r="AG118" t="inlineStr">
        <is>
          <t>ABM WP Target Account List.xlsx — ABM Target Accounts</t>
        </is>
      </c>
    </row>
    <row r="119">
      <c r="A119" s="111" t="n">
        <v>115</v>
      </c>
      <c r="B119" s="111" t="inlineStr">
        <is>
          <t>Unranked</t>
        </is>
      </c>
      <c r="C119" s="111" t="inlineStr">
        <is>
          <t>Bun Two Llc / Cinnabon</t>
        </is>
      </c>
      <c r="D119" s="111" t="n"/>
      <c r="E119" s="111" t="n"/>
      <c r="F119" s="111" t="n"/>
      <c r="G119" s="111" t="n"/>
      <c r="H119" s="111" t="n"/>
      <c r="I119" s="111" t="n"/>
      <c r="J119" s="111" t="n"/>
      <c r="K119" s="111" t="n"/>
      <c r="L119" s="111" t="n"/>
      <c r="M119" s="111" t="n"/>
      <c r="N119" s="111" t="n"/>
      <c r="O119" s="111" t="n"/>
      <c r="P119" s="111" t="n"/>
      <c r="Q119" s="111" t="n"/>
      <c r="R119" s="111" t="n"/>
      <c r="S119" s="111" t="n"/>
      <c r="T119" s="111" t="n"/>
      <c r="U119" s="111" t="n"/>
      <c r="V119" s="111" t="inlineStr">
        <is>
          <t>User-supplied Worldpay ABM target list; requires qualification</t>
        </is>
      </c>
      <c r="W119" t="inlineStr">
        <is>
          <t>US DIRECT</t>
        </is>
      </c>
      <c r="X119" t="inlineStr">
        <is>
          <t>US</t>
        </is>
      </c>
      <c r="Y119" t="inlineStr">
        <is>
          <t>Dessert</t>
        </is>
      </c>
      <c r="Z119" t="inlineStr">
        <is>
          <t>No</t>
        </is>
      </c>
      <c r="AG119" t="inlineStr">
        <is>
          <t>ABM WP Target Account List.xlsx — ABM Target Accounts</t>
        </is>
      </c>
    </row>
  </sheetData>
  <mergeCells count="2">
    <mergeCell ref="A2:V2"/>
    <mergeCell ref="A1:V1"/>
  </mergeCells>
  <conditionalFormatting sqref="B5:B32">
    <cfRule type="containsText" priority="2" operator="containsText" dxfId="4" text="P1"/>
    <cfRule type="containsText" priority="3" operator="containsText" dxfId="3" text="P2"/>
  </conditionalFormatting>
  <conditionalFormatting sqref="G5:G32">
    <cfRule type="dataBar" priority="1">
      <dataBar>
        <cfvo type="min"/>
        <cfvo type="max"/>
        <color rgb="FF1F6E8C"/>
      </dataBar>
    </cfRule>
    <cfRule type="dataBar" priority="5">
      <dataBar>
        <cfvo type="min"/>
        <cfvo type="max"/>
        <color rgb="FF1F6E8C"/>
      </dataBar>
    </cfRule>
    <cfRule type="dataBar" priority="6">
      <dataBar>
        <cfvo type="min"/>
        <cfvo type="max"/>
        <color rgb="FF1F6E8C"/>
      </dataBar>
    </cfRule>
    <cfRule type="dataBar" priority="7">
      <dataBar>
        <cfvo type="min"/>
        <cfvo type="max"/>
        <color rgb="FF1F6E8C"/>
      </dataBar>
    </cfRule>
  </conditionalFormatting>
  <conditionalFormatting sqref="O5:O32">
    <cfRule type="containsText" priority="4" operator="containsText" dxfId="1" text="decision"/>
  </conditionalFormatting>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R36"/>
  <sheetViews>
    <sheetView showGridLines="0" workbookViewId="0">
      <selection activeCell="A1" sqref="A1"/>
    </sheetView>
  </sheetViews>
  <sheetFormatPr baseColWidth="10" defaultColWidth="8.83203125" defaultRowHeight="14"/>
  <cols>
    <col width="30" customWidth="1" style="59" min="1" max="1"/>
    <col width="18" customWidth="1" style="59" min="2" max="2"/>
    <col width="29" customWidth="1" style="59" min="3" max="3"/>
    <col width="27" customWidth="1" style="59" min="4" max="4"/>
    <col width="30" customWidth="1" style="59" min="5" max="5"/>
    <col width="27" customWidth="1" style="59" min="6" max="6"/>
    <col width="34" customWidth="1" style="59" min="7" max="7"/>
    <col width="24" customWidth="1" style="59" min="8" max="11"/>
    <col width="25" customWidth="1" style="59" min="12" max="12"/>
    <col width="24" customWidth="1" style="59" min="13" max="13"/>
    <col width="12" customWidth="1" style="59" min="14" max="14"/>
    <col width="13" customWidth="1" style="59" min="15" max="15"/>
    <col width="12" customWidth="1" style="59" min="16" max="16"/>
    <col width="28" customWidth="1" style="59" min="17" max="17"/>
    <col width="46" customWidth="1" style="59" min="18" max="18"/>
  </cols>
  <sheetData>
    <row r="1" ht="32" customHeight="1" s="59">
      <c r="A1" s="63" t="inlineStr">
        <is>
          <t>Technology Stack Intelligence — 2026-08-14</t>
        </is>
      </c>
    </row>
    <row r="2" ht="30" customHeight="1" s="59">
      <c r="A2" s="91" t="inlineStr">
        <is>
          <t>Vendor names are separated from verified deployment status. 'Unknown' means not yet verified, not whitespace.</t>
        </is>
      </c>
    </row>
    <row r="4" ht="28" customHeight="1" s="59">
      <c r="A4" s="92" t="inlineStr">
        <is>
          <t>Account</t>
        </is>
      </c>
      <c r="B4" s="93" t="inlineStr">
        <is>
          <t>RM</t>
        </is>
      </c>
      <c r="C4" s="93" t="inlineStr">
        <is>
          <t>POS</t>
        </is>
      </c>
      <c r="D4" s="93" t="inlineStr">
        <is>
          <t>Payments / Gateway</t>
        </is>
      </c>
      <c r="E4" s="93" t="inlineStr">
        <is>
          <t>Digital / Ordering</t>
        </is>
      </c>
      <c r="F4" s="93" t="inlineStr">
        <is>
          <t>Loyalty / CRM</t>
        </is>
      </c>
      <c r="G4" s="93" t="inlineStr">
        <is>
          <t>Back Office / Labor / Inventory</t>
        </is>
      </c>
      <c r="H4" s="93" t="inlineStr">
        <is>
          <t>Kiosk / DMB</t>
        </is>
      </c>
      <c r="I4" s="93" t="inlineStr">
        <is>
          <t>KDS / Kitchen</t>
        </is>
      </c>
      <c r="J4" s="93" t="inlineStr">
        <is>
          <t>Drive-Thru</t>
        </is>
      </c>
      <c r="K4" s="93" t="inlineStr">
        <is>
          <t>Hardware</t>
        </is>
      </c>
      <c r="L4" s="93" t="inlineStr">
        <is>
          <t>Lifecycle</t>
        </is>
      </c>
      <c r="M4" s="93" t="inlineStr">
        <is>
          <t>Deployment Health</t>
        </is>
      </c>
      <c r="N4" s="93" t="inlineStr">
        <is>
          <t>Known Layers</t>
        </is>
      </c>
      <c r="O4" s="93" t="inlineStr">
        <is>
          <t>Unknown Layers</t>
        </is>
      </c>
      <c r="P4" s="93" t="inlineStr">
        <is>
          <t>Coverage %</t>
        </is>
      </c>
      <c r="Q4" s="93" t="inlineStr">
        <is>
          <t>Primary Opportunity</t>
        </is>
      </c>
      <c r="R4" s="94" t="inlineStr">
        <is>
          <t>Next Verification</t>
        </is>
      </c>
    </row>
    <row r="5" ht="39" customHeight="1" s="59">
      <c r="A5" s="95" t="inlineStr">
        <is>
          <t>WENDY'S INTERNATIONAL INC</t>
        </is>
      </c>
      <c r="B5" s="96" t="inlineStr">
        <is>
          <t>Stacie Davis</t>
        </is>
      </c>
      <c r="C5" s="96" t="inlineStr">
        <is>
          <t>NCR Aloha</t>
        </is>
      </c>
      <c r="D5" s="96" t="inlineStr">
        <is>
          <t>ACI</t>
        </is>
      </c>
      <c r="E5" s="96" t="inlineStr">
        <is>
          <t>Yes</t>
        </is>
      </c>
      <c r="F5" s="96" t="inlineStr">
        <is>
          <t>Unknown</t>
        </is>
      </c>
      <c r="G5" s="96" t="inlineStr">
        <is>
          <t>Unknown</t>
        </is>
      </c>
      <c r="H5" s="96" t="inlineStr">
        <is>
          <t>Yes</t>
        </is>
      </c>
      <c r="I5" s="96" t="inlineStr">
        <is>
          <t>Unknown</t>
        </is>
      </c>
      <c r="J5" s="96" t="inlineStr">
        <is>
          <t>Unknown</t>
        </is>
      </c>
      <c r="K5" s="96" t="inlineStr">
        <is>
          <t>Ingenico, Variable</t>
        </is>
      </c>
      <c r="L5" s="96" t="inlineStr">
        <is>
          <t>Active decision / final stage</t>
        </is>
      </c>
      <c r="M5" s="96" t="n">
        <v>5</v>
      </c>
      <c r="N5" s="96" t="n">
        <v>4</v>
      </c>
      <c r="O5" s="13" t="n">
        <v>0.5555555555555556</v>
      </c>
      <c r="P5" s="13" t="n">
        <v>0.5555555555555556</v>
      </c>
      <c r="Q5" s="96" t="inlineStr">
        <is>
          <t>POS + payments platform capture</t>
        </is>
      </c>
      <c r="R5" s="99" t="inlineStr">
        <is>
          <t>War-room the decision: confirm owner, evaluation criteria, final meeting, commercials, product scope, franchise rollout and competitive gaps.</t>
        </is>
      </c>
    </row>
    <row r="6" ht="39" customHeight="1" s="59">
      <c r="A6" s="100" t="inlineStr">
        <is>
          <t>DEL TACO LLC</t>
        </is>
      </c>
      <c r="B6" s="101" t="inlineStr">
        <is>
          <t>Maggie Lenhart</t>
        </is>
      </c>
      <c r="C6" s="101" t="inlineStr">
        <is>
          <t>NCR</t>
        </is>
      </c>
      <c r="D6" s="101" t="inlineStr">
        <is>
          <t>NCR Connected Payments</t>
        </is>
      </c>
      <c r="E6" s="101" t="inlineStr">
        <is>
          <t>OLO corporate</t>
        </is>
      </c>
      <c r="F6" s="101" t="inlineStr">
        <is>
          <t>Unknown</t>
        </is>
      </c>
      <c r="G6" s="101" t="inlineStr">
        <is>
          <t>Unknown</t>
        </is>
      </c>
      <c r="H6" s="101" t="inlineStr">
        <is>
          <t>Bite (Express)</t>
        </is>
      </c>
      <c r="I6" s="101" t="inlineStr">
        <is>
          <t>Unknown</t>
        </is>
      </c>
      <c r="J6" s="101" t="inlineStr">
        <is>
          <t>Unknown</t>
        </is>
      </c>
      <c r="K6" s="101" t="inlineStr">
        <is>
          <t>Worldpay extension; Yadav ownership-change integration window</t>
        </is>
      </c>
      <c r="L6" s="101" t="inlineStr">
        <is>
          <t>Strong access; sourcing event not confirmed</t>
        </is>
      </c>
      <c r="M6" s="101" t="n">
        <v>5</v>
      </c>
      <c r="N6" s="101" t="n">
        <v>4</v>
      </c>
      <c r="O6" s="14" t="n">
        <v>0.5555555555555556</v>
      </c>
      <c r="P6" s="14" t="n">
        <v>0.4444444444444444</v>
      </c>
      <c r="Q6" s="101" t="inlineStr">
        <is>
          <t>POS/payments + multi-brand consolidation</t>
        </is>
      </c>
      <c r="R6" s="104" t="inlineStr">
        <is>
          <t>Finish extension, consolidate leads, map Yadav governance and confirm sourcing event</t>
        </is>
      </c>
    </row>
    <row r="7" ht="26" customHeight="1" s="59">
      <c r="A7" s="100" t="inlineStr">
        <is>
          <t>Dutch Bros</t>
        </is>
      </c>
      <c r="B7" s="101" t="inlineStr">
        <is>
          <t>Maggie Lenhart</t>
        </is>
      </c>
      <c r="C7" s="101" t="inlineStr">
        <is>
          <t>Genius (user intelligence); Xenial legacy baseline</t>
        </is>
      </c>
      <c r="D7" s="101" t="inlineStr">
        <is>
          <t>Verifone SCA Gateway</t>
        </is>
      </c>
      <c r="E7" s="101" t="inlineStr">
        <is>
          <t>Olo Order and Pay</t>
        </is>
      </c>
      <c r="F7" s="101" t="inlineStr">
        <is>
          <t>Paytronix / Dutch Rewards</t>
        </is>
      </c>
      <c r="G7" s="101" t="inlineStr">
        <is>
          <t>Unknown</t>
        </is>
      </c>
      <c r="H7" s="101" t="inlineStr">
        <is>
          <t>Unknown</t>
        </is>
      </c>
      <c r="I7" s="101" t="inlineStr">
        <is>
          <t>Unknown</t>
        </is>
      </c>
      <c r="J7" s="101" t="inlineStr">
        <is>
          <t>Core operating channel; vendor layer unknown</t>
        </is>
      </c>
      <c r="K7" s="101" t="inlineStr">
        <is>
          <t>Verifone e285 (Xenial iPads)</t>
        </is>
      </c>
      <c r="L7" s="101" t="inlineStr">
        <is>
          <t>Installed customer / expansion</t>
        </is>
      </c>
      <c r="M7" s="101" t="n">
        <v>5</v>
      </c>
      <c r="N7" s="101" t="n">
        <v>4</v>
      </c>
      <c r="O7" s="14" t="n">
        <v>0.5555555555555556</v>
      </c>
      <c r="P7" s="14" t="n">
        <v>0.6666666666666666</v>
      </c>
      <c r="Q7" s="101" t="inlineStr">
        <is>
          <t>Protect and expand Genius footprint</t>
        </is>
      </c>
      <c r="R7" s="104" t="inlineStr">
        <is>
          <t>Confirm Genius products, installed locations, adoption, support health, contract dates, attach rate and expansion path.</t>
        </is>
      </c>
    </row>
    <row r="8" ht="26" customHeight="1" s="59">
      <c r="A8" s="100" t="inlineStr">
        <is>
          <t>Focus Brands (GoTo Foods)</t>
        </is>
      </c>
      <c r="B8" s="101" t="inlineStr">
        <is>
          <t>Brian Wood</t>
        </is>
      </c>
      <c r="C8" s="101" t="inlineStr">
        <is>
          <t>Qu (deploying)</t>
        </is>
      </c>
      <c r="D8" s="101" t="inlineStr">
        <is>
          <t>FreedomPay</t>
        </is>
      </c>
      <c r="E8" s="101" t="inlineStr">
        <is>
          <t>Olo / Qu integrations</t>
        </is>
      </c>
      <c r="F8" s="101" t="inlineStr">
        <is>
          <t>Unknown</t>
        </is>
      </c>
      <c r="G8" s="101" t="inlineStr">
        <is>
          <t>Qu integrates with third-party BOH; incumbent unknown</t>
        </is>
      </c>
      <c r="H8" s="101" t="inlineStr">
        <is>
          <t>DMB incumbent unknown</t>
        </is>
      </c>
      <c r="I8" s="101" t="inlineStr">
        <is>
          <t>Unknown</t>
        </is>
      </c>
      <c r="J8" s="101" t="inlineStr">
        <is>
          <t>Unknown</t>
        </is>
      </c>
      <c r="K8" s="101" t="inlineStr">
        <is>
          <t>Unknown</t>
        </is>
      </c>
      <c r="L8" s="101" t="inlineStr">
        <is>
          <t>Qu established since 2024</t>
        </is>
      </c>
      <c r="M8" s="101" t="n">
        <v>3</v>
      </c>
      <c r="N8" s="101" t="n">
        <v>6</v>
      </c>
      <c r="O8" s="14" t="n">
        <v>0.3333333333333333</v>
      </c>
      <c r="P8" s="14" t="n">
        <v>0.5555555555555556</v>
      </c>
      <c r="Q8" s="101" t="inlineStr">
        <is>
          <t>DMB + multi-brand visual estate; payments defense</t>
        </is>
      </c>
      <c r="R8" s="104" t="inlineStr">
        <is>
          <t>Map DMB/CMS, screens, refresh timing and buying center by brand.</t>
        </is>
      </c>
    </row>
    <row r="9" ht="39" customHeight="1" s="59">
      <c r="A9" s="100" t="inlineStr">
        <is>
          <t>SUBWAY</t>
        </is>
      </c>
      <c r="B9" s="101" t="inlineStr">
        <is>
          <t>Stacie Davis</t>
        </is>
      </c>
      <c r="C9" s="101" t="inlineStr">
        <is>
          <t>Proprietary POS</t>
        </is>
      </c>
      <c r="D9" s="101" t="inlineStr">
        <is>
          <t>FreedomPay</t>
        </is>
      </c>
      <c r="E9" s="101" t="inlineStr">
        <is>
          <t>Yes</t>
        </is>
      </c>
      <c r="F9" s="101" t="inlineStr">
        <is>
          <t>Unknown</t>
        </is>
      </c>
      <c r="G9" s="101" t="inlineStr">
        <is>
          <t>Unknown</t>
        </is>
      </c>
      <c r="H9" s="101" t="inlineStr">
        <is>
          <t>Genius KDS reported internally; exact sites/status unverified</t>
        </is>
      </c>
      <c r="I9" s="101" t="inlineStr">
        <is>
          <t>Unknown</t>
        </is>
      </c>
      <c r="J9" s="101" t="inlineStr">
        <is>
          <t>Unknown</t>
        </is>
      </c>
      <c r="K9" s="101" t="inlineStr">
        <is>
          <t>Fragmented global/franchise estate; existing Genius scope unresolved</t>
        </is>
      </c>
      <c r="L9" s="101" t="inlineStr">
        <is>
          <t>Product, ownership, locations and deployment status unverified</t>
        </is>
      </c>
      <c r="M9" s="101" t="n">
        <v>5</v>
      </c>
      <c r="N9" s="101" t="n">
        <v>4</v>
      </c>
      <c r="O9" s="14" t="n">
        <v>0.5555555555555556</v>
      </c>
      <c r="P9" s="14" t="n">
        <v>0.5555555555555556</v>
      </c>
      <c r="Q9" s="101" t="inlineStr">
        <is>
          <t>Verify existing Genius KDS relationship before any additional adjacency</t>
        </is>
      </c>
      <c r="R9" s="104" t="inlineStr">
        <is>
          <t>Confirm product owner, sites, status, commitments and sponsor</t>
        </is>
      </c>
    </row>
    <row r="10" ht="39" customHeight="1" s="59">
      <c r="A10" s="100" t="inlineStr">
        <is>
          <t>FIVE GUYS</t>
        </is>
      </c>
      <c r="B10" s="101" t="inlineStr">
        <is>
          <t>Avery Churchwell</t>
        </is>
      </c>
      <c r="C10" s="101" t="inlineStr">
        <is>
          <t>PAR Brink (U.S.); NCR (EMEA)</t>
        </is>
      </c>
      <c r="D10" s="101" t="inlineStr">
        <is>
          <t>Worldpay; limited Global Payments EMEA; PAR Pay threat</t>
        </is>
      </c>
      <c r="E10" s="101" t="inlineStr">
        <is>
          <t>Olo Ordering + Engage</t>
        </is>
      </c>
      <c r="F10" s="101" t="inlineStr">
        <is>
          <t>Olo GDP/Marketing (not traditional points loyalty)</t>
        </is>
      </c>
      <c r="G10" s="101" t="inlineStr">
        <is>
          <t>CrunchTime (inventory, labor, ops)</t>
        </is>
      </c>
      <c r="H10" s="101" t="inlineStr">
        <is>
          <t>LineTen</t>
        </is>
      </c>
      <c r="I10" s="101" t="inlineStr">
        <is>
          <t>Unknown</t>
        </is>
      </c>
      <c r="J10" s="101" t="inlineStr">
        <is>
          <t>Unknown</t>
        </is>
      </c>
      <c r="K10" s="101" t="inlineStr">
        <is>
          <t>PAR renewal/evaluation window plausible; formal process and dates unconfirmed</t>
        </is>
      </c>
      <c r="L10" s="101" t="inlineStr">
        <is>
          <t>No verified failure; EMEA support gap requires validation</t>
        </is>
      </c>
      <c r="M10" s="101" t="n">
        <v>7</v>
      </c>
      <c r="N10" s="101" t="n">
        <v>2</v>
      </c>
      <c r="O10" s="14" t="n">
        <v>0.7777777777777778</v>
      </c>
      <c r="P10" s="14" t="n">
        <v>0.7777777777777778</v>
      </c>
      <c r="Q10" s="101" t="inlineStr">
        <is>
          <t>Pre-RFP shaping + internal transaction-metered POS feasibility</t>
        </is>
      </c>
      <c r="R10" s="104" t="inlineStr">
        <is>
          <t>Confirm evaluation type, renewal/notice dates, scope, sponsor and global requirements</t>
        </is>
      </c>
    </row>
    <row r="11" ht="26" customHeight="1" s="59">
      <c r="A11" s="100" t="inlineStr">
        <is>
          <t>CHOICE HOTELS</t>
        </is>
      </c>
      <c r="B11" s="101" t="inlineStr">
        <is>
          <t>Brian Wood</t>
        </is>
      </c>
      <c r="C11" s="101" t="inlineStr">
        <is>
          <t>Shift4</t>
        </is>
      </c>
      <c r="D11" s="101" t="inlineStr">
        <is>
          <t>Mixed acquirers; active Worldpay gateway/acquiring RFP</t>
        </is>
      </c>
      <c r="E11" s="101" t="inlineStr">
        <is>
          <t>Yes</t>
        </is>
      </c>
      <c r="F11" s="101" t="inlineStr">
        <is>
          <t>Unknown</t>
        </is>
      </c>
      <c r="G11" s="101" t="inlineStr">
        <is>
          <t>Unknown</t>
        </is>
      </c>
      <c r="H11" s="101" t="inlineStr">
        <is>
          <t>Unknown</t>
        </is>
      </c>
      <c r="I11" s="101" t="inlineStr">
        <is>
          <t>Unknown</t>
        </is>
      </c>
      <c r="J11" s="101" t="inlineStr">
        <is>
          <t>Unknown</t>
        </is>
      </c>
      <c r="K11" s="101" t="inlineStr">
        <is>
          <t>Unknown</t>
        </is>
      </c>
      <c r="L11" s="101" t="inlineStr">
        <is>
          <t>Deconversion incomplete; active win-back RFP</t>
        </is>
      </c>
      <c r="M11" s="101" t="n">
        <v>3</v>
      </c>
      <c r="N11" s="101" t="n">
        <v>6</v>
      </c>
      <c r="O11" s="14" t="n">
        <v>0.3333333333333333</v>
      </c>
      <c r="P11" s="14" t="n">
        <v>0.2222222222222222</v>
      </c>
      <c r="Q11" s="101" t="inlineStr">
        <is>
          <t>Payments win-back + hotel restaurant/DMB discovery</t>
        </is>
      </c>
      <c r="R11" s="104" t="inlineStr">
        <is>
          <t>Confirm RFP stage, retained properties, executive sponsor and venue technology scope.</t>
        </is>
      </c>
    </row>
    <row r="12" ht="26" customHeight="1" s="59">
      <c r="A12" s="100" t="inlineStr">
        <is>
          <t>THE STEAK N SHAKE CO</t>
        </is>
      </c>
      <c r="B12" s="101" t="inlineStr">
        <is>
          <t>Maggie Lenhart</t>
        </is>
      </c>
      <c r="C12" s="101" t="inlineStr">
        <is>
          <t>NCR</t>
        </is>
      </c>
      <c r="D12" s="101" t="inlineStr">
        <is>
          <t>NCR Connected Payments</t>
        </is>
      </c>
      <c r="E12" s="101" t="inlineStr">
        <is>
          <t>Olo- moving to direct Express cert with NovaTab</t>
        </is>
      </c>
      <c r="F12" s="101" t="inlineStr">
        <is>
          <t>Unknown</t>
        </is>
      </c>
      <c r="G12" s="101" t="inlineStr">
        <is>
          <t>Unknown</t>
        </is>
      </c>
      <c r="H12" s="101" t="inlineStr">
        <is>
          <t>Kiosk vendor transition; integration problems</t>
        </is>
      </c>
      <c r="I12" s="101" t="inlineStr">
        <is>
          <t>Unknown</t>
        </is>
      </c>
      <c r="J12" s="101" t="inlineStr">
        <is>
          <t>Unknown</t>
        </is>
      </c>
      <c r="K12" s="101" t="inlineStr">
        <is>
          <t>Unknown</t>
        </is>
      </c>
      <c r="L12" s="101" t="inlineStr">
        <is>
          <t>Kiosk and mobile transition</t>
        </is>
      </c>
      <c r="M12" s="101" t="n">
        <v>4</v>
      </c>
      <c r="N12" s="101" t="n">
        <v>5</v>
      </c>
      <c r="O12" s="14" t="n">
        <v>0.4444444444444444</v>
      </c>
      <c r="P12" s="14" t="n">
        <v>0.4444444444444444</v>
      </c>
      <c r="Q12" s="101" t="inlineStr">
        <is>
          <t>Kiosk recovery + DMB/drive-thru/payments adjacency</t>
        </is>
      </c>
      <c r="R12" s="104" t="inlineStr">
        <is>
          <t>Identify kiosk vendor, certification issue, reporting gap, owners and remediation dates.</t>
        </is>
      </c>
    </row>
    <row r="13" ht="26" customHeight="1" s="59">
      <c r="A13" s="100" t="inlineStr">
        <is>
          <t>FREDDY'S FROZEN CUSTARD LLC</t>
        </is>
      </c>
      <c r="B13" s="101" t="inlineStr">
        <is>
          <t>Avery Churchwell</t>
        </is>
      </c>
      <c r="C13" s="101" t="inlineStr">
        <is>
          <t>PAR Brink via RDS</t>
        </is>
      </c>
      <c r="D13" s="101" t="inlineStr">
        <is>
          <t>PAR Brink</t>
        </is>
      </c>
      <c r="E13" s="101" t="inlineStr">
        <is>
          <t>Olo / Olo Pay</t>
        </is>
      </c>
      <c r="F13" s="101" t="inlineStr">
        <is>
          <t>Unknown</t>
        </is>
      </c>
      <c r="G13" s="101" t="inlineStr">
        <is>
          <t>Creative Realities; Neon entry reported, unverified</t>
        </is>
      </c>
      <c r="H13" s="101" t="inlineStr">
        <is>
          <t>Unknown</t>
        </is>
      </c>
      <c r="I13" s="101" t="inlineStr">
        <is>
          <t>Unknown</t>
        </is>
      </c>
      <c r="J13" s="101" t="inlineStr">
        <is>
          <t>Unknown</t>
        </is>
      </c>
      <c r="K13" s="101" t="inlineStr">
        <is>
          <t>Protected PAR/RDS account; CIO reportedly reinforcing PAR</t>
        </is>
      </c>
      <c r="L13" s="101" t="inlineStr">
        <is>
          <t>No open event; RDS controls access</t>
        </is>
      </c>
      <c r="M13" s="101" t="n">
        <v>5</v>
      </c>
      <c r="N13" s="101" t="n">
        <v>4</v>
      </c>
      <c r="O13" s="14" t="n">
        <v>0.5555555555555556</v>
      </c>
      <c r="P13" s="14" t="n">
        <v>0.4444444444444444</v>
      </c>
      <c r="Q13" s="101" t="inlineStr">
        <is>
          <t>RDS-led modular value review only</t>
        </is>
      </c>
      <c r="R13" s="104" t="inlineStr">
        <is>
          <t>Prove RDS pilot and account protections before any Freddy's value discussion</t>
        </is>
      </c>
    </row>
    <row r="14" ht="26" customHeight="1" s="59">
      <c r="A14" s="100" t="inlineStr">
        <is>
          <t>EAT'N PARK HOSPITALITY GRP INC</t>
        </is>
      </c>
      <c r="B14" s="101" t="inlineStr">
        <is>
          <t>Avery Churchwell</t>
        </is>
      </c>
      <c r="C14" s="101" t="inlineStr">
        <is>
          <t>FreedomPay, Tillster, Olo</t>
        </is>
      </c>
      <c r="D14" s="101" t="inlineStr">
        <is>
          <t>Oracle Simphony, PayMyTab, Catertrax</t>
        </is>
      </c>
      <c r="E14" s="101" t="inlineStr">
        <is>
          <t>Olo, Tillster (wallets), Nextep</t>
        </is>
      </c>
      <c r="F14" s="101" t="inlineStr">
        <is>
          <t>Unknown</t>
        </is>
      </c>
      <c r="G14" s="101" t="inlineStr">
        <is>
          <t>Unknown</t>
        </is>
      </c>
      <c r="H14" s="101" t="inlineStr">
        <is>
          <t>Unknown</t>
        </is>
      </c>
      <c r="I14" s="101" t="inlineStr">
        <is>
          <t>Unknown</t>
        </is>
      </c>
      <c r="J14" s="101" t="inlineStr">
        <is>
          <t>Unknown</t>
        </is>
      </c>
      <c r="K14" s="101" t="inlineStr">
        <is>
          <t>Desk 3500s, T650c</t>
        </is>
      </c>
      <c r="L14" s="101" t="inlineStr">
        <is>
          <t>Mixed / transitioning</t>
        </is>
      </c>
      <c r="M14" s="101" t="n">
        <v>4</v>
      </c>
      <c r="N14" s="101" t="n">
        <v>5</v>
      </c>
      <c r="O14" s="14" t="n">
        <v>0.4444444444444444</v>
      </c>
      <c r="P14" s="14" t="n">
        <v>0.4444444444444444</v>
      </c>
      <c r="Q14" s="101" t="inlineStr">
        <is>
          <t>Consolidation and payments</t>
        </is>
      </c>
      <c r="R14" s="104" t="inlineStr">
        <is>
          <t>Separate stacks by concept and validate Oracle/FreedomPay/Tillster/Olo/Nextep ownership.</t>
        </is>
      </c>
    </row>
    <row r="15" ht="39" customHeight="1" s="59">
      <c r="A15" s="100" t="inlineStr">
        <is>
          <t>CRACKER BARREL OLD COUNTRY STORE, INC.</t>
        </is>
      </c>
      <c r="B15" s="101" t="inlineStr">
        <is>
          <t>Brian Wood</t>
        </is>
      </c>
      <c r="C15" s="101" t="inlineStr">
        <is>
          <t>RAFT 610 for POS, Express for OLO ISV for mobile, and eComm is on VAP.  Moving to Oracle Symphony</t>
        </is>
      </c>
      <c r="D15" s="101" t="inlineStr">
        <is>
          <t>FreedomPay</t>
        </is>
      </c>
      <c r="E15" s="101" t="inlineStr">
        <is>
          <t>Yes</t>
        </is>
      </c>
      <c r="F15" s="101" t="inlineStr">
        <is>
          <t>Unknown</t>
        </is>
      </c>
      <c r="G15" s="101" t="inlineStr">
        <is>
          <t>Unknown</t>
        </is>
      </c>
      <c r="H15" s="101" t="inlineStr">
        <is>
          <t>Unknown</t>
        </is>
      </c>
      <c r="I15" s="101" t="inlineStr">
        <is>
          <t>Unknown</t>
        </is>
      </c>
      <c r="J15" s="101" t="inlineStr">
        <is>
          <t>Unknown</t>
        </is>
      </c>
      <c r="K15" s="101" t="inlineStr">
        <is>
          <t>Unknown</t>
        </is>
      </c>
      <c r="L15" s="101" t="inlineStr">
        <is>
          <t>Deploying / transition</t>
        </is>
      </c>
      <c r="M15" s="101" t="n">
        <v>3</v>
      </c>
      <c r="N15" s="101" t="n">
        <v>6</v>
      </c>
      <c r="O15" s="14" t="n">
        <v>0.3333333333333333</v>
      </c>
      <c r="P15" s="14" t="n">
        <v>0.3333333333333333</v>
      </c>
      <c r="Q15" s="101" t="inlineStr">
        <is>
          <t>Adjacent stack and deployment support</t>
        </is>
      </c>
      <c r="R15" s="104" t="inlineStr">
        <is>
          <t>Confirm rollout completion, FreedomPay scope, operational issues and remaining adjacent gaps.</t>
        </is>
      </c>
    </row>
    <row r="16" ht="26" customHeight="1" s="59">
      <c r="A16" s="100" t="inlineStr">
        <is>
          <t>MILLLER'S ALE HOUSE</t>
        </is>
      </c>
      <c r="B16" s="101" t="inlineStr">
        <is>
          <t>Avery Churchwell</t>
        </is>
      </c>
      <c r="C16" s="101" t="inlineStr">
        <is>
          <t>NCR Connected Payments, Ziosk</t>
        </is>
      </c>
      <c r="D16" s="101" t="inlineStr">
        <is>
          <t>NCR, Ziosk</t>
        </is>
      </c>
      <c r="E16" s="101" t="inlineStr">
        <is>
          <t>OloPay</t>
        </is>
      </c>
      <c r="F16" s="101" t="inlineStr">
        <is>
          <t>Unknown</t>
        </is>
      </c>
      <c r="G16" s="101" t="inlineStr">
        <is>
          <t>Unknown</t>
        </is>
      </c>
      <c r="H16" s="101" t="inlineStr">
        <is>
          <t>Unknown</t>
        </is>
      </c>
      <c r="I16" s="101" t="inlineStr">
        <is>
          <t>Unknown</t>
        </is>
      </c>
      <c r="J16" s="101" t="inlineStr">
        <is>
          <t>Unknown</t>
        </is>
      </c>
      <c r="K16" s="101" t="inlineStr">
        <is>
          <t>Swipe Simple B250 &amp; NCR Terminals</t>
        </is>
      </c>
      <c r="L16" s="101" t="inlineStr">
        <is>
          <t>Established POS; recent digital payment change</t>
        </is>
      </c>
      <c r="M16" s="101" t="n">
        <v>4</v>
      </c>
      <c r="N16" s="101" t="n">
        <v>5</v>
      </c>
      <c r="O16" s="14" t="n">
        <v>0.4444444444444444</v>
      </c>
      <c r="P16" s="14" t="n">
        <v>0.4444444444444444</v>
      </c>
      <c r="Q16" s="101" t="inlineStr">
        <is>
          <t>In-store POS/payments and guest experience</t>
        </is>
      </c>
      <c r="R16" s="104" t="inlineStr">
        <is>
          <t>Confirm lost scope, NCR renewal, Ziosk footprint and remaining payments opportunity.</t>
        </is>
      </c>
    </row>
    <row r="17" ht="26" customHeight="1" s="59">
      <c r="A17" s="100" t="inlineStr">
        <is>
          <t>LAROSA'S INC</t>
        </is>
      </c>
      <c r="B17" s="101" t="inlineStr">
        <is>
          <t>Maggie Lenhart</t>
        </is>
      </c>
      <c r="C17" s="101" t="inlineStr">
        <is>
          <t>Point of Sale.Cloud</t>
        </is>
      </c>
      <c r="D17" s="101" t="inlineStr">
        <is>
          <t>Mainstreet Monetray, TriPOS</t>
        </is>
      </c>
      <c r="E17" s="101" t="inlineStr">
        <is>
          <t>Same as instore</t>
        </is>
      </c>
      <c r="F17" s="101" t="inlineStr">
        <is>
          <t>Unknown</t>
        </is>
      </c>
      <c r="G17" s="101" t="inlineStr">
        <is>
          <t>Unknown</t>
        </is>
      </c>
      <c r="H17" s="101" t="inlineStr">
        <is>
          <t>Unknown</t>
        </is>
      </c>
      <c r="I17" s="101" t="inlineStr">
        <is>
          <t>Unknown</t>
        </is>
      </c>
      <c r="J17" s="101" t="inlineStr">
        <is>
          <t>Unknown</t>
        </is>
      </c>
      <c r="K17" s="101" t="inlineStr">
        <is>
          <t>Varies-majority are non-EMV through Montera</t>
        </is>
      </c>
      <c r="L17" s="101" t="inlineStr">
        <is>
          <t>Mature / niche POS</t>
        </is>
      </c>
      <c r="M17" s="101" t="n">
        <v>4</v>
      </c>
      <c r="N17" s="101" t="n">
        <v>5</v>
      </c>
      <c r="O17" s="14" t="n">
        <v>0.4444444444444444</v>
      </c>
      <c r="P17" s="14" t="n">
        <v>0.4444444444444444</v>
      </c>
      <c r="Q17" s="101" t="inlineStr">
        <is>
          <t>EMV, payments and enterprise modernization</t>
        </is>
      </c>
      <c r="R17" s="104" t="inlineStr">
        <is>
          <t>Validate POS.Cloud contract, non-EMV exposure, franchise scope and replacement appetite.</t>
        </is>
      </c>
    </row>
    <row r="18" ht="26" customHeight="1" s="59">
      <c r="A18" s="100" t="inlineStr">
        <is>
          <t>CHURCHS CHICKEN 558</t>
        </is>
      </c>
      <c r="B18" s="101" t="inlineStr">
        <is>
          <t>Maggie Lenhart</t>
        </is>
      </c>
      <c r="C18" s="101" t="inlineStr">
        <is>
          <t>Qu</t>
        </is>
      </c>
      <c r="D18" s="101" t="inlineStr">
        <is>
          <t>Aurus</t>
        </is>
      </c>
      <c r="E18" s="101" t="inlineStr">
        <is>
          <t>Olo</t>
        </is>
      </c>
      <c r="F18" s="101" t="inlineStr">
        <is>
          <t>Unknown</t>
        </is>
      </c>
      <c r="G18" s="101" t="inlineStr">
        <is>
          <t>Unknown</t>
        </is>
      </c>
      <c r="H18" s="101" t="inlineStr">
        <is>
          <t>Pilot with Bite (Express)</t>
        </is>
      </c>
      <c r="I18" s="101" t="inlineStr">
        <is>
          <t>Unknown</t>
        </is>
      </c>
      <c r="J18" s="101" t="inlineStr">
        <is>
          <t>Qu supports drive-thru; deployed scope unknown</t>
        </is>
      </c>
      <c r="K18" s="101" t="inlineStr">
        <is>
          <t>Lane 3000</t>
        </is>
      </c>
      <c r="L18" s="101" t="inlineStr">
        <is>
          <t>Established</t>
        </is>
      </c>
      <c r="M18" s="101" t="n">
        <v>5</v>
      </c>
      <c r="N18" s="101" t="n">
        <v>4</v>
      </c>
      <c r="O18" s="14" t="n">
        <v>0.5555555555555556</v>
      </c>
      <c r="P18" s="14" t="n">
        <v>0.6666666666666666</v>
      </c>
      <c r="Q18" s="101" t="inlineStr">
        <is>
          <t>Payments/loyalty/BOH adjacency</t>
        </is>
      </c>
      <c r="R18" s="104" t="inlineStr">
        <is>
          <t>Verify rollout completeness, Aurus ownership, Olo footprint and any franchise exceptions.</t>
        </is>
      </c>
    </row>
    <row r="19" ht="26" customHeight="1" s="59">
      <c r="A19" s="100" t="inlineStr">
        <is>
          <t>GOLDEN CORRAL</t>
        </is>
      </c>
      <c r="B19" s="101" t="inlineStr">
        <is>
          <t>Maggie Lenhart</t>
        </is>
      </c>
      <c r="C19" s="101" t="inlineStr">
        <is>
          <t>QuPOS</t>
        </is>
      </c>
      <c r="D19" s="101" t="inlineStr">
        <is>
          <t>Aurus</t>
        </is>
      </c>
      <c r="E19" s="101" t="inlineStr">
        <is>
          <t>Olo</t>
        </is>
      </c>
      <c r="F19" s="101" t="inlineStr">
        <is>
          <t>Unknown</t>
        </is>
      </c>
      <c r="G19" s="101" t="inlineStr">
        <is>
          <t>Unknown</t>
        </is>
      </c>
      <c r="H19" s="101" t="inlineStr">
        <is>
          <t>Unknown</t>
        </is>
      </c>
      <c r="I19" s="101" t="inlineStr">
        <is>
          <t>Unknown</t>
        </is>
      </c>
      <c r="J19" s="101" t="inlineStr">
        <is>
          <t>Unknown</t>
        </is>
      </c>
      <c r="K19" s="101" t="inlineStr">
        <is>
          <t>Unknown</t>
        </is>
      </c>
      <c r="L19" s="101" t="inlineStr">
        <is>
          <t>Established / date unknown</t>
        </is>
      </c>
      <c r="M19" s="101" t="n">
        <v>3</v>
      </c>
      <c r="N19" s="101" t="n">
        <v>6</v>
      </c>
      <c r="O19" s="14" t="n">
        <v>0.3333333333333333</v>
      </c>
      <c r="P19" s="14" t="n">
        <v>0.3333333333333333</v>
      </c>
      <c r="Q19" s="101" t="inlineStr">
        <is>
          <t>Franchise payments + adjacent discovery</t>
        </is>
      </c>
      <c r="R19" s="104" t="inlineStr">
        <is>
          <t>Verify Qu start date, Aurus/Olo scopes, franchise penetration and contract dates.</t>
        </is>
      </c>
    </row>
    <row r="20" ht="26" customHeight="1" s="59">
      <c r="A20" s="100" t="inlineStr">
        <is>
          <t>Red Robin</t>
        </is>
      </c>
      <c r="B20" s="101" t="inlineStr">
        <is>
          <t>Avery Churchwell</t>
        </is>
      </c>
      <c r="C20" s="101" t="inlineStr">
        <is>
          <t>Ziosk, NCR Aloha and Olo for eCom</t>
        </is>
      </c>
      <c r="D20" s="101" t="inlineStr">
        <is>
          <t>NCR, Ziosk</t>
        </is>
      </c>
      <c r="E20" s="101" t="inlineStr">
        <is>
          <t>Monkey Media, Olo, Bounteous (wallet)</t>
        </is>
      </c>
      <c r="F20" s="101" t="inlineStr">
        <is>
          <t>Unknown</t>
        </is>
      </c>
      <c r="G20" s="101" t="inlineStr">
        <is>
          <t>Unknown</t>
        </is>
      </c>
      <c r="H20" s="101" t="inlineStr">
        <is>
          <t>Unknown</t>
        </is>
      </c>
      <c r="I20" s="101" t="inlineStr">
        <is>
          <t>Unknown</t>
        </is>
      </c>
      <c r="J20" s="101" t="inlineStr">
        <is>
          <t>Unknown</t>
        </is>
      </c>
      <c r="K20" s="101" t="inlineStr">
        <is>
          <t>Unknown</t>
        </is>
      </c>
      <c r="L20" s="101" t="inlineStr">
        <is>
          <t>Recent NCR renewal reported; Ziosk blocks enhancements</t>
        </is>
      </c>
      <c r="M20" s="101" t="n">
        <v>3</v>
      </c>
      <c r="N20" s="101" t="n">
        <v>6</v>
      </c>
      <c r="O20" s="14" t="n">
        <v>0.3333333333333333</v>
      </c>
      <c r="P20" s="14" t="n">
        <v>0.3333333333333333</v>
      </c>
      <c r="Q20" s="101" t="inlineStr">
        <is>
          <t>Pay-at-table replacement + payment savings</t>
        </is>
      </c>
      <c r="R20" s="104" t="inlineStr">
        <is>
          <t>Verify NCR term, Ziosk appetite and six-figure pinless savings case.</t>
        </is>
      </c>
    </row>
    <row r="21" ht="26" customHeight="1" s="59">
      <c r="A21" s="100" t="inlineStr">
        <is>
          <t>BOB EVANS RESTAURANTS, LLC</t>
        </is>
      </c>
      <c r="B21" s="101" t="inlineStr">
        <is>
          <t>Brian Wood</t>
        </is>
      </c>
      <c r="C21" s="101" t="inlineStr">
        <is>
          <t>NCR Aloha/Connected Payments</t>
        </is>
      </c>
      <c r="D21" s="101" t="inlineStr">
        <is>
          <t>NCR Connected Payments</t>
        </is>
      </c>
      <c r="E21" s="101" t="inlineStr">
        <is>
          <t>Yes</t>
        </is>
      </c>
      <c r="F21" s="101" t="inlineStr">
        <is>
          <t>Unknown</t>
        </is>
      </c>
      <c r="G21" s="101" t="inlineStr">
        <is>
          <t>Unknown</t>
        </is>
      </c>
      <c r="H21" s="101" t="inlineStr">
        <is>
          <t>Unknown</t>
        </is>
      </c>
      <c r="I21" s="101" t="inlineStr">
        <is>
          <t>Unknown</t>
        </is>
      </c>
      <c r="J21" s="101" t="inlineStr">
        <is>
          <t>Unknown</t>
        </is>
      </c>
      <c r="K21" s="101" t="inlineStr">
        <is>
          <t>Unknown</t>
        </is>
      </c>
      <c r="L21" s="101" t="inlineStr">
        <is>
          <t>Established NCR estate</t>
        </is>
      </c>
      <c r="M21" s="101" t="n">
        <v>3</v>
      </c>
      <c r="N21" s="101" t="n">
        <v>6</v>
      </c>
      <c r="O21" s="14" t="n">
        <v>0.3333333333333333</v>
      </c>
      <c r="P21" s="14" t="n">
        <v>0.3333333333333333</v>
      </c>
      <c r="Q21" s="101" t="inlineStr">
        <is>
          <t>Aging POS and adjacent modernization</t>
        </is>
      </c>
      <c r="R21" s="104" t="inlineStr">
        <is>
          <t>Confirm earliest Aloha deployment/renewal and Connected Payments term.</t>
        </is>
      </c>
    </row>
    <row r="22" ht="26" customHeight="1" s="59">
      <c r="A22" s="100" t="inlineStr">
        <is>
          <t>GRAETERS</t>
        </is>
      </c>
      <c r="B22" s="101" t="inlineStr">
        <is>
          <t>Maggie Lenhart</t>
        </is>
      </c>
      <c r="C22" s="101" t="inlineStr">
        <is>
          <t>PAR Brink, non-enterprise (user intelligence)</t>
        </is>
      </c>
      <c r="D22" s="101" t="inlineStr">
        <is>
          <t>Brink Software</t>
        </is>
      </c>
      <c r="E22" s="101" t="inlineStr">
        <is>
          <t>Olo</t>
        </is>
      </c>
      <c r="F22" s="101" t="inlineStr">
        <is>
          <t>Unknown</t>
        </is>
      </c>
      <c r="G22" s="101" t="inlineStr">
        <is>
          <t>Unknown</t>
        </is>
      </c>
      <c r="H22" s="101" t="inlineStr">
        <is>
          <t>Unknown</t>
        </is>
      </c>
      <c r="I22" s="101" t="inlineStr">
        <is>
          <t>Unknown</t>
        </is>
      </c>
      <c r="J22" s="101" t="inlineStr">
        <is>
          <t>Unknown</t>
        </is>
      </c>
      <c r="K22" s="101" t="inlineStr">
        <is>
          <t>Unknown</t>
        </is>
      </c>
      <c r="L22" s="101" t="inlineStr">
        <is>
          <t>PAR non-enterprise deployment</t>
        </is>
      </c>
      <c r="M22" s="101" t="n">
        <v>3</v>
      </c>
      <c r="N22" s="101" t="n">
        <v>6</v>
      </c>
      <c r="O22" s="14" t="n">
        <v>0.3333333333333333</v>
      </c>
      <c r="P22" s="14" t="n">
        <v>0.3333333333333333</v>
      </c>
      <c r="Q22" s="101" t="inlineStr">
        <is>
          <t>Enterprise upgrade or adjacent stack</t>
        </is>
      </c>
      <c r="R22" s="104" t="inlineStr">
        <is>
          <t>Confirm PAR product/SKU, reseller, site coverage and enterprise gaps; test migration economics without misclassifying current state.</t>
        </is>
      </c>
    </row>
    <row r="23" ht="26" customHeight="1" s="59">
      <c r="A23" s="100" t="inlineStr">
        <is>
          <t>STARBUCKS CORPORATION</t>
        </is>
      </c>
      <c r="B23" s="101" t="inlineStr">
        <is>
          <t>Stacie Davis</t>
        </is>
      </c>
      <c r="C23" s="101" t="inlineStr">
        <is>
          <t>VF PWC</t>
        </is>
      </c>
      <c r="D23" s="101" t="inlineStr">
        <is>
          <t>Unknown</t>
        </is>
      </c>
      <c r="E23" s="101" t="inlineStr">
        <is>
          <t>Yes</t>
        </is>
      </c>
      <c r="F23" s="101" t="inlineStr">
        <is>
          <t>Unknown</t>
        </is>
      </c>
      <c r="G23" s="101" t="inlineStr">
        <is>
          <t>Unknown</t>
        </is>
      </c>
      <c r="H23" s="101" t="inlineStr">
        <is>
          <t>Yes</t>
        </is>
      </c>
      <c r="I23" s="101" t="inlineStr">
        <is>
          <t>Unknown</t>
        </is>
      </c>
      <c r="J23" s="101" t="inlineStr">
        <is>
          <t>Unknown</t>
        </is>
      </c>
      <c r="K23" s="101" t="inlineStr">
        <is>
          <t>Verifone, Variable</t>
        </is>
      </c>
      <c r="L23" s="101" t="inlineStr">
        <is>
          <t>Proprietary / mature</t>
        </is>
      </c>
      <c r="M23" s="101" t="n">
        <v>4</v>
      </c>
      <c r="N23" s="101" t="n">
        <v>5</v>
      </c>
      <c r="O23" s="14" t="n">
        <v>0.4444444444444444</v>
      </c>
      <c r="P23" s="14" t="n">
        <v>0.4444444444444444</v>
      </c>
      <c r="Q23" s="101" t="inlineStr">
        <is>
          <t>Payments share expansion and hardware</t>
        </is>
      </c>
      <c r="R23" s="104" t="inlineStr">
        <is>
          <t>Quantify the 20% Worldpay footprint, renewal dates, licensed-store scope and Verifone lifecycle.</t>
        </is>
      </c>
    </row>
    <row r="24" ht="26" customHeight="1" s="59">
      <c r="A24" s="100" t="inlineStr">
        <is>
          <t>LITTLE CAESARS ENTERPRISE INC</t>
        </is>
      </c>
      <c r="B24" s="101" t="inlineStr">
        <is>
          <t>Avery Churchwell</t>
        </is>
      </c>
      <c r="C24" s="101" t="inlineStr">
        <is>
          <t>CaesarVision</t>
        </is>
      </c>
      <c r="D24" s="101" t="inlineStr">
        <is>
          <t>CaesarVision (via Verifone SCA)</t>
        </is>
      </c>
      <c r="E24" s="101" t="inlineStr">
        <is>
          <t>CaesarVision (via eProtect)</t>
        </is>
      </c>
      <c r="F24" s="101" t="inlineStr">
        <is>
          <t>Unknown</t>
        </is>
      </c>
      <c r="G24" s="101" t="inlineStr">
        <is>
          <t>Unknown</t>
        </is>
      </c>
      <c r="H24" s="101" t="inlineStr">
        <is>
          <t>Mashgin</t>
        </is>
      </c>
      <c r="I24" s="101" t="inlineStr">
        <is>
          <t>Unknown</t>
        </is>
      </c>
      <c r="J24" s="101" t="inlineStr">
        <is>
          <t>Unknown</t>
        </is>
      </c>
      <c r="K24" s="101" t="inlineStr">
        <is>
          <t>M400s and P400s</t>
        </is>
      </c>
      <c r="L24" s="101" t="inlineStr">
        <is>
          <t>Proprietary / entrenched</t>
        </is>
      </c>
      <c r="M24" s="101" t="n">
        <v>5</v>
      </c>
      <c r="N24" s="101" t="n">
        <v>4</v>
      </c>
      <c r="O24" s="14" t="n">
        <v>0.5555555555555556</v>
      </c>
      <c r="P24" s="14" t="n">
        <v>0.5555555555555556</v>
      </c>
      <c r="Q24" s="101" t="inlineStr">
        <is>
          <t>Payments, DMB, franchise and data adjacency</t>
        </is>
      </c>
      <c r="R24" s="104" t="inlineStr">
        <is>
          <t>Map CaesarVision ownership, payments renewal and franchise-level exceptions; avoid generic POS pitch.</t>
        </is>
      </c>
    </row>
    <row r="25" ht="26" customHeight="1" s="59">
      <c r="A25" s="100" t="inlineStr">
        <is>
          <t>PAPA JOHN'S USA, INC.</t>
        </is>
      </c>
      <c r="B25" s="101" t="inlineStr">
        <is>
          <t>Brian Wood</t>
        </is>
      </c>
      <c r="C25" s="101" t="inlineStr">
        <is>
          <t>PAR POS (deploying)</t>
        </is>
      </c>
      <c r="D25" s="101" t="inlineStr">
        <is>
          <t>Mainstreet Monetra</t>
        </is>
      </c>
      <c r="E25" s="101" t="inlineStr">
        <is>
          <t>Yes</t>
        </is>
      </c>
      <c r="F25" s="101" t="inlineStr">
        <is>
          <t>Unknown</t>
        </is>
      </c>
      <c r="G25" s="101" t="inlineStr">
        <is>
          <t>PAR OPS (deploying: labor, inventory, restaurant management)</t>
        </is>
      </c>
      <c r="H25" s="101" t="inlineStr">
        <is>
          <t>DMB incumbent unknown</t>
        </is>
      </c>
      <c r="I25" s="101" t="inlineStr">
        <is>
          <t>PAR POS/OPS includes make-line operations</t>
        </is>
      </c>
      <c r="J25" s="101" t="inlineStr">
        <is>
          <t>Unknown</t>
        </is>
      </c>
      <c r="K25" s="101" t="inlineStr">
        <is>
          <t>PAR POS + OPS implementation in 2026; rollout through 2027</t>
        </is>
      </c>
      <c r="L25" s="101" t="inlineStr">
        <is>
          <t>Milestones reported on track; Linux dependency unverified</t>
        </is>
      </c>
      <c r="M25" s="101" t="n">
        <v>6</v>
      </c>
      <c r="N25" s="101" t="n">
        <v>3</v>
      </c>
      <c r="O25" s="14" t="n">
        <v>0.6666666666666666</v>
      </c>
      <c r="P25" s="14" t="n">
        <v>0.6666666666666666</v>
      </c>
      <c r="Q25" s="101" t="inlineStr">
        <is>
          <t>DMB adjacency + rollout risk watch</t>
        </is>
      </c>
      <c r="R25" s="104" t="inlineStr">
        <is>
          <t>Monitor milestones and validate Linux-build requirement</t>
        </is>
      </c>
    </row>
    <row r="26" ht="39" customHeight="1" s="59">
      <c r="A26" s="100" t="inlineStr">
        <is>
          <t>BLACK BEAR DINER</t>
        </is>
      </c>
      <c r="B26" s="101" t="inlineStr">
        <is>
          <t>Avery Churchwell</t>
        </is>
      </c>
      <c r="C26" s="101" t="inlineStr">
        <is>
          <t>Toast / Olo</t>
        </is>
      </c>
      <c r="D26" s="101" t="inlineStr">
        <is>
          <t>Toast</t>
        </is>
      </c>
      <c r="E26" s="101" t="inlineStr">
        <is>
          <t>Olo</t>
        </is>
      </c>
      <c r="F26" s="101" t="inlineStr">
        <is>
          <t>Unknown</t>
        </is>
      </c>
      <c r="G26" s="101" t="inlineStr">
        <is>
          <t>Unknown</t>
        </is>
      </c>
      <c r="H26" s="101" t="inlineStr">
        <is>
          <t>Unknown</t>
        </is>
      </c>
      <c r="I26" s="101" t="inlineStr">
        <is>
          <t>Unknown</t>
        </is>
      </c>
      <c r="J26" s="101" t="inlineStr">
        <is>
          <t>Unknown</t>
        </is>
      </c>
      <c r="K26" s="101" t="inlineStr">
        <is>
          <t>Toast</t>
        </is>
      </c>
      <c r="L26" s="101" t="inlineStr">
        <is>
          <t>Recently changed / deploying</t>
        </is>
      </c>
      <c r="M26" s="101" t="n">
        <v>4</v>
      </c>
      <c r="N26" s="101" t="n">
        <v>5</v>
      </c>
      <c r="O26" s="14" t="n">
        <v>0.4444444444444444</v>
      </c>
      <c r="P26" s="14" t="n">
        <v>0.4444444444444444</v>
      </c>
      <c r="Q26" s="101" t="inlineStr">
        <is>
          <t>Retain payments + adjacent gaps</t>
        </is>
      </c>
      <c r="R26" s="104" t="inlineStr">
        <is>
          <t>Confirm Toast deployment scope and whether Worldpay became unmanaged; map Olo modules and remaining corporate/franchise gaps.</t>
        </is>
      </c>
    </row>
    <row r="27" ht="26" customHeight="1" s="59">
      <c r="A27" s="100" t="inlineStr">
        <is>
          <t>DOMINO'S PIZZA</t>
        </is>
      </c>
      <c r="B27" s="101" t="inlineStr">
        <is>
          <t>Stacie Davis</t>
        </is>
      </c>
      <c r="C27" s="101" t="inlineStr">
        <is>
          <t>Proprietary</t>
        </is>
      </c>
      <c r="D27" s="101" t="inlineStr">
        <is>
          <t>ACI/Cybersource</t>
        </is>
      </c>
      <c r="E27" s="101" t="inlineStr">
        <is>
          <t>Yes</t>
        </is>
      </c>
      <c r="F27" s="101" t="inlineStr">
        <is>
          <t>Unknown</t>
        </is>
      </c>
      <c r="G27" s="101" t="inlineStr">
        <is>
          <t>Unknown</t>
        </is>
      </c>
      <c r="H27" s="101" t="inlineStr">
        <is>
          <t>Yes</t>
        </is>
      </c>
      <c r="I27" s="101" t="inlineStr">
        <is>
          <t>Unknown</t>
        </is>
      </c>
      <c r="J27" s="101" t="inlineStr">
        <is>
          <t>Unknown</t>
        </is>
      </c>
      <c r="K27" s="101" t="inlineStr">
        <is>
          <t>Ingenico, Variable</t>
        </is>
      </c>
      <c r="L27" s="101" t="inlineStr">
        <is>
          <t>Proprietary / entrenched</t>
        </is>
      </c>
      <c r="M27" s="101" t="n">
        <v>5</v>
      </c>
      <c r="N27" s="101" t="n">
        <v>4</v>
      </c>
      <c r="O27" s="14" t="n">
        <v>0.5555555555555556</v>
      </c>
      <c r="P27" s="14" t="n">
        <v>0.5555555555555556</v>
      </c>
      <c r="Q27" s="101" t="inlineStr">
        <is>
          <t>Payments, hardware and franchise adjacency</t>
        </is>
      </c>
      <c r="R27" s="104" t="inlineStr">
        <is>
          <t>Confirm ACI/Cybersource tenure, processor split and franchise technology control.</t>
        </is>
      </c>
    </row>
    <row r="28" ht="26" customHeight="1" s="59">
      <c r="A28" s="100" t="inlineStr">
        <is>
          <t>FIREHOUSE RESTAURANT</t>
        </is>
      </c>
      <c r="B28" s="101" t="inlineStr">
        <is>
          <t>Brian Wood</t>
        </is>
      </c>
      <c r="C28" s="101" t="inlineStr">
        <is>
          <t>Toast</t>
        </is>
      </c>
      <c r="D28" s="101" t="inlineStr">
        <is>
          <t>Toast</t>
        </is>
      </c>
      <c r="E28" s="101" t="inlineStr">
        <is>
          <t>Yes, CP No</t>
        </is>
      </c>
      <c r="F28" s="101" t="inlineStr">
        <is>
          <t>Unknown</t>
        </is>
      </c>
      <c r="G28" s="101" t="inlineStr">
        <is>
          <t>Unknown</t>
        </is>
      </c>
      <c r="H28" s="101" t="inlineStr">
        <is>
          <t>Unknown</t>
        </is>
      </c>
      <c r="I28" s="101" t="inlineStr">
        <is>
          <t>Unknown</t>
        </is>
      </c>
      <c r="J28" s="101" t="inlineStr">
        <is>
          <t>Unknown</t>
        </is>
      </c>
      <c r="K28" s="101" t="inlineStr">
        <is>
          <t>Unknown</t>
        </is>
      </c>
      <c r="L28" s="101" t="inlineStr">
        <is>
          <t>Established / strategic</t>
        </is>
      </c>
      <c r="M28" s="101" t="n">
        <v>3</v>
      </c>
      <c r="N28" s="101" t="n">
        <v>6</v>
      </c>
      <c r="O28" s="14" t="n">
        <v>0.3333333333333333</v>
      </c>
      <c r="P28" s="14" t="n">
        <v>0.3333333333333333</v>
      </c>
      <c r="Q28" s="101" t="inlineStr">
        <is>
          <t>Franchise payments and adjacent whitespace</t>
        </is>
      </c>
      <c r="R28" s="104" t="inlineStr">
        <is>
          <t>Confirm Toast modules and RBI governance; focus only on uncovered layers/franchise exceptions.</t>
        </is>
      </c>
    </row>
    <row r="29" ht="26" customHeight="1" s="59">
      <c r="A29" s="100" t="inlineStr">
        <is>
          <t>BOYNE USA INC</t>
        </is>
      </c>
      <c r="B29" s="101" t="inlineStr">
        <is>
          <t>Avery Churchwell</t>
        </is>
      </c>
      <c r="C29" s="101" t="inlineStr">
        <is>
          <t>FreedomPay</t>
        </is>
      </c>
      <c r="D29" s="101" t="inlineStr">
        <is>
          <t>Agilysys, RTP</t>
        </is>
      </c>
      <c r="E29" s="101" t="inlineStr">
        <is>
          <t>Flaik</t>
        </is>
      </c>
      <c r="F29" s="101" t="inlineStr">
        <is>
          <t>Unknown</t>
        </is>
      </c>
      <c r="G29" s="101" t="inlineStr">
        <is>
          <t>Unknown</t>
        </is>
      </c>
      <c r="H29" s="101" t="inlineStr">
        <is>
          <t>Mashgin</t>
        </is>
      </c>
      <c r="I29" s="101" t="inlineStr">
        <is>
          <t>Unknown</t>
        </is>
      </c>
      <c r="J29" s="101" t="inlineStr">
        <is>
          <t>Unknown</t>
        </is>
      </c>
      <c r="K29" s="101" t="inlineStr">
        <is>
          <t>Swipe Simple B250 &amp; FB Terminals</t>
        </is>
      </c>
      <c r="L29" s="101" t="inlineStr">
        <is>
          <t>Established mixed hospitality stack</t>
        </is>
      </c>
      <c r="M29" s="101" t="n">
        <v>5</v>
      </c>
      <c r="N29" s="101" t="n">
        <v>4</v>
      </c>
      <c r="O29" s="14" t="n">
        <v>0.5555555555555556</v>
      </c>
      <c r="P29" s="14" t="n">
        <v>0.5555555555555556</v>
      </c>
      <c r="Q29" s="101" t="inlineStr">
        <is>
          <t>Resort commerce consolidation</t>
        </is>
      </c>
      <c r="R29" s="104" t="inlineStr">
        <is>
          <t>Map Agilysys, RTP, Mashgin and Flaik by venue/property; confirm renewal dates.</t>
        </is>
      </c>
    </row>
    <row r="30" ht="26" customHeight="1" s="59">
      <c r="A30" s="100" t="inlineStr">
        <is>
          <t>SLIM CHICKENS</t>
        </is>
      </c>
      <c r="B30" s="101" t="inlineStr">
        <is>
          <t>Avery Churchwell</t>
        </is>
      </c>
      <c r="C30" s="101" t="inlineStr">
        <is>
          <t>PAR Brink (VAR - Verifone Classic) and Olo</t>
        </is>
      </c>
      <c r="D30" s="101" t="inlineStr">
        <is>
          <t>PAR Brink</t>
        </is>
      </c>
      <c r="E30" s="101" t="inlineStr">
        <is>
          <t>Olo Ordering, Dispatch, Rails, Switchboard, Sync</t>
        </is>
      </c>
      <c r="F30" s="101" t="inlineStr">
        <is>
          <t>Unknown</t>
        </is>
      </c>
      <c r="G30" s="101" t="inlineStr">
        <is>
          <t>Unknown</t>
        </is>
      </c>
      <c r="H30" s="101" t="inlineStr">
        <is>
          <t>PAR - Lane 300s</t>
        </is>
      </c>
      <c r="I30" s="101" t="inlineStr">
        <is>
          <t>Unknown</t>
        </is>
      </c>
      <c r="J30" s="101" t="inlineStr">
        <is>
          <t>Unknown</t>
        </is>
      </c>
      <c r="K30" s="101" t="inlineStr">
        <is>
          <t>Established PAR/RDS; Worldpay renewed through 2029</t>
        </is>
      </c>
      <c r="L30" s="101" t="inlineStr">
        <is>
          <t>Payments retained; no new customer-defined trigger</t>
        </is>
      </c>
      <c r="M30" s="101" t="n">
        <v>5</v>
      </c>
      <c r="N30" s="101" t="n">
        <v>4</v>
      </c>
      <c r="O30" s="14" t="n">
        <v>0.5555555555555556</v>
      </c>
      <c r="P30" s="14" t="n">
        <v>0.5555555555555556</v>
      </c>
      <c r="Q30" s="101" t="inlineStr">
        <is>
          <t>RDS-led relationship map</t>
        </is>
      </c>
      <c r="R30" s="104" t="inlineStr">
        <is>
          <t>Wait for RDS-validated customer problem; no direct outreach</t>
        </is>
      </c>
    </row>
    <row r="31" ht="26" customHeight="1" s="59">
      <c r="A31" s="100" t="inlineStr">
        <is>
          <t>Barbara B Mann PAH</t>
        </is>
      </c>
      <c r="B31" s="101" t="inlineStr">
        <is>
          <t>Brian Wood</t>
        </is>
      </c>
      <c r="C31" s="101" t="inlineStr">
        <is>
          <t>Cybersource</t>
        </is>
      </c>
      <c r="D31" s="101" t="inlineStr">
        <is>
          <t>Unknown</t>
        </is>
      </c>
      <c r="E31" s="101" t="inlineStr">
        <is>
          <t>Yes</t>
        </is>
      </c>
      <c r="F31" s="101" t="inlineStr">
        <is>
          <t>Unknown</t>
        </is>
      </c>
      <c r="G31" s="101" t="inlineStr">
        <is>
          <t>Unknown</t>
        </is>
      </c>
      <c r="H31" s="101" t="inlineStr">
        <is>
          <t>Unknown</t>
        </is>
      </c>
      <c r="I31" s="101" t="inlineStr">
        <is>
          <t>Unknown</t>
        </is>
      </c>
      <c r="J31" s="101" t="inlineStr">
        <is>
          <t>Unknown</t>
        </is>
      </c>
      <c r="K31" s="101" t="inlineStr">
        <is>
          <t>Unknown</t>
        </is>
      </c>
      <c r="L31" s="101" t="inlineStr">
        <is>
          <t>Unknown</t>
        </is>
      </c>
      <c r="M31" s="101" t="n">
        <v>2</v>
      </c>
      <c r="N31" s="101" t="n">
        <v>7</v>
      </c>
      <c r="O31" s="14" t="n">
        <v>0.2222222222222222</v>
      </c>
      <c r="P31" s="14" t="n">
        <v>0.2222222222222222</v>
      </c>
      <c r="Q31" s="101" t="inlineStr">
        <is>
          <t>Venue commerce discovery</t>
        </is>
      </c>
      <c r="R31" s="104" t="inlineStr">
        <is>
          <t>Resolve legal entity/venue scope and validate Cybersource/ecommerce footprint.</t>
        </is>
      </c>
    </row>
    <row r="32" ht="26" customHeight="1" s="59">
      <c r="A32" s="100" t="inlineStr">
        <is>
          <t>STATION CASINO</t>
        </is>
      </c>
      <c r="B32" s="101" t="inlineStr">
        <is>
          <t>Avery Churchwell</t>
        </is>
      </c>
      <c r="C32" s="101" t="inlineStr">
        <is>
          <t>FreedomPay</t>
        </is>
      </c>
      <c r="D32" s="101" t="inlineStr">
        <is>
          <t>Agilysys</t>
        </is>
      </c>
      <c r="E32" s="101" t="inlineStr">
        <is>
          <t>OnDemand</t>
        </is>
      </c>
      <c r="F32" s="101" t="inlineStr">
        <is>
          <t>Unknown</t>
        </is>
      </c>
      <c r="G32" s="101" t="inlineStr">
        <is>
          <t>Unknown</t>
        </is>
      </c>
      <c r="H32" s="101" t="inlineStr">
        <is>
          <t>Unknown</t>
        </is>
      </c>
      <c r="I32" s="101" t="inlineStr">
        <is>
          <t>Unknown</t>
        </is>
      </c>
      <c r="J32" s="101" t="inlineStr">
        <is>
          <t>Unknown</t>
        </is>
      </c>
      <c r="K32" s="101" t="inlineStr">
        <is>
          <t>FP Terminals</t>
        </is>
      </c>
      <c r="L32" s="101" t="inlineStr">
        <is>
          <t>Established hospitality stack</t>
        </is>
      </c>
      <c r="M32" s="101" t="n">
        <v>4</v>
      </c>
      <c r="N32" s="101" t="n">
        <v>5</v>
      </c>
      <c r="O32" s="14" t="n">
        <v>0.4444444444444444</v>
      </c>
      <c r="P32" s="14" t="n">
        <v>0.4444444444444444</v>
      </c>
      <c r="Q32" s="101" t="inlineStr">
        <is>
          <t>Venue payments and commerce adjacency</t>
        </is>
      </c>
      <c r="R32" s="104" t="inlineStr">
        <is>
          <t>Validate Agilysys/FreedomPay contract dates and venue expansion plans.</t>
        </is>
      </c>
    </row>
    <row r="33" ht="26" customHeight="1" s="59">
      <c r="A33" s="100" t="inlineStr">
        <is>
          <t>LATRELLES MANAGEMENT CORP (Bullritos)</t>
        </is>
      </c>
      <c r="B33" s="101" t="inlineStr">
        <is>
          <t>Avery Churchwell</t>
        </is>
      </c>
      <c r="C33" s="101" t="inlineStr">
        <is>
          <t>NCR Aloha/Connected Payments</t>
        </is>
      </c>
      <c r="D33" s="101" t="inlineStr">
        <is>
          <t>NCR Aloha</t>
        </is>
      </c>
      <c r="E33" s="101" t="inlineStr">
        <is>
          <t>Unknown</t>
        </is>
      </c>
      <c r="F33" s="101" t="inlineStr">
        <is>
          <t>Unknown</t>
        </is>
      </c>
      <c r="G33" s="101" t="inlineStr">
        <is>
          <t>Unknown</t>
        </is>
      </c>
      <c r="H33" s="101" t="inlineStr">
        <is>
          <t>Unknown</t>
        </is>
      </c>
      <c r="I33" s="101" t="inlineStr">
        <is>
          <t>Unknown</t>
        </is>
      </c>
      <c r="J33" s="101" t="inlineStr">
        <is>
          <t>Unknown</t>
        </is>
      </c>
      <c r="K33" s="101" t="inlineStr">
        <is>
          <t>Unknown</t>
        </is>
      </c>
      <c r="L33" s="101" t="inlineStr">
        <is>
          <t>Established NCR</t>
        </is>
      </c>
      <c r="M33" s="101" t="n">
        <v>2</v>
      </c>
      <c r="N33" s="101" t="n">
        <v>7</v>
      </c>
      <c r="O33" s="14" t="n">
        <v>0.2222222222222222</v>
      </c>
      <c r="P33" s="14" t="n">
        <v>0.2222222222222222</v>
      </c>
      <c r="Q33" s="101" t="inlineStr">
        <is>
          <t>Mid-market POS/payments modernization</t>
        </is>
      </c>
      <c r="R33" s="104" t="inlineStr">
        <is>
          <t>Validate current estate and buying authority.</t>
        </is>
      </c>
    </row>
    <row r="34" ht="26" customHeight="1" s="59">
      <c r="A34" s="105" t="inlineStr">
        <is>
          <t>FESTIVA REAL ESTATE HOLDINGS</t>
        </is>
      </c>
      <c r="B34" s="106" t="inlineStr">
        <is>
          <t>Brian Wood</t>
        </is>
      </c>
      <c r="C34" s="106" t="inlineStr">
        <is>
          <t>Shift4 &amp; other</t>
        </is>
      </c>
      <c r="D34" s="106" t="inlineStr">
        <is>
          <t>Shift4 &amp; other</t>
        </is>
      </c>
      <c r="E34" s="106" t="inlineStr">
        <is>
          <t>Yes</t>
        </is>
      </c>
      <c r="F34" s="106" t="inlineStr">
        <is>
          <t>Unknown</t>
        </is>
      </c>
      <c r="G34" s="106" t="inlineStr">
        <is>
          <t>Unknown</t>
        </is>
      </c>
      <c r="H34" s="106" t="inlineStr">
        <is>
          <t>Unknown</t>
        </is>
      </c>
      <c r="I34" s="106" t="inlineStr">
        <is>
          <t>Unknown</t>
        </is>
      </c>
      <c r="J34" s="106" t="inlineStr">
        <is>
          <t>Unknown</t>
        </is>
      </c>
      <c r="K34" s="106" t="inlineStr">
        <is>
          <t>Unknown</t>
        </is>
      </c>
      <c r="L34" s="106" t="inlineStr">
        <is>
          <t>Established / unclear</t>
        </is>
      </c>
      <c r="M34" s="106" t="n">
        <v>3</v>
      </c>
      <c r="N34" s="106" t="n">
        <v>6</v>
      </c>
      <c r="O34" s="15" t="n">
        <v>0.3333333333333333</v>
      </c>
      <c r="P34" s="15" t="n">
        <v>0.3333333333333333</v>
      </c>
      <c r="Q34" s="106" t="inlineStr">
        <is>
          <t>Payments discovery</t>
        </is>
      </c>
      <c r="R34" s="109" t="inlineStr">
        <is>
          <t>Resolve entity relationship and current payment estate before pursuit.</t>
        </is>
      </c>
    </row>
    <row r="35" ht="90" customHeight="1" s="59">
      <c r="A35" s="90" t="inlineStr">
        <is>
          <t>POLLO CAMPERO</t>
        </is>
      </c>
      <c r="B35" s="90" t="inlineStr">
        <is>
          <t>Unassigned / Worldpay</t>
        </is>
      </c>
      <c r="C35" s="90" t="inlineStr">
        <is>
          <t>Oracle Simphony migration; NCR Aloha legacy</t>
        </is>
      </c>
      <c r="D35" s="90" t="inlineStr">
        <is>
          <t>Fiserv in-store; Olo Pay/Stripe digital</t>
        </is>
      </c>
      <c r="E35" s="90" t="inlineStr">
        <is>
          <t>Olo</t>
        </is>
      </c>
      <c r="F35" s="90" t="inlineStr">
        <is>
          <t>Current loyalty vendor unknown</t>
        </is>
      </c>
      <c r="G35" s="90" t="inlineStr">
        <is>
          <t>Unknown</t>
        </is>
      </c>
      <c r="H35" s="90" t="inlineStr">
        <is>
          <t>DMB incumbent/dissatisfaction reported</t>
        </is>
      </c>
      <c r="I35" s="90" t="inlineStr">
        <is>
          <t>Unknown</t>
        </is>
      </c>
      <c r="J35" s="90" t="inlineStr">
        <is>
          <t>Unknown</t>
        </is>
      </c>
      <c r="K35" s="90" t="inlineStr">
        <is>
          <t>Mixed estate / potential RFI</t>
        </is>
      </c>
      <c r="L35" s="90" t="inlineStr">
        <is>
          <t>Scope, decision openness and deadlines unverified</t>
        </is>
      </c>
      <c r="M35" s="90" t="n">
        <v>5</v>
      </c>
      <c r="N35" s="90" t="n">
        <v>4</v>
      </c>
      <c r="O35" s="48" t="n">
        <v>0.5555555555555556</v>
      </c>
      <c r="P35" s="90" t="inlineStr">
        <is>
          <t>RFI qualification + international platform/payments/DMB</t>
        </is>
      </c>
      <c r="Q35" s="90" t="inlineStr">
        <is>
          <t>Obtain NDA/RFI and validate estate by country</t>
        </is>
      </c>
      <c r="R35" s="90" t="inlineStr">
        <is>
          <t>Confirm sponsor, deadlines, Oracle status, payment scope and DMB requirements</t>
        </is>
      </c>
    </row>
    <row r="36" ht="45" customHeight="1" s="59">
      <c r="A36" s="90" t="inlineStr">
        <is>
          <t>RDS FIVE-UNIT REBRAND PILOT</t>
        </is>
      </c>
      <c r="B36" s="90" t="inlineStr">
        <is>
          <t>RDS / Darren Heinze</t>
        </is>
      </c>
      <c r="C36" s="90" t="inlineStr">
        <is>
          <t>To be determined</t>
        </is>
      </c>
      <c r="D36" s="90" t="inlineStr">
        <is>
          <t>Worldpay/Genius candidate</t>
        </is>
      </c>
      <c r="E36" s="90" t="inlineStr">
        <is>
          <t>Unknown</t>
        </is>
      </c>
      <c r="F36" s="90" t="inlineStr">
        <is>
          <t>Unknown</t>
        </is>
      </c>
      <c r="G36" s="90" t="inlineStr">
        <is>
          <t>Unknown</t>
        </is>
      </c>
      <c r="H36" s="90" t="inlineStr">
        <is>
          <t>Digital menu boards in evaluation</t>
        </is>
      </c>
      <c r="I36" s="90" t="inlineStr">
        <is>
          <t>Unknown</t>
        </is>
      </c>
      <c r="J36" s="90" t="inlineStr">
        <is>
          <t>Drive-thru sites</t>
        </is>
      </c>
      <c r="K36" s="90" t="inlineStr">
        <is>
          <t>Clean-slate rebrand / conversion</t>
        </is>
      </c>
      <c r="L36" s="90" t="inlineStr">
        <is>
          <t>Customer facts and commercial model unverified</t>
        </is>
      </c>
      <c r="M36" s="90" t="n">
        <v>4</v>
      </c>
      <c r="N36" s="90" t="n">
        <v>5</v>
      </c>
      <c r="O36" s="48" t="n">
        <v>0.4444444444444444</v>
      </c>
      <c r="P36" s="90" t="inlineStr">
        <is>
          <t>RDS-led pilot and reseller proof</t>
        </is>
      </c>
      <c r="Q36" s="90" t="inlineStr">
        <is>
          <t>Confirm full phased-stack scope</t>
        </is>
      </c>
      <c r="R36" s="90" t="inlineStr">
        <is>
          <t>Confirm entity, authority, dates, budget, incumbent contracts and account-protection terms</t>
        </is>
      </c>
    </row>
  </sheetData>
  <mergeCells count="2">
    <mergeCell ref="A2:R2"/>
    <mergeCell ref="A1:R1"/>
  </mergeCells>
  <conditionalFormatting sqref="P5:P34">
    <cfRule type="dataBar" priority="1">
      <dataBar>
        <cfvo type="min"/>
        <cfvo type="max"/>
        <color rgb="FF2A9D8F"/>
      </dataBar>
    </cfRule>
    <cfRule type="dataBar" priority="2">
      <dataBar>
        <cfvo type="min"/>
        <cfvo type="max"/>
        <color rgb="FF2A9D8F"/>
      </dataBar>
    </cfRule>
    <cfRule type="dataBar" priority="3">
      <dataBar>
        <cfvo type="min"/>
        <cfvo type="max"/>
        <color rgb="FF2A9D8F"/>
      </dataBar>
    </cfRule>
    <cfRule type="dataBar" priority="4">
      <dataBar>
        <cfvo type="min"/>
        <cfvo type="max"/>
        <color rgb="FF2A9D8F"/>
      </dataBar>
    </cfRule>
  </conditionalFormatting>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J85"/>
  <sheetViews>
    <sheetView showGridLines="0" workbookViewId="0">
      <selection activeCell="A1" sqref="A1"/>
    </sheetView>
  </sheetViews>
  <sheetFormatPr baseColWidth="10" defaultColWidth="8.83203125" defaultRowHeight="14"/>
  <cols>
    <col width="29" customWidth="1" style="59" min="1" max="1"/>
    <col width="24" customWidth="1" style="59" min="2" max="2"/>
    <col width="22" customWidth="1" style="59" min="3" max="3"/>
    <col width="13" customWidth="1" style="59" min="4" max="4"/>
    <col width="25" customWidth="1" style="59" min="5" max="5"/>
    <col width="55" customWidth="1" style="59" min="6" max="7"/>
    <col width="18" customWidth="1" style="59" min="8" max="8"/>
    <col width="32" customWidth="1" style="59" min="9" max="9"/>
    <col width="14" customWidth="1" style="59" min="10" max="10"/>
  </cols>
  <sheetData>
    <row r="1" ht="32" customHeight="1" s="59">
      <c r="A1" s="110" t="inlineStr">
        <is>
          <t>Evidence Ledger — refreshed 2026-09-04</t>
        </is>
      </c>
    </row>
    <row r="2" ht="30" customHeight="1" s="59">
      <c r="A2" s="112" t="inlineStr">
        <is>
          <t>Evidence type and confidence are explicit. User intelligence is high-priority field evidence but is not relabeled as public verification.</t>
        </is>
      </c>
    </row>
    <row r="3">
      <c r="A3" s="111" t="n"/>
      <c r="B3" s="111" t="n"/>
      <c r="C3" s="111" t="n"/>
      <c r="D3" s="111" t="n"/>
      <c r="E3" s="111" t="n"/>
      <c r="F3" s="111" t="n"/>
      <c r="G3" s="111" t="n"/>
      <c r="H3" s="111" t="n"/>
      <c r="I3" s="111" t="n"/>
      <c r="J3" s="111" t="n"/>
    </row>
    <row r="4" ht="28" customHeight="1" s="59">
      <c r="A4" s="113" t="inlineStr">
        <is>
          <t>Account</t>
        </is>
      </c>
      <c r="B4" s="114" t="inlineStr">
        <is>
          <t>Technology Layer</t>
        </is>
      </c>
      <c r="C4" s="114" t="inlineStr">
        <is>
          <t>Event Type</t>
        </is>
      </c>
      <c r="D4" s="114" t="inlineStr">
        <is>
          <t>Event Date</t>
        </is>
      </c>
      <c r="E4" s="114" t="inlineStr">
        <is>
          <t>Source / Publisher</t>
        </is>
      </c>
      <c r="F4" s="114" t="inlineStr">
        <is>
          <t>Evidence Summary</t>
        </is>
      </c>
      <c r="G4" s="114" t="inlineStr">
        <is>
          <t>Source URL or Reference</t>
        </is>
      </c>
      <c r="H4" s="114" t="inlineStr">
        <is>
          <t>Confidence</t>
        </is>
      </c>
      <c r="I4" s="114" t="inlineStr">
        <is>
          <t>Current-State Interpretation</t>
        </is>
      </c>
      <c r="J4" s="115" t="inlineStr">
        <is>
          <t>Research Date</t>
        </is>
      </c>
    </row>
    <row r="5">
      <c r="A5" s="95" t="inlineStr">
        <is>
          <t>WENDY'S INTERNATIONAL INC</t>
        </is>
      </c>
      <c r="B5" s="96" t="inlineStr">
        <is>
          <t>Baseline stack</t>
        </is>
      </c>
      <c r="C5" s="96" t="inlineStr">
        <is>
          <t>Worldpay source</t>
        </is>
      </c>
      <c r="D5" s="116" t="n"/>
      <c r="E5" s="96" t="inlineStr">
        <is>
          <t>Internal source</t>
        </is>
      </c>
      <c r="F5" s="96" t="inlineStr">
        <is>
          <t>Worldpay reports POS=NCR Aloha; ISV/payments=ACI; ecommerce=Yes.</t>
        </is>
      </c>
      <c r="G5" s="96" t="inlineStr">
        <is>
          <t>Worldpay_30_Account_Capture_Plan_v1.xlsx — Worldpay Source Snapshot</t>
        </is>
      </c>
      <c r="H5" s="96" t="inlineStr">
        <is>
          <t>Medium</t>
        </is>
      </c>
      <c r="I5" s="96" t="inlineStr">
        <is>
          <t>Baseline; requires current verification</t>
        </is>
      </c>
      <c r="J5" s="117" t="inlineStr">
        <is>
          <t>2026-07-20</t>
        </is>
      </c>
    </row>
    <row r="6">
      <c r="A6" s="100" t="inlineStr">
        <is>
          <t>WENDY'S INTERNATIONAL INC</t>
        </is>
      </c>
      <c r="B6" s="101" t="inlineStr">
        <is>
          <t>Field update</t>
        </is>
      </c>
      <c r="C6" s="101" t="inlineStr">
        <is>
          <t>User intelligence</t>
        </is>
      </c>
      <c r="D6" s="118" t="n">
        <v>46223</v>
      </c>
      <c r="E6" s="101" t="inlineStr">
        <is>
          <t>User-supplied</t>
        </is>
      </c>
      <c r="F6" s="101" t="inlineStr">
        <is>
          <t>Wendy’s is making a POS decision next week; Genius is in the mix.</t>
        </is>
      </c>
      <c r="G6" s="101" t="inlineStr">
        <is>
          <t>User field intelligence supplied for this analysis on 2026-07-20</t>
        </is>
      </c>
      <c r="H6" s="101" t="inlineStr">
        <is>
          <t>High (user intelligence)</t>
        </is>
      </c>
      <c r="I6" s="101" t="inlineStr">
        <is>
          <t>Preserve separately from public verification</t>
        </is>
      </c>
      <c r="J6" s="119" t="inlineStr">
        <is>
          <t>2026-07-20</t>
        </is>
      </c>
    </row>
    <row r="7" ht="26" customHeight="1" s="59">
      <c r="A7" s="100" t="inlineStr">
        <is>
          <t>DEL TACO LLC</t>
        </is>
      </c>
      <c r="B7" s="101" t="inlineStr">
        <is>
          <t>Baseline stack</t>
        </is>
      </c>
      <c r="C7" s="101" t="inlineStr">
        <is>
          <t>Worldpay source</t>
        </is>
      </c>
      <c r="D7" s="118" t="n"/>
      <c r="E7" s="101" t="inlineStr">
        <is>
          <t>Internal source</t>
        </is>
      </c>
      <c r="F7" s="101" t="inlineStr">
        <is>
          <t>Worldpay reports POS=NCR; ISV/payments=NCR Connected Payments; ecommerce=OLO corporate.</t>
        </is>
      </c>
      <c r="G7" s="101" t="inlineStr">
        <is>
          <t>Worldpay_30_Account_Capture_Plan_v1.xlsx — Worldpay Source Snapshot</t>
        </is>
      </c>
      <c r="H7" s="101" t="inlineStr">
        <is>
          <t>Medium</t>
        </is>
      </c>
      <c r="I7" s="101" t="inlineStr">
        <is>
          <t>Baseline; requires current verification</t>
        </is>
      </c>
      <c r="J7" s="119" t="inlineStr">
        <is>
          <t>2026-07-20</t>
        </is>
      </c>
    </row>
    <row r="8">
      <c r="A8" s="100" t="inlineStr">
        <is>
          <t>DEL TACO LLC</t>
        </is>
      </c>
      <c r="B8" s="101" t="inlineStr">
        <is>
          <t>Field update</t>
        </is>
      </c>
      <c r="C8" s="101" t="inlineStr">
        <is>
          <t>User intelligence</t>
        </is>
      </c>
      <c r="D8" s="118" t="n">
        <v>46223</v>
      </c>
      <c r="E8" s="101" t="inlineStr">
        <is>
          <t>User-supplied</t>
        </is>
      </c>
      <c r="F8" s="101" t="inlineStr">
        <is>
          <t>Del Taco has leads floating around Global Payments and status is needed.</t>
        </is>
      </c>
      <c r="G8" s="101" t="inlineStr">
        <is>
          <t>User field intelligence supplied for this analysis on 2026-07-20</t>
        </is>
      </c>
      <c r="H8" s="101" t="inlineStr">
        <is>
          <t>High (user intelligence)</t>
        </is>
      </c>
      <c r="I8" s="101" t="inlineStr">
        <is>
          <t>Preserve separately from public verification</t>
        </is>
      </c>
      <c r="J8" s="119" t="inlineStr">
        <is>
          <t>2026-07-20</t>
        </is>
      </c>
    </row>
    <row r="9" ht="26" customHeight="1" s="59">
      <c r="A9" s="100" t="inlineStr">
        <is>
          <t>Dutch Bros</t>
        </is>
      </c>
      <c r="B9" s="101" t="inlineStr">
        <is>
          <t>Baseline stack</t>
        </is>
      </c>
      <c r="C9" s="101" t="inlineStr">
        <is>
          <t>Worldpay source</t>
        </is>
      </c>
      <c r="D9" s="118" t="n"/>
      <c r="E9" s="101" t="inlineStr">
        <is>
          <t>Internal source</t>
        </is>
      </c>
      <c r="F9" s="101" t="inlineStr">
        <is>
          <t>Worldpay reports POS=Xenial Cloud POS; ISV/payments=Verifone SCA Gateway; ecommerce=OloPay, Braintree, Paytronix.</t>
        </is>
      </c>
      <c r="G9" s="101" t="inlineStr">
        <is>
          <t>Worldpay_30_Account_Capture_Plan_v1.xlsx — Worldpay Source Snapshot</t>
        </is>
      </c>
      <c r="H9" s="101" t="inlineStr">
        <is>
          <t>Medium</t>
        </is>
      </c>
      <c r="I9" s="101" t="inlineStr">
        <is>
          <t>Baseline; requires current verification</t>
        </is>
      </c>
      <c r="J9" s="119" t="inlineStr">
        <is>
          <t>2026-07-20</t>
        </is>
      </c>
    </row>
    <row r="10">
      <c r="A10" s="100" t="inlineStr">
        <is>
          <t>Dutch Bros</t>
        </is>
      </c>
      <c r="B10" s="101" t="inlineStr">
        <is>
          <t>Field update</t>
        </is>
      </c>
      <c r="C10" s="101" t="inlineStr">
        <is>
          <t>User intelligence</t>
        </is>
      </c>
      <c r="D10" s="118" t="n">
        <v>46223</v>
      </c>
      <c r="E10" s="101" t="inlineStr">
        <is>
          <t>User-supplied</t>
        </is>
      </c>
      <c r="F10" s="101" t="inlineStr">
        <is>
          <t>Dutch Bros is already a Genius customer.</t>
        </is>
      </c>
      <c r="G10" s="101" t="inlineStr">
        <is>
          <t>User field intelligence supplied for this analysis on 2026-07-20</t>
        </is>
      </c>
      <c r="H10" s="101" t="inlineStr">
        <is>
          <t>High (user intelligence)</t>
        </is>
      </c>
      <c r="I10" s="101" t="inlineStr">
        <is>
          <t>Preserve separately from public verification</t>
        </is>
      </c>
      <c r="J10" s="119" t="inlineStr">
        <is>
          <t>2026-07-20</t>
        </is>
      </c>
    </row>
    <row r="11" ht="26" customHeight="1" s="59">
      <c r="A11" s="100" t="inlineStr">
        <is>
          <t>Focus Brands (GoTo Foods)</t>
        </is>
      </c>
      <c r="B11" s="101" t="inlineStr">
        <is>
          <t>Baseline stack</t>
        </is>
      </c>
      <c r="C11" s="101" t="inlineStr">
        <is>
          <t>Worldpay source</t>
        </is>
      </c>
      <c r="D11" s="118" t="n"/>
      <c r="E11" s="101" t="inlineStr">
        <is>
          <t>Internal source</t>
        </is>
      </c>
      <c r="F11" s="101" t="inlineStr">
        <is>
          <t>Worldpay reports POS=FreedomPay (in-store), OLO (online), Monkey Media (catering), moving all to Qu; ISV/payments=FreedomPay; ecommerce=Yes.</t>
        </is>
      </c>
      <c r="G11" s="101" t="inlineStr">
        <is>
          <t>Worldpay_30_Account_Capture_Plan_v1.xlsx — Worldpay Source Snapshot</t>
        </is>
      </c>
      <c r="H11" s="101" t="inlineStr">
        <is>
          <t>Medium</t>
        </is>
      </c>
      <c r="I11" s="101" t="inlineStr">
        <is>
          <t>Baseline; requires current verification</t>
        </is>
      </c>
      <c r="J11" s="119" t="inlineStr">
        <is>
          <t>2026-07-20</t>
        </is>
      </c>
    </row>
    <row r="12" ht="26" customHeight="1" s="59">
      <c r="A12" s="100" t="inlineStr">
        <is>
          <t>Focus Brands (GoTo Foods)</t>
        </is>
      </c>
      <c r="B12" s="101" t="inlineStr">
        <is>
          <t>Field update</t>
        </is>
      </c>
      <c r="C12" s="101" t="inlineStr">
        <is>
          <t>User intelligence</t>
        </is>
      </c>
      <c r="D12" s="118" t="n">
        <v>46223</v>
      </c>
      <c r="E12" s="101" t="inlineStr">
        <is>
          <t>User-supplied</t>
        </is>
      </c>
      <c r="F12" s="101" t="inlineStr">
        <is>
          <t>Focus/GoTo Foods is a recent Qu win but deployment is taking longer than expected.</t>
        </is>
      </c>
      <c r="G12" s="101" t="inlineStr">
        <is>
          <t>User field intelligence supplied for this analysis on 2026-07-20</t>
        </is>
      </c>
      <c r="H12" s="101" t="inlineStr">
        <is>
          <t>High (user intelligence)</t>
        </is>
      </c>
      <c r="I12" s="101" t="inlineStr">
        <is>
          <t>Preserve separately from public verification</t>
        </is>
      </c>
      <c r="J12" s="119" t="inlineStr">
        <is>
          <t>2026-07-20</t>
        </is>
      </c>
    </row>
    <row r="13">
      <c r="A13" s="100" t="inlineStr">
        <is>
          <t>SUBWAY</t>
        </is>
      </c>
      <c r="B13" s="101" t="inlineStr">
        <is>
          <t>Baseline stack</t>
        </is>
      </c>
      <c r="C13" s="101" t="inlineStr">
        <is>
          <t>Worldpay source</t>
        </is>
      </c>
      <c r="D13" s="118" t="n"/>
      <c r="E13" s="101" t="inlineStr">
        <is>
          <t>Internal source</t>
        </is>
      </c>
      <c r="F13" s="101" t="inlineStr">
        <is>
          <t>Worldpay reports POS=Proprietary; ISV/payments=FreedomPay; ecommerce=Yes.</t>
        </is>
      </c>
      <c r="G13" s="101" t="inlineStr">
        <is>
          <t>Worldpay_30_Account_Capture_Plan_v1.xlsx — Worldpay Source Snapshot</t>
        </is>
      </c>
      <c r="H13" s="101" t="inlineStr">
        <is>
          <t>Medium</t>
        </is>
      </c>
      <c r="I13" s="101" t="inlineStr">
        <is>
          <t>Baseline; requires current verification</t>
        </is>
      </c>
      <c r="J13" s="119" t="inlineStr">
        <is>
          <t>2026-07-20</t>
        </is>
      </c>
    </row>
    <row r="14" ht="26" customHeight="1" s="59">
      <c r="A14" s="100" t="inlineStr">
        <is>
          <t>FIVE GUYS</t>
        </is>
      </c>
      <c r="B14" s="101" t="inlineStr">
        <is>
          <t>Baseline stack</t>
        </is>
      </c>
      <c r="C14" s="101" t="inlineStr">
        <is>
          <t>Worldpay source</t>
        </is>
      </c>
      <c r="D14" s="118" t="n"/>
      <c r="E14" s="101" t="inlineStr">
        <is>
          <t>Internal source</t>
        </is>
      </c>
      <c r="F14" s="101" t="inlineStr">
        <is>
          <t>Worldpay reports POS=Par, Verifone SCA, Olo; ISV/payments=PAR; ecommerce=Olo.</t>
        </is>
      </c>
      <c r="G14" s="101" t="inlineStr">
        <is>
          <t>Worldpay_30_Account_Capture_Plan_v1.xlsx — Worldpay Source Snapshot</t>
        </is>
      </c>
      <c r="H14" s="101" t="inlineStr">
        <is>
          <t>Medium</t>
        </is>
      </c>
      <c r="I14" s="101" t="inlineStr">
        <is>
          <t>Baseline; requires current verification</t>
        </is>
      </c>
      <c r="J14" s="119" t="inlineStr">
        <is>
          <t>2026-07-20</t>
        </is>
      </c>
    </row>
    <row r="15" ht="26" customHeight="1" s="59">
      <c r="A15" s="100" t="inlineStr">
        <is>
          <t>FIVE GUYS</t>
        </is>
      </c>
      <c r="B15" s="101" t="inlineStr">
        <is>
          <t>Field update</t>
        </is>
      </c>
      <c r="C15" s="101" t="inlineStr">
        <is>
          <t>User intelligence</t>
        </is>
      </c>
      <c r="D15" s="118" t="n">
        <v>46223</v>
      </c>
      <c r="E15" s="101" t="inlineStr">
        <is>
          <t>User-supplied</t>
        </is>
      </c>
      <c r="F15" s="101" t="inlineStr">
        <is>
          <t>Five Guys is a very happy CrunchTime user; PAR signed a three-year POS extension about 2.25 years ago.</t>
        </is>
      </c>
      <c r="G15" s="101" t="inlineStr">
        <is>
          <t>User field intelligence supplied for this analysis on 2026-07-20</t>
        </is>
      </c>
      <c r="H15" s="101" t="inlineStr">
        <is>
          <t>High (user intelligence)</t>
        </is>
      </c>
      <c r="I15" s="101" t="inlineStr">
        <is>
          <t>Preserve separately from public verification</t>
        </is>
      </c>
      <c r="J15" s="119" t="inlineStr">
        <is>
          <t>2026-07-20</t>
        </is>
      </c>
    </row>
    <row r="16">
      <c r="A16" s="100" t="inlineStr">
        <is>
          <t>CHOICE HOTELS</t>
        </is>
      </c>
      <c r="B16" s="101" t="inlineStr">
        <is>
          <t>Baseline stack</t>
        </is>
      </c>
      <c r="C16" s="101" t="inlineStr">
        <is>
          <t>Worldpay source</t>
        </is>
      </c>
      <c r="D16" s="118" t="n"/>
      <c r="E16" s="101" t="inlineStr">
        <is>
          <t>Internal source</t>
        </is>
      </c>
      <c r="F16" s="101" t="inlineStr">
        <is>
          <t>Worldpay reports POS=Shift4; ISV/payments=unknown; ecommerce=Yes.</t>
        </is>
      </c>
      <c r="G16" s="101" t="inlineStr">
        <is>
          <t>Worldpay_30_Account_Capture_Plan_v1.xlsx — Worldpay Source Snapshot</t>
        </is>
      </c>
      <c r="H16" s="101" t="inlineStr">
        <is>
          <t>Medium</t>
        </is>
      </c>
      <c r="I16" s="101" t="inlineStr">
        <is>
          <t>Baseline; requires current verification</t>
        </is>
      </c>
      <c r="J16" s="119" t="inlineStr">
        <is>
          <t>2026-07-20</t>
        </is>
      </c>
    </row>
    <row r="17" ht="26" customHeight="1" s="59">
      <c r="A17" s="100" t="inlineStr">
        <is>
          <t>THE STEAK N SHAKE CO</t>
        </is>
      </c>
      <c r="B17" s="101" t="inlineStr">
        <is>
          <t>Baseline stack</t>
        </is>
      </c>
      <c r="C17" s="101" t="inlineStr">
        <is>
          <t>Worldpay source</t>
        </is>
      </c>
      <c r="D17" s="118" t="n"/>
      <c r="E17" s="101" t="inlineStr">
        <is>
          <t>Internal source</t>
        </is>
      </c>
      <c r="F17" s="101" t="inlineStr">
        <is>
          <t>Worldpay reports POS=NCR; ISV/payments=NCR Connected Payments; ecommerce=Olo- moving to direct Express cert with NovaTab.</t>
        </is>
      </c>
      <c r="G17" s="101" t="inlineStr">
        <is>
          <t>Worldpay_30_Account_Capture_Plan_v1.xlsx — Worldpay Source Snapshot</t>
        </is>
      </c>
      <c r="H17" s="101" t="inlineStr">
        <is>
          <t>Medium</t>
        </is>
      </c>
      <c r="I17" s="101" t="inlineStr">
        <is>
          <t>Baseline; requires current verification</t>
        </is>
      </c>
      <c r="J17" s="119" t="inlineStr">
        <is>
          <t>2026-07-20</t>
        </is>
      </c>
    </row>
    <row r="18" ht="26" customHeight="1" s="59">
      <c r="A18" s="100" t="inlineStr">
        <is>
          <t>FREDDY'S FROZEN CUSTARD LLC</t>
        </is>
      </c>
      <c r="B18" s="101" t="inlineStr">
        <is>
          <t>Baseline stack</t>
        </is>
      </c>
      <c r="C18" s="101" t="inlineStr">
        <is>
          <t>Worldpay source</t>
        </is>
      </c>
      <c r="D18" s="118" t="n"/>
      <c r="E18" s="101" t="inlineStr">
        <is>
          <t>Internal source</t>
        </is>
      </c>
      <c r="F18" s="101" t="inlineStr">
        <is>
          <t>Worldpay reports POS=PAR Brink (VAR -Verifone Classic); ISV/payments=PAR Brink; ecommerce=OloPay.</t>
        </is>
      </c>
      <c r="G18" s="101" t="inlineStr">
        <is>
          <t>Worldpay_30_Account_Capture_Plan_v1.xlsx — Worldpay Source Snapshot</t>
        </is>
      </c>
      <c r="H18" s="101" t="inlineStr">
        <is>
          <t>Medium</t>
        </is>
      </c>
      <c r="I18" s="101" t="inlineStr">
        <is>
          <t>Baseline; requires current verification</t>
        </is>
      </c>
      <c r="J18" s="119" t="inlineStr">
        <is>
          <t>2026-07-20</t>
        </is>
      </c>
    </row>
    <row r="19">
      <c r="A19" s="100" t="inlineStr">
        <is>
          <t>FREDDY'S FROZEN CUSTARD LLC</t>
        </is>
      </c>
      <c r="B19" s="101" t="inlineStr">
        <is>
          <t>Field update</t>
        </is>
      </c>
      <c r="C19" s="101" t="inlineStr">
        <is>
          <t>User intelligence</t>
        </is>
      </c>
      <c r="D19" s="118" t="n">
        <v>46223</v>
      </c>
      <c r="E19" s="101" t="inlineStr">
        <is>
          <t>User-supplied</t>
        </is>
      </c>
      <c r="F19" s="101" t="inlineStr">
        <is>
          <t>Freddy's is a PAR customer sold through RDS.</t>
        </is>
      </c>
      <c r="G19" s="101" t="inlineStr">
        <is>
          <t>User field intelligence supplied for this analysis on 2026-07-20</t>
        </is>
      </c>
      <c r="H19" s="101" t="inlineStr">
        <is>
          <t>High (user intelligence)</t>
        </is>
      </c>
      <c r="I19" s="101" t="inlineStr">
        <is>
          <t>Preserve separately from public verification</t>
        </is>
      </c>
      <c r="J19" s="119" t="inlineStr">
        <is>
          <t>2026-07-20</t>
        </is>
      </c>
    </row>
    <row r="20" ht="26" customHeight="1" s="59">
      <c r="A20" s="100" t="inlineStr">
        <is>
          <t>EAT'N PARK HOSPITALITY GRP INC</t>
        </is>
      </c>
      <c r="B20" s="101" t="inlineStr">
        <is>
          <t>Baseline stack</t>
        </is>
      </c>
      <c r="C20" s="101" t="inlineStr">
        <is>
          <t>Worldpay source</t>
        </is>
      </c>
      <c r="D20" s="118" t="n"/>
      <c r="E20" s="101" t="inlineStr">
        <is>
          <t>Internal source</t>
        </is>
      </c>
      <c r="F20" s="101" t="inlineStr">
        <is>
          <t>Worldpay reports POS=FreedomPay, Tillster, Olo; ISV/payments=Oracle Simphony, PayMyTab, Catertrax; ecommerce=Olo, Tillster (wallets), Nextep.</t>
        </is>
      </c>
      <c r="G20" s="101" t="inlineStr">
        <is>
          <t>Worldpay_30_Account_Capture_Plan_v1.xlsx — Worldpay Source Snapshot</t>
        </is>
      </c>
      <c r="H20" s="101" t="inlineStr">
        <is>
          <t>Medium</t>
        </is>
      </c>
      <c r="I20" s="101" t="inlineStr">
        <is>
          <t>Baseline; requires current verification</t>
        </is>
      </c>
      <c r="J20" s="119" t="inlineStr">
        <is>
          <t>2026-07-20</t>
        </is>
      </c>
    </row>
    <row r="21" ht="39" customHeight="1" s="59">
      <c r="A21" s="100" t="inlineStr">
        <is>
          <t>CRACKER BARREL OLD COUNTRY STORE, INC.</t>
        </is>
      </c>
      <c r="B21" s="101" t="inlineStr">
        <is>
          <t>Baseline stack</t>
        </is>
      </c>
      <c r="C21" s="101" t="inlineStr">
        <is>
          <t>Worldpay source</t>
        </is>
      </c>
      <c r="D21" s="118" t="n"/>
      <c r="E21" s="101" t="inlineStr">
        <is>
          <t>Internal source</t>
        </is>
      </c>
      <c r="F21" s="101" t="inlineStr">
        <is>
          <t>Worldpay reports POS=RAFT 610 for POS, Express for OLO ISV for mobile, and eComm is on VAP.  Moving to Oracle Symphony; ISV/payments=FreedomPay; ecommerce=Yes.</t>
        </is>
      </c>
      <c r="G21" s="101" t="inlineStr">
        <is>
          <t>Worldpay_30_Account_Capture_Plan_v1.xlsx — Worldpay Source Snapshot</t>
        </is>
      </c>
      <c r="H21" s="101" t="inlineStr">
        <is>
          <t>Medium</t>
        </is>
      </c>
      <c r="I21" s="101" t="inlineStr">
        <is>
          <t>Baseline; requires current verification</t>
        </is>
      </c>
      <c r="J21" s="119" t="inlineStr">
        <is>
          <t>2026-07-20</t>
        </is>
      </c>
    </row>
    <row r="22" ht="26" customHeight="1" s="59">
      <c r="A22" s="100" t="inlineStr">
        <is>
          <t>MILLLER'S ALE HOUSE</t>
        </is>
      </c>
      <c r="B22" s="101" t="inlineStr">
        <is>
          <t>Baseline stack</t>
        </is>
      </c>
      <c r="C22" s="101" t="inlineStr">
        <is>
          <t>Worldpay source</t>
        </is>
      </c>
      <c r="D22" s="118" t="n"/>
      <c r="E22" s="101" t="inlineStr">
        <is>
          <t>Internal source</t>
        </is>
      </c>
      <c r="F22" s="101" t="inlineStr">
        <is>
          <t>Worldpay reports POS=NCR Connected Payments, Ziosk; ISV/payments=NCR, Ziosk; ecommerce=OloPay.</t>
        </is>
      </c>
      <c r="G22" s="101" t="inlineStr">
        <is>
          <t>Worldpay_30_Account_Capture_Plan_v1.xlsx — Worldpay Source Snapshot</t>
        </is>
      </c>
      <c r="H22" s="101" t="inlineStr">
        <is>
          <t>Medium</t>
        </is>
      </c>
      <c r="I22" s="101" t="inlineStr">
        <is>
          <t>Baseline; requires current verification</t>
        </is>
      </c>
      <c r="J22" s="119" t="inlineStr">
        <is>
          <t>2026-07-20</t>
        </is>
      </c>
    </row>
    <row r="23" ht="26" customHeight="1" s="59">
      <c r="A23" s="100" t="inlineStr">
        <is>
          <t>LAROSA'S INC</t>
        </is>
      </c>
      <c r="B23" s="101" t="inlineStr">
        <is>
          <t>Baseline stack</t>
        </is>
      </c>
      <c r="C23" s="101" t="inlineStr">
        <is>
          <t>Worldpay source</t>
        </is>
      </c>
      <c r="D23" s="118" t="n"/>
      <c r="E23" s="101" t="inlineStr">
        <is>
          <t>Internal source</t>
        </is>
      </c>
      <c r="F23" s="101" t="inlineStr">
        <is>
          <t>Worldpay reports POS=Point of Sale.Cloud; ISV/payments=Mainstreet Monetray, TriPOS; ecommerce=Same as instore.</t>
        </is>
      </c>
      <c r="G23" s="101" t="inlineStr">
        <is>
          <t>Worldpay_30_Account_Capture_Plan_v1.xlsx — Worldpay Source Snapshot</t>
        </is>
      </c>
      <c r="H23" s="101" t="inlineStr">
        <is>
          <t>Medium</t>
        </is>
      </c>
      <c r="I23" s="101" t="inlineStr">
        <is>
          <t>Baseline; requires current verification</t>
        </is>
      </c>
      <c r="J23" s="119" t="inlineStr">
        <is>
          <t>2026-07-20</t>
        </is>
      </c>
    </row>
    <row r="24">
      <c r="A24" s="100" t="inlineStr">
        <is>
          <t>CHURCHS CHICKEN 558</t>
        </is>
      </c>
      <c r="B24" s="101" t="inlineStr">
        <is>
          <t>Baseline stack</t>
        </is>
      </c>
      <c r="C24" s="101" t="inlineStr">
        <is>
          <t>Worldpay source</t>
        </is>
      </c>
      <c r="D24" s="118" t="n"/>
      <c r="E24" s="101" t="inlineStr">
        <is>
          <t>Internal source</t>
        </is>
      </c>
      <c r="F24" s="101" t="inlineStr">
        <is>
          <t>Worldpay reports POS=QuPOS; ISV/payments=Aurus; ecommerce=Olo.</t>
        </is>
      </c>
      <c r="G24" s="101" t="inlineStr">
        <is>
          <t>Worldpay_30_Account_Capture_Plan_v1.xlsx — Worldpay Source Snapshot</t>
        </is>
      </c>
      <c r="H24" s="101" t="inlineStr">
        <is>
          <t>Medium</t>
        </is>
      </c>
      <c r="I24" s="101" t="inlineStr">
        <is>
          <t>Baseline; requires current verification</t>
        </is>
      </c>
      <c r="J24" s="119" t="inlineStr">
        <is>
          <t>2026-07-20</t>
        </is>
      </c>
    </row>
    <row r="25">
      <c r="A25" s="100" t="inlineStr">
        <is>
          <t>GOLDEN CORRAL</t>
        </is>
      </c>
      <c r="B25" s="101" t="inlineStr">
        <is>
          <t>Baseline stack</t>
        </is>
      </c>
      <c r="C25" s="101" t="inlineStr">
        <is>
          <t>Worldpay source</t>
        </is>
      </c>
      <c r="D25" s="118" t="n"/>
      <c r="E25" s="101" t="inlineStr">
        <is>
          <t>Internal source</t>
        </is>
      </c>
      <c r="F25" s="101" t="inlineStr">
        <is>
          <t>Worldpay reports POS=QuPOS; ISV/payments=Aurus; ecommerce=Olo.</t>
        </is>
      </c>
      <c r="G25" s="101" t="inlineStr">
        <is>
          <t>Worldpay_30_Account_Capture_Plan_v1.xlsx — Worldpay Source Snapshot</t>
        </is>
      </c>
      <c r="H25" s="101" t="inlineStr">
        <is>
          <t>Medium</t>
        </is>
      </c>
      <c r="I25" s="101" t="inlineStr">
        <is>
          <t>Baseline; requires current verification</t>
        </is>
      </c>
      <c r="J25" s="119" t="inlineStr">
        <is>
          <t>2026-07-20</t>
        </is>
      </c>
    </row>
    <row r="26" ht="26" customHeight="1" s="59">
      <c r="A26" s="100" t="inlineStr">
        <is>
          <t>Red Robin</t>
        </is>
      </c>
      <c r="B26" s="101" t="inlineStr">
        <is>
          <t>Baseline stack</t>
        </is>
      </c>
      <c r="C26" s="101" t="inlineStr">
        <is>
          <t>Worldpay source</t>
        </is>
      </c>
      <c r="D26" s="118" t="n"/>
      <c r="E26" s="101" t="inlineStr">
        <is>
          <t>Internal source</t>
        </is>
      </c>
      <c r="F26" s="101" t="inlineStr">
        <is>
          <t>Worldpay reports POS=Ziosk, NCR Aloha and Olo for eCom; ISV/payments=NCR, Ziosk; ecommerce=Monkey Media, Olo, Bounteous (wallet).</t>
        </is>
      </c>
      <c r="G26" s="101" t="inlineStr">
        <is>
          <t>Worldpay_30_Account_Capture_Plan_v1.xlsx — Worldpay Source Snapshot</t>
        </is>
      </c>
      <c r="H26" s="101" t="inlineStr">
        <is>
          <t>Medium</t>
        </is>
      </c>
      <c r="I26" s="101" t="inlineStr">
        <is>
          <t>Baseline; requires current verification</t>
        </is>
      </c>
      <c r="J26" s="119" t="inlineStr">
        <is>
          <t>2026-07-20</t>
        </is>
      </c>
    </row>
    <row r="27" ht="26" customHeight="1" s="59">
      <c r="A27" s="100" t="inlineStr">
        <is>
          <t>BOB EVANS RESTAURANTS, LLC</t>
        </is>
      </c>
      <c r="B27" s="101" t="inlineStr">
        <is>
          <t>Baseline stack</t>
        </is>
      </c>
      <c r="C27" s="101" t="inlineStr">
        <is>
          <t>Worldpay source</t>
        </is>
      </c>
      <c r="D27" s="118" t="n"/>
      <c r="E27" s="101" t="inlineStr">
        <is>
          <t>Internal source</t>
        </is>
      </c>
      <c r="F27" s="101" t="inlineStr">
        <is>
          <t>Worldpay reports POS=NCR Aloha/Connected Payments; ISV/payments=NCR Connected Payments; ecommerce=Yes.</t>
        </is>
      </c>
      <c r="G27" s="101" t="inlineStr">
        <is>
          <t>Worldpay_30_Account_Capture_Plan_v1.xlsx — Worldpay Source Snapshot</t>
        </is>
      </c>
      <c r="H27" s="101" t="inlineStr">
        <is>
          <t>Medium</t>
        </is>
      </c>
      <c r="I27" s="101" t="inlineStr">
        <is>
          <t>Baseline; requires current verification</t>
        </is>
      </c>
      <c r="J27" s="119" t="inlineStr">
        <is>
          <t>2026-07-20</t>
        </is>
      </c>
    </row>
    <row r="28">
      <c r="A28" s="100" t="inlineStr">
        <is>
          <t>GRAETERS</t>
        </is>
      </c>
      <c r="B28" s="101" t="inlineStr">
        <is>
          <t>Baseline stack</t>
        </is>
      </c>
      <c r="C28" s="101" t="inlineStr">
        <is>
          <t>Worldpay source</t>
        </is>
      </c>
      <c r="D28" s="118" t="n"/>
      <c r="E28" s="101" t="inlineStr">
        <is>
          <t>Internal source</t>
        </is>
      </c>
      <c r="F28" s="101" t="inlineStr">
        <is>
          <t>Worldpay reports POS=Brink; ISV/payments=Brink Software; ecommerce=Olo.</t>
        </is>
      </c>
      <c r="G28" s="101" t="inlineStr">
        <is>
          <t>Worldpay_30_Account_Capture_Plan_v1.xlsx — Worldpay Source Snapshot</t>
        </is>
      </c>
      <c r="H28" s="101" t="inlineStr">
        <is>
          <t>Medium</t>
        </is>
      </c>
      <c r="I28" s="101" t="inlineStr">
        <is>
          <t>Baseline; requires current verification</t>
        </is>
      </c>
      <c r="J28" s="119" t="inlineStr">
        <is>
          <t>2026-07-20</t>
        </is>
      </c>
    </row>
    <row r="29">
      <c r="A29" s="100" t="inlineStr">
        <is>
          <t>GRAETERS</t>
        </is>
      </c>
      <c r="B29" s="101" t="inlineStr">
        <is>
          <t>Field update</t>
        </is>
      </c>
      <c r="C29" s="101" t="inlineStr">
        <is>
          <t>User intelligence</t>
        </is>
      </c>
      <c r="D29" s="118" t="n">
        <v>46223</v>
      </c>
      <c r="E29" s="101" t="inlineStr">
        <is>
          <t>User-supplied</t>
        </is>
      </c>
      <c r="F29" s="101" t="inlineStr">
        <is>
          <t>Graeter's is a PAR customer but not PAR Enterprise.</t>
        </is>
      </c>
      <c r="G29" s="101" t="inlineStr">
        <is>
          <t>User field intelligence supplied for this analysis on 2026-07-20</t>
        </is>
      </c>
      <c r="H29" s="101" t="inlineStr">
        <is>
          <t>High (user intelligence)</t>
        </is>
      </c>
      <c r="I29" s="101" t="inlineStr">
        <is>
          <t>Preserve separately from public verification</t>
        </is>
      </c>
      <c r="J29" s="119" t="inlineStr">
        <is>
          <t>2026-07-20</t>
        </is>
      </c>
    </row>
    <row r="30">
      <c r="A30" s="100" t="inlineStr">
        <is>
          <t>STARBUCKS CORPORATION</t>
        </is>
      </c>
      <c r="B30" s="101" t="inlineStr">
        <is>
          <t>Baseline stack</t>
        </is>
      </c>
      <c r="C30" s="101" t="inlineStr">
        <is>
          <t>Worldpay source</t>
        </is>
      </c>
      <c r="D30" s="118" t="n"/>
      <c r="E30" s="101" t="inlineStr">
        <is>
          <t>Internal source</t>
        </is>
      </c>
      <c r="F30" s="101" t="inlineStr">
        <is>
          <t>Worldpay reports POS=VF PWC; ISV/payments=unknown; ecommerce=Yes.</t>
        </is>
      </c>
      <c r="G30" s="101" t="inlineStr">
        <is>
          <t>Worldpay_30_Account_Capture_Plan_v1.xlsx — Worldpay Source Snapshot</t>
        </is>
      </c>
      <c r="H30" s="101" t="inlineStr">
        <is>
          <t>Medium</t>
        </is>
      </c>
      <c r="I30" s="101" t="inlineStr">
        <is>
          <t>Baseline; requires current verification</t>
        </is>
      </c>
      <c r="J30" s="119" t="inlineStr">
        <is>
          <t>2026-07-20</t>
        </is>
      </c>
    </row>
    <row r="31" ht="26" customHeight="1" s="59">
      <c r="A31" s="100" t="inlineStr">
        <is>
          <t>LITTLE CAESARS ENTERPRISE INC</t>
        </is>
      </c>
      <c r="B31" s="101" t="inlineStr">
        <is>
          <t>Baseline stack</t>
        </is>
      </c>
      <c r="C31" s="101" t="inlineStr">
        <is>
          <t>Worldpay source</t>
        </is>
      </c>
      <c r="D31" s="118" t="n"/>
      <c r="E31" s="101" t="inlineStr">
        <is>
          <t>Internal source</t>
        </is>
      </c>
      <c r="F31" s="101" t="inlineStr">
        <is>
          <t>Worldpay reports POS=CaesarVision; ISV/payments=CaesarVision (via Verifone SCA); ecommerce=CaesarVision (via eProtect).</t>
        </is>
      </c>
      <c r="G31" s="101" t="inlineStr">
        <is>
          <t>Worldpay_30_Account_Capture_Plan_v1.xlsx — Worldpay Source Snapshot</t>
        </is>
      </c>
      <c r="H31" s="101" t="inlineStr">
        <is>
          <t>Medium</t>
        </is>
      </c>
      <c r="I31" s="101" t="inlineStr">
        <is>
          <t>Baseline; requires current verification</t>
        </is>
      </c>
      <c r="J31" s="119" t="inlineStr">
        <is>
          <t>2026-07-20</t>
        </is>
      </c>
    </row>
    <row r="32" ht="26" customHeight="1" s="59">
      <c r="A32" s="100" t="inlineStr">
        <is>
          <t>PAPA JOHN'S USA, INC.</t>
        </is>
      </c>
      <c r="B32" s="101" t="inlineStr">
        <is>
          <t>Baseline stack</t>
        </is>
      </c>
      <c r="C32" s="101" t="inlineStr">
        <is>
          <t>Worldpay source</t>
        </is>
      </c>
      <c r="D32" s="118" t="n"/>
      <c r="E32" s="101" t="inlineStr">
        <is>
          <t>Internal source</t>
        </is>
      </c>
      <c r="F32" s="101" t="inlineStr">
        <is>
          <t>Worldpay reports POS=Mainstreet Monetra; ISV/payments=Mainstreet Monetra; ecommerce=Yes.</t>
        </is>
      </c>
      <c r="G32" s="101" t="inlineStr">
        <is>
          <t>Worldpay_30_Account_Capture_Plan_v1.xlsx — Worldpay Source Snapshot</t>
        </is>
      </c>
      <c r="H32" s="101" t="inlineStr">
        <is>
          <t>Medium</t>
        </is>
      </c>
      <c r="I32" s="101" t="inlineStr">
        <is>
          <t>Baseline; requires current verification</t>
        </is>
      </c>
      <c r="J32" s="119" t="inlineStr">
        <is>
          <t>2026-07-20</t>
        </is>
      </c>
    </row>
    <row r="33">
      <c r="A33" s="100" t="inlineStr">
        <is>
          <t>BLACK BEAR DINER</t>
        </is>
      </c>
      <c r="B33" s="101" t="inlineStr">
        <is>
          <t>Baseline stack</t>
        </is>
      </c>
      <c r="C33" s="101" t="inlineStr">
        <is>
          <t>Worldpay source</t>
        </is>
      </c>
      <c r="D33" s="118" t="n"/>
      <c r="E33" s="101" t="inlineStr">
        <is>
          <t>Internal source</t>
        </is>
      </c>
      <c r="F33" s="101" t="inlineStr">
        <is>
          <t>Worldpay reports POS=Toast / Olo; ISV/payments=Toast; ecommerce=Olo.</t>
        </is>
      </c>
      <c r="G33" s="101" t="inlineStr">
        <is>
          <t>Worldpay_30_Account_Capture_Plan_v1.xlsx — Worldpay Source Snapshot</t>
        </is>
      </c>
      <c r="H33" s="101" t="inlineStr">
        <is>
          <t>Medium</t>
        </is>
      </c>
      <c r="I33" s="101" t="inlineStr">
        <is>
          <t>Baseline; requires current verification</t>
        </is>
      </c>
      <c r="J33" s="119" t="inlineStr">
        <is>
          <t>2026-07-20</t>
        </is>
      </c>
    </row>
    <row r="34" ht="26" customHeight="1" s="59">
      <c r="A34" s="100" t="inlineStr">
        <is>
          <t>DOMINO'S PIZZA</t>
        </is>
      </c>
      <c r="B34" s="101" t="inlineStr">
        <is>
          <t>Baseline stack</t>
        </is>
      </c>
      <c r="C34" s="101" t="inlineStr">
        <is>
          <t>Worldpay source</t>
        </is>
      </c>
      <c r="D34" s="118" t="n"/>
      <c r="E34" s="101" t="inlineStr">
        <is>
          <t>Internal source</t>
        </is>
      </c>
      <c r="F34" s="101" t="inlineStr">
        <is>
          <t>Worldpay reports POS=Proprietary; ISV/payments=ACI/Cybersource; ecommerce=Yes.</t>
        </is>
      </c>
      <c r="G34" s="101" t="inlineStr">
        <is>
          <t>Worldpay_30_Account_Capture_Plan_v1.xlsx — Worldpay Source Snapshot</t>
        </is>
      </c>
      <c r="H34" s="101" t="inlineStr">
        <is>
          <t>Medium</t>
        </is>
      </c>
      <c r="I34" s="101" t="inlineStr">
        <is>
          <t>Baseline; requires current verification</t>
        </is>
      </c>
      <c r="J34" s="119" t="inlineStr">
        <is>
          <t>2026-07-20</t>
        </is>
      </c>
    </row>
    <row r="35">
      <c r="A35" s="100" t="inlineStr">
        <is>
          <t>FIREHOUSE RESTAURANT</t>
        </is>
      </c>
      <c r="B35" s="101" t="inlineStr">
        <is>
          <t>Baseline stack</t>
        </is>
      </c>
      <c r="C35" s="101" t="inlineStr">
        <is>
          <t>Worldpay source</t>
        </is>
      </c>
      <c r="D35" s="118" t="n"/>
      <c r="E35" s="101" t="inlineStr">
        <is>
          <t>Internal source</t>
        </is>
      </c>
      <c r="F35" s="101" t="inlineStr">
        <is>
          <t>Worldpay reports POS=Toast; ISV/payments=Toast; ecommerce=Yes, CP No.</t>
        </is>
      </c>
      <c r="G35" s="101" t="inlineStr">
        <is>
          <t>Worldpay_30_Account_Capture_Plan_v1.xlsx — Worldpay Source Snapshot</t>
        </is>
      </c>
      <c r="H35" s="101" t="inlineStr">
        <is>
          <t>Medium</t>
        </is>
      </c>
      <c r="I35" s="101" t="inlineStr">
        <is>
          <t>Baseline; requires current verification</t>
        </is>
      </c>
      <c r="J35" s="119" t="inlineStr">
        <is>
          <t>2026-07-20</t>
        </is>
      </c>
    </row>
    <row r="36" ht="26" customHeight="1" s="59">
      <c r="A36" s="100" t="inlineStr">
        <is>
          <t>BOYNE USA INC</t>
        </is>
      </c>
      <c r="B36" s="101" t="inlineStr">
        <is>
          <t>Baseline stack</t>
        </is>
      </c>
      <c r="C36" s="101" t="inlineStr">
        <is>
          <t>Worldpay source</t>
        </is>
      </c>
      <c r="D36" s="118" t="n"/>
      <c r="E36" s="101" t="inlineStr">
        <is>
          <t>Internal source</t>
        </is>
      </c>
      <c r="F36" s="101" t="inlineStr">
        <is>
          <t>Worldpay reports POS=FreedomPay; ISV/payments=Agilysys, RTP; ecommerce=Flaik.</t>
        </is>
      </c>
      <c r="G36" s="101" t="inlineStr">
        <is>
          <t>Worldpay_30_Account_Capture_Plan_v1.xlsx — Worldpay Source Snapshot</t>
        </is>
      </c>
      <c r="H36" s="101" t="inlineStr">
        <is>
          <t>Medium</t>
        </is>
      </c>
      <c r="I36" s="101" t="inlineStr">
        <is>
          <t>Baseline; requires current verification</t>
        </is>
      </c>
      <c r="J36" s="119" t="inlineStr">
        <is>
          <t>2026-07-20</t>
        </is>
      </c>
    </row>
    <row r="37" ht="26" customHeight="1" s="59">
      <c r="A37" s="100" t="inlineStr">
        <is>
          <t>SLIM CHICKENS</t>
        </is>
      </c>
      <c r="B37" s="101" t="inlineStr">
        <is>
          <t>Baseline stack</t>
        </is>
      </c>
      <c r="C37" s="101" t="inlineStr">
        <is>
          <t>Worldpay source</t>
        </is>
      </c>
      <c r="D37" s="118" t="n"/>
      <c r="E37" s="101" t="inlineStr">
        <is>
          <t>Internal source</t>
        </is>
      </c>
      <c r="F37" s="101" t="inlineStr">
        <is>
          <t>Worldpay reports POS=PAR Brink (VAR - Verifone Classic) and Olo; ISV/payments=PAR Brink; ecommerce=Olo.</t>
        </is>
      </c>
      <c r="G37" s="101" t="inlineStr">
        <is>
          <t>Worldpay_30_Account_Capture_Plan_v1.xlsx — Worldpay Source Snapshot</t>
        </is>
      </c>
      <c r="H37" s="101" t="inlineStr">
        <is>
          <t>Medium</t>
        </is>
      </c>
      <c r="I37" s="101" t="inlineStr">
        <is>
          <t>Baseline; requires current verification</t>
        </is>
      </c>
      <c r="J37" s="119" t="inlineStr">
        <is>
          <t>2026-07-20</t>
        </is>
      </c>
    </row>
    <row r="38">
      <c r="A38" s="100" t="inlineStr">
        <is>
          <t>Barbara B Mann PAH</t>
        </is>
      </c>
      <c r="B38" s="101" t="inlineStr">
        <is>
          <t>Baseline stack</t>
        </is>
      </c>
      <c r="C38" s="101" t="inlineStr">
        <is>
          <t>Worldpay source</t>
        </is>
      </c>
      <c r="D38" s="118" t="n"/>
      <c r="E38" s="101" t="inlineStr">
        <is>
          <t>Internal source</t>
        </is>
      </c>
      <c r="F38" s="101" t="inlineStr">
        <is>
          <t>Worldpay reports POS=Cybersource; ISV/payments=unknown; ecommerce=Yes.</t>
        </is>
      </c>
      <c r="G38" s="101" t="inlineStr">
        <is>
          <t>Worldpay_30_Account_Capture_Plan_v1.xlsx — Worldpay Source Snapshot</t>
        </is>
      </c>
      <c r="H38" s="101" t="inlineStr">
        <is>
          <t>Medium</t>
        </is>
      </c>
      <c r="I38" s="101" t="inlineStr">
        <is>
          <t>Baseline; requires current verification</t>
        </is>
      </c>
      <c r="J38" s="119" t="inlineStr">
        <is>
          <t>2026-07-20</t>
        </is>
      </c>
    </row>
    <row r="39" ht="26" customHeight="1" s="59">
      <c r="A39" s="100" t="inlineStr">
        <is>
          <t>STATION CASINO</t>
        </is>
      </c>
      <c r="B39" s="101" t="inlineStr">
        <is>
          <t>Baseline stack</t>
        </is>
      </c>
      <c r="C39" s="101" t="inlineStr">
        <is>
          <t>Worldpay source</t>
        </is>
      </c>
      <c r="D39" s="118" t="n"/>
      <c r="E39" s="101" t="inlineStr">
        <is>
          <t>Internal source</t>
        </is>
      </c>
      <c r="F39" s="101" t="inlineStr">
        <is>
          <t>Worldpay reports POS=FreedomPay; ISV/payments=Agilysys; ecommerce=OnDemand.</t>
        </is>
      </c>
      <c r="G39" s="101" t="inlineStr">
        <is>
          <t>Worldpay_30_Account_Capture_Plan_v1.xlsx — Worldpay Source Snapshot</t>
        </is>
      </c>
      <c r="H39" s="101" t="inlineStr">
        <is>
          <t>Medium</t>
        </is>
      </c>
      <c r="I39" s="101" t="inlineStr">
        <is>
          <t>Baseline; requires current verification</t>
        </is>
      </c>
      <c r="J39" s="119" t="inlineStr">
        <is>
          <t>2026-07-20</t>
        </is>
      </c>
    </row>
    <row r="40" ht="26" customHeight="1" s="59">
      <c r="A40" s="100" t="inlineStr">
        <is>
          <t>LATRELLES MANAGEMENT CORP (Bullritos)</t>
        </is>
      </c>
      <c r="B40" s="101" t="inlineStr">
        <is>
          <t>Baseline stack</t>
        </is>
      </c>
      <c r="C40" s="101" t="inlineStr">
        <is>
          <t>Worldpay source</t>
        </is>
      </c>
      <c r="D40" s="118" t="n"/>
      <c r="E40" s="101" t="inlineStr">
        <is>
          <t>Internal source</t>
        </is>
      </c>
      <c r="F40" s="101" t="inlineStr">
        <is>
          <t>Worldpay reports POS=NCR Aloha/Connected Payments; ISV/payments=NCR Aloha; ecommerce=unknown.</t>
        </is>
      </c>
      <c r="G40" s="101" t="inlineStr">
        <is>
          <t>Worldpay_30_Account_Capture_Plan_v1.xlsx — Worldpay Source Snapshot</t>
        </is>
      </c>
      <c r="H40" s="101" t="inlineStr">
        <is>
          <t>Medium</t>
        </is>
      </c>
      <c r="I40" s="101" t="inlineStr">
        <is>
          <t>Baseline; requires current verification</t>
        </is>
      </c>
      <c r="J40" s="119" t="inlineStr">
        <is>
          <t>2026-07-20</t>
        </is>
      </c>
    </row>
    <row r="41" ht="26" customHeight="1" s="59">
      <c r="A41" s="100" t="inlineStr">
        <is>
          <t>FESTIVA REAL ESTATE HOLDINGS</t>
        </is>
      </c>
      <c r="B41" s="101" t="inlineStr">
        <is>
          <t>Baseline stack</t>
        </is>
      </c>
      <c r="C41" s="101" t="inlineStr">
        <is>
          <t>Worldpay source</t>
        </is>
      </c>
      <c r="D41" s="118" t="n"/>
      <c r="E41" s="101" t="inlineStr">
        <is>
          <t>Internal source</t>
        </is>
      </c>
      <c r="F41" s="101" t="inlineStr">
        <is>
          <t>Worldpay reports POS=Shift4 &amp; other; ISV/payments=Shift4 &amp; other; ecommerce=Yes.</t>
        </is>
      </c>
      <c r="G41" s="101" t="inlineStr">
        <is>
          <t>Worldpay_30_Account_Capture_Plan_v1.xlsx — Worldpay Source Snapshot</t>
        </is>
      </c>
      <c r="H41" s="101" t="inlineStr">
        <is>
          <t>Medium</t>
        </is>
      </c>
      <c r="I41" s="101" t="inlineStr">
        <is>
          <t>Baseline; requires current verification</t>
        </is>
      </c>
      <c r="J41" s="119" t="inlineStr">
        <is>
          <t>2026-07-20</t>
        </is>
      </c>
    </row>
    <row r="42" ht="26" customHeight="1" s="59">
      <c r="A42" s="100" t="inlineStr">
        <is>
          <t>Focus Brands (GoTo Foods)</t>
        </is>
      </c>
      <c r="B42" s="101" t="inlineStr">
        <is>
          <t>POS</t>
        </is>
      </c>
      <c r="C42" s="101" t="inlineStr">
        <is>
          <t>Selection</t>
        </is>
      </c>
      <c r="D42" s="118" t="n">
        <v>45351</v>
      </c>
      <c r="E42" s="101" t="inlineStr">
        <is>
          <t>Qu press release</t>
        </is>
      </c>
      <c r="F42" s="101" t="inlineStr">
        <is>
          <t>Selected Qu as single POS platform across all seven brands.</t>
        </is>
      </c>
      <c r="G42" s="101" t="inlineStr">
        <is>
          <t>https://www.qubeyond.com/resource-center/goto-foods-selects-qu-as-its-single-pos-platform-across-all-seven-brands</t>
        </is>
      </c>
      <c r="H42" s="101" t="inlineStr">
        <is>
          <t>High</t>
        </is>
      </c>
      <c r="I42" s="101" t="inlineStr">
        <is>
          <t>Deploying</t>
        </is>
      </c>
      <c r="J42" s="119" t="inlineStr">
        <is>
          <t>2026-07-20</t>
        </is>
      </c>
    </row>
    <row r="43" ht="26" customHeight="1" s="59">
      <c r="A43" s="100" t="inlineStr">
        <is>
          <t>Focus Brands (GoTo Foods)</t>
        </is>
      </c>
      <c r="B43" s="101" t="inlineStr">
        <is>
          <t>POS</t>
        </is>
      </c>
      <c r="C43" s="101" t="inlineStr">
        <is>
          <t>Deployment milestone</t>
        </is>
      </c>
      <c r="D43" s="118" t="n">
        <v>45931</v>
      </c>
      <c r="E43" s="101" t="inlineStr">
        <is>
          <t>Qu event recap</t>
        </is>
      </c>
      <c r="F43" s="101" t="inlineStr">
        <is>
          <t>GoTo Foods CTO reported more than 2,000 Qu installs; exact event date should be treated as publication-period evidence.</t>
        </is>
      </c>
      <c r="G43" s="101" t="inlineStr">
        <is>
          <t>https://www.qubeyond.com/lessons-from-restaurant-leaders-who-know-their-brands/</t>
        </is>
      </c>
      <c r="H43" s="101" t="inlineStr">
        <is>
          <t>Medium</t>
        </is>
      </c>
      <c r="I43" s="101" t="inlineStr">
        <is>
          <t>Deploying; field intelligence reports delay</t>
        </is>
      </c>
      <c r="J43" s="119" t="inlineStr">
        <is>
          <t>2026-07-20</t>
        </is>
      </c>
    </row>
    <row r="44" ht="26" customHeight="1" s="59">
      <c r="A44" s="100" t="inlineStr">
        <is>
          <t>PAPA JOHN'S USA, INC.</t>
        </is>
      </c>
      <c r="B44" s="101" t="inlineStr">
        <is>
          <t>POS / Back Office</t>
        </is>
      </c>
      <c r="C44" s="101" t="inlineStr">
        <is>
          <t>Selection</t>
        </is>
      </c>
      <c r="D44" s="118" t="n">
        <v>46034</v>
      </c>
      <c r="E44" s="101" t="inlineStr">
        <is>
          <t>PAR press release</t>
        </is>
      </c>
      <c r="F44" s="101" t="inlineStr">
        <is>
          <t>Selected PAR POS and PAR OPS across about 3,200 U.S. restaurants; full rollout planned by end of 2027.</t>
        </is>
      </c>
      <c r="G44" s="101" t="inlineStr">
        <is>
          <t>https://partech.com/news-coverage/papa-johns-partners-with-par-technology-to-power-pos-and-ops-transformation-across-3200-u-s-restaurants/</t>
        </is>
      </c>
      <c r="H44" s="101" t="inlineStr">
        <is>
          <t>High</t>
        </is>
      </c>
      <c r="I44" s="101" t="inlineStr">
        <is>
          <t>Newly selected / deploying</t>
        </is>
      </c>
      <c r="J44" s="119" t="inlineStr">
        <is>
          <t>2026-07-20</t>
        </is>
      </c>
    </row>
    <row r="45" ht="26" customHeight="1" s="59">
      <c r="A45" s="100" t="inlineStr">
        <is>
          <t>FIVE GUYS</t>
        </is>
      </c>
      <c r="B45" s="101" t="inlineStr">
        <is>
          <t>POS</t>
        </is>
      </c>
      <c r="C45" s="101" t="inlineStr">
        <is>
          <t>Original selection</t>
        </is>
      </c>
      <c r="D45" s="118" t="n">
        <v>42005</v>
      </c>
      <c r="E45" s="101" t="inlineStr">
        <is>
          <t>Trade coverage of PAR announcement</t>
        </is>
      </c>
      <c r="F45" s="101" t="inlineStr">
        <is>
          <t>Five Guys selected PAR Brink POS and associated hardware/services after franchisee-led evaluation.</t>
        </is>
      </c>
      <c r="G45" s="101" t="inlineStr">
        <is>
          <t>https://www.fastcasual.com/news/why-five-guys-selected-new-pos-solution-2/</t>
        </is>
      </c>
      <c r="H45" s="101" t="inlineStr">
        <is>
          <t>Medium</t>
        </is>
      </c>
      <c r="I45" s="101" t="inlineStr">
        <is>
          <t>Mature incumbent</t>
        </is>
      </c>
      <c r="J45" s="119" t="inlineStr">
        <is>
          <t>2026-07-20</t>
        </is>
      </c>
    </row>
    <row r="46" ht="26" customHeight="1" s="59">
      <c r="A46" s="100" t="inlineStr">
        <is>
          <t>FIVE GUYS</t>
        </is>
      </c>
      <c r="B46" s="101" t="inlineStr">
        <is>
          <t>Back Office</t>
        </is>
      </c>
      <c r="C46" s="101" t="inlineStr">
        <is>
          <t>Customer case study</t>
        </is>
      </c>
      <c r="D46" s="118" t="n">
        <v>45701</v>
      </c>
      <c r="E46" s="101" t="inlineStr">
        <is>
          <t>Crunchtime</t>
        </is>
      </c>
      <c r="F46" s="101" t="inlineStr">
        <is>
          <t>Crunchtime describes a relationship originating around 2015 and expanded to 1,900+ locations; strong operating outcomes.</t>
        </is>
      </c>
      <c r="G46" s="101" t="inlineStr">
        <is>
          <t>https://www.crunchtime.com/blog/ops-excellence-awards-finalist-spotlight-five-guys</t>
        </is>
      </c>
      <c r="H46" s="101" t="inlineStr">
        <is>
          <t>High</t>
        </is>
      </c>
      <c r="I46" s="101" t="inlineStr">
        <is>
          <t>Entrenched and positive</t>
        </is>
      </c>
      <c r="J46" s="119" t="inlineStr">
        <is>
          <t>2026-07-20</t>
        </is>
      </c>
    </row>
    <row r="47" ht="26" customHeight="1" s="59">
      <c r="A47" s="100" t="inlineStr">
        <is>
          <t>FIVE GUYS</t>
        </is>
      </c>
      <c r="B47" s="101" t="inlineStr">
        <is>
          <t>Digital / Guest Data</t>
        </is>
      </c>
      <c r="C47" s="101" t="inlineStr">
        <is>
          <t>Expansion</t>
        </is>
      </c>
      <c r="D47" s="118" t="n"/>
      <c r="E47" s="101" t="inlineStr">
        <is>
          <t>Olo case study</t>
        </is>
      </c>
      <c r="F47" s="101" t="inlineStr">
        <is>
          <t>Longtime Olo ordering customer expanded to GDP and Marketing across 1,500 locations.</t>
        </is>
      </c>
      <c r="G47" s="101" t="inlineStr">
        <is>
          <t>https://www.olo.com/case-studies/five-guys-engage</t>
        </is>
      </c>
      <c r="H47" s="101" t="inlineStr">
        <is>
          <t>High</t>
        </is>
      </c>
      <c r="I47" s="101" t="inlineStr">
        <is>
          <t>Entrenched and expanding</t>
        </is>
      </c>
      <c r="J47" s="119" t="inlineStr">
        <is>
          <t>2026-07-20</t>
        </is>
      </c>
    </row>
    <row r="48" ht="26" customHeight="1" s="59">
      <c r="A48" s="100" t="inlineStr">
        <is>
          <t>Dutch Bros</t>
        </is>
      </c>
      <c r="B48" s="101" t="inlineStr">
        <is>
          <t>Digital Ordering / Payments</t>
        </is>
      </c>
      <c r="C48" s="101" t="inlineStr">
        <is>
          <t>Selection</t>
        </is>
      </c>
      <c r="D48" s="118" t="n">
        <v>45419</v>
      </c>
      <c r="E48" s="101" t="inlineStr">
        <is>
          <t>Olo press release</t>
        </is>
      </c>
      <c r="F48" s="101" t="inlineStr">
        <is>
          <t>Selected Olo Order and Pay for nationwide rollout, initially across 850+ locations.</t>
        </is>
      </c>
      <c r="G48" s="101" t="inlineStr">
        <is>
          <t>https://investors.olo.com/news/news-details/2024/Dutch-Bros-Partners-with-Olo-to-Offer-Mobile-App-Ordering-and-Payment/default.aspx</t>
        </is>
      </c>
      <c r="H48" s="101" t="inlineStr">
        <is>
          <t>High</t>
        </is>
      </c>
      <c r="I48" s="101" t="inlineStr">
        <is>
          <t>Established</t>
        </is>
      </c>
      <c r="J48" s="119" t="inlineStr">
        <is>
          <t>2026-07-20</t>
        </is>
      </c>
    </row>
    <row r="49">
      <c r="A49" s="100" t="inlineStr">
        <is>
          <t>Dutch Bros</t>
        </is>
      </c>
      <c r="B49" s="101" t="inlineStr">
        <is>
          <t>Loyalty / CRM</t>
        </is>
      </c>
      <c r="C49" s="101" t="inlineStr">
        <is>
          <t>Customer case study</t>
        </is>
      </c>
      <c r="D49" s="118" t="n"/>
      <c r="E49" s="101" t="inlineStr">
        <is>
          <t>Paytronix case study</t>
        </is>
      </c>
      <c r="F49" s="101" t="inlineStr">
        <is>
          <t>Dutch Rewards app and loyalty experience run on Paytronix.</t>
        </is>
      </c>
      <c r="G49" s="101" t="inlineStr">
        <is>
          <t>https://www.paytronix.com/hubfs/media/dutch_bros_case-study_v3.pdf</t>
        </is>
      </c>
      <c r="H49" s="101" t="inlineStr">
        <is>
          <t>High</t>
        </is>
      </c>
      <c r="I49" s="101" t="inlineStr">
        <is>
          <t>Established</t>
        </is>
      </c>
      <c r="J49" s="119" t="inlineStr">
        <is>
          <t>2026-07-20</t>
        </is>
      </c>
    </row>
    <row r="50" ht="26" customHeight="1" s="59">
      <c r="A50" s="100" t="inlineStr">
        <is>
          <t>CHURCHS CHICKEN 558</t>
        </is>
      </c>
      <c r="B50" s="101" t="inlineStr">
        <is>
          <t>POS</t>
        </is>
      </c>
      <c r="C50" s="101" t="inlineStr">
        <is>
          <t>Selection</t>
        </is>
      </c>
      <c r="D50" s="118" t="n">
        <v>44245</v>
      </c>
      <c r="E50" s="101" t="inlineStr">
        <is>
          <t>Qu / Business Wire release</t>
        </is>
      </c>
      <c r="F50" s="101" t="inlineStr">
        <is>
          <t>Selected Qu as enterprise POS for approximately 1,000 U.S. locations.</t>
        </is>
      </c>
      <c r="G50" s="101" t="inlineStr">
        <is>
          <t>https://www.businesswire.com/news/home/20210218005023/en/Churchs-Chicken-Selects-Qu-POS-as-Part-of-Global-Technology-Stack-Refresh</t>
        </is>
      </c>
      <c r="H50" s="101" t="inlineStr">
        <is>
          <t>High</t>
        </is>
      </c>
      <c r="I50" s="101" t="inlineStr">
        <is>
          <t>Established</t>
        </is>
      </c>
      <c r="J50" s="119" t="inlineStr">
        <is>
          <t>2026-07-20</t>
        </is>
      </c>
    </row>
    <row r="51" ht="26" customHeight="1" s="59">
      <c r="A51" s="100" t="inlineStr">
        <is>
          <t>SLIM CHICKENS</t>
        </is>
      </c>
      <c r="B51" s="101" t="inlineStr">
        <is>
          <t>Digital Ordering</t>
        </is>
      </c>
      <c r="C51" s="101" t="inlineStr">
        <is>
          <t>Original launch</t>
        </is>
      </c>
      <c r="D51" s="118" t="n">
        <v>42736</v>
      </c>
      <c r="E51" s="101" t="inlineStr">
        <is>
          <t>Olo case study</t>
        </is>
      </c>
      <c r="F51" s="101" t="inlineStr">
        <is>
          <t>Launched Olo Ordering in 2017, added Dispatch, Rails and Switchboard, then Sync in 2022.</t>
        </is>
      </c>
      <c r="G51" s="101" t="inlineStr">
        <is>
          <t>https://www.olo.com/case-studies/slim-chickens</t>
        </is>
      </c>
      <c r="H51" s="101" t="inlineStr">
        <is>
          <t>High</t>
        </is>
      </c>
      <c r="I51" s="101" t="inlineStr">
        <is>
          <t>Entrenched and expanding</t>
        </is>
      </c>
      <c r="J51" s="119" t="inlineStr">
        <is>
          <t>2026-07-20</t>
        </is>
      </c>
    </row>
    <row r="52" ht="26" customHeight="1" s="59">
      <c r="A52" s="100" t="inlineStr">
        <is>
          <t>FREDDY'S FROZEN CUSTARD LLC</t>
        </is>
      </c>
      <c r="B52" s="101" t="inlineStr">
        <is>
          <t>POS</t>
        </is>
      </c>
      <c r="C52" s="101" t="inlineStr">
        <is>
          <t>Current customer evidence</t>
        </is>
      </c>
      <c r="D52" s="118" t="n">
        <v>45436</v>
      </c>
      <c r="E52" s="101" t="inlineStr">
        <is>
          <t>PAR customer announcement</t>
        </is>
      </c>
      <c r="F52" s="101" t="inlineStr">
        <is>
          <t>PAR identifies Freddy’s as a Brink POS customer.</t>
        </is>
      </c>
      <c r="G52" s="101" t="inlineStr">
        <is>
          <t>https://partech.com/2024/05/24/congratulations-to-par-customers-2024-fast-casual-movers-and-shakers-honorees/</t>
        </is>
      </c>
      <c r="H52" s="101" t="inlineStr">
        <is>
          <t>High</t>
        </is>
      </c>
      <c r="I52" s="101" t="inlineStr">
        <is>
          <t>Established</t>
        </is>
      </c>
      <c r="J52" s="119" t="inlineStr">
        <is>
          <t>2026-07-20</t>
        </is>
      </c>
    </row>
    <row r="53">
      <c r="A53" s="100" t="inlineStr">
        <is>
          <t>BLACK BEAR DINER</t>
        </is>
      </c>
      <c r="B53" s="101" t="inlineStr">
        <is>
          <t>Digital / Catering</t>
        </is>
      </c>
      <c r="C53" s="101" t="inlineStr">
        <is>
          <t>Current customer evidence</t>
        </is>
      </c>
      <c r="D53" s="118" t="n"/>
      <c r="E53" s="101" t="inlineStr">
        <is>
          <t>Olo case-study directory</t>
        </is>
      </c>
      <c r="F53" s="101" t="inlineStr">
        <is>
          <t>Olo lists Black Bear Diner as a catering customer story.</t>
        </is>
      </c>
      <c r="G53" s="101" t="inlineStr">
        <is>
          <t>https://www.olo.com/case-studies</t>
        </is>
      </c>
      <c r="H53" s="101" t="inlineStr">
        <is>
          <t>Medium</t>
        </is>
      </c>
      <c r="I53" s="101" t="inlineStr">
        <is>
          <t>Current public evidence</t>
        </is>
      </c>
      <c r="J53" s="119" t="inlineStr">
        <is>
          <t>2026-07-20</t>
        </is>
      </c>
    </row>
    <row r="54" ht="26" customHeight="1" s="59">
      <c r="A54" s="100" t="inlineStr">
        <is>
          <t>CRACKER BARREL OLD COUNTRY STORE, INC.</t>
        </is>
      </c>
      <c r="B54" s="101" t="inlineStr">
        <is>
          <t>Digital / Catering</t>
        </is>
      </c>
      <c r="C54" s="101" t="inlineStr">
        <is>
          <t>Current customer evidence</t>
        </is>
      </c>
      <c r="D54" s="118" t="n"/>
      <c r="E54" s="101" t="inlineStr">
        <is>
          <t>Olo case-study directory</t>
        </is>
      </c>
      <c r="F54" s="101" t="inlineStr">
        <is>
          <t>Olo lists Cracker Barrel as a Catering+ customer story.</t>
        </is>
      </c>
      <c r="G54" s="101" t="inlineStr">
        <is>
          <t>https://www.olo.com/case-studies</t>
        </is>
      </c>
      <c r="H54" s="101" t="inlineStr">
        <is>
          <t>Medium</t>
        </is>
      </c>
      <c r="I54" s="101" t="inlineStr">
        <is>
          <t>Current public evidence</t>
        </is>
      </c>
      <c r="J54" s="119" t="inlineStr">
        <is>
          <t>2026-07-20</t>
        </is>
      </c>
    </row>
    <row r="55">
      <c r="A55" s="100" t="inlineStr">
        <is>
          <t>FREDDY'S FROZEN CUSTARD LLC</t>
        </is>
      </c>
      <c r="B55" s="101" t="inlineStr">
        <is>
          <t>Digital / Catering</t>
        </is>
      </c>
      <c r="C55" s="101" t="inlineStr">
        <is>
          <t>Current customer evidence</t>
        </is>
      </c>
      <c r="D55" s="118" t="n"/>
      <c r="E55" s="101" t="inlineStr">
        <is>
          <t>Olo case-study directory</t>
        </is>
      </c>
      <c r="F55" s="101" t="inlineStr">
        <is>
          <t>Olo lists Freddy’s as a Catering+ customer story.</t>
        </is>
      </c>
      <c r="G55" s="101" t="inlineStr">
        <is>
          <t>https://www.olo.com/case-studies</t>
        </is>
      </c>
      <c r="H55" s="101" t="inlineStr">
        <is>
          <t>Medium</t>
        </is>
      </c>
      <c r="I55" s="101" t="inlineStr">
        <is>
          <t>Current public evidence</t>
        </is>
      </c>
      <c r="J55" s="119" t="inlineStr">
        <is>
          <t>2026-07-20</t>
        </is>
      </c>
    </row>
    <row r="56" ht="26" customHeight="1" s="59">
      <c r="A56" s="100" t="inlineStr">
        <is>
          <t>SUBWAY</t>
        </is>
      </c>
      <c r="B56" s="101" t="inlineStr">
        <is>
          <t>POS</t>
        </is>
      </c>
      <c r="C56" s="101" t="inlineStr">
        <is>
          <t>Deployment report</t>
        </is>
      </c>
      <c r="D56" s="118" t="n">
        <v>46149</v>
      </c>
      <c r="E56" s="101" t="inlineStr">
        <is>
          <t>Payments Dive</t>
        </is>
      </c>
      <c r="F56" s="101" t="inlineStr">
        <is>
          <t>Reported Genius adoption at about 2,500 Subway stores; requires internal confirmation of scope and status.</t>
        </is>
      </c>
      <c r="G56" s="101" t="inlineStr">
        <is>
          <t>https://www.paymentsdive.com/news/global-payments-touts-genius-gains/819560/</t>
        </is>
      </c>
      <c r="H56" s="101" t="inlineStr">
        <is>
          <t>Medium</t>
        </is>
      </c>
      <c r="I56" s="101" t="inlineStr">
        <is>
          <t>Partial deployment / expansion</t>
        </is>
      </c>
      <c r="J56" s="119" t="inlineStr">
        <is>
          <t>2026-07-20</t>
        </is>
      </c>
    </row>
    <row r="57" ht="26" customHeight="1" s="59">
      <c r="A57" s="105" t="inlineStr">
        <is>
          <t>Portfolio</t>
        </is>
      </c>
      <c r="B57" s="106" t="inlineStr">
        <is>
          <t>Genius product scope</t>
        </is>
      </c>
      <c r="C57" s="106" t="inlineStr">
        <is>
          <t>Product launch</t>
        </is>
      </c>
      <c r="D57" s="120" t="n">
        <v>45793</v>
      </c>
      <c r="E57" s="106" t="inlineStr">
        <is>
          <t>Global Payments press release</t>
        </is>
      </c>
      <c r="F57" s="106" t="inlineStr">
        <is>
          <t>Genius launched as unified POS platform; restaurant edition launched first.</t>
        </is>
      </c>
      <c r="G57" s="106" t="inlineStr">
        <is>
          <t>https://investors.globalpayments.com/news-events/press-releases/detail/473/global-payments-launches-new-genius-pos-platform</t>
        </is>
      </c>
      <c r="H57" s="106" t="inlineStr">
        <is>
          <t>High</t>
        </is>
      </c>
      <c r="I57" s="106" t="inlineStr">
        <is>
          <t>Current product baseline</t>
        </is>
      </c>
      <c r="J57" s="121" t="inlineStr">
        <is>
          <t>2026-07-20</t>
        </is>
      </c>
    </row>
    <row r="58" ht="42" customHeight="1" s="59">
      <c r="A58" s="111" t="inlineStr">
        <is>
          <t>Portfolio</t>
        </is>
      </c>
      <c r="B58" s="111" t="inlineStr">
        <is>
          <t>Operating model</t>
        </is>
      </c>
      <c r="C58" s="111" t="inlineStr">
        <is>
          <t>Leadership feedback</t>
        </is>
      </c>
      <c r="D58" s="123" t="n">
        <v>46237</v>
      </c>
      <c r="E58" s="111" t="inlineStr">
        <is>
          <t>Ryan Hildebrand JPR</t>
        </is>
      </c>
      <c r="F58" s="111" t="inlineStr">
        <is>
          <t>Keep Blue Sheets; add Refine stage, RM economics, event access, account history and a payments capability map.</t>
        </is>
      </c>
      <c r="G58" s="111" t="inlineStr">
        <is>
          <t>system/account_intelligence/2026-08-03-ryan-hildebrand-worldpay-development-plan-feedback.md</t>
        </is>
      </c>
      <c r="H58" s="111" t="inlineStr">
        <is>
          <t>High</t>
        </is>
      </c>
      <c r="I58" s="111" t="inlineStr">
        <is>
          <t>Update the master-plan operating cadence</t>
        </is>
      </c>
      <c r="J58" s="123" t="n">
        <v>46248</v>
      </c>
    </row>
    <row r="59" ht="42" customHeight="1" s="59">
      <c r="A59" s="111" t="inlineStr">
        <is>
          <t>SUBWAY</t>
        </is>
      </c>
      <c r="B59" s="111" t="inlineStr">
        <is>
          <t>Genius scope</t>
        </is>
      </c>
      <c r="C59" s="111" t="inlineStr">
        <is>
          <t>Internal leadership feedback</t>
        </is>
      </c>
      <c r="D59" s="123" t="n">
        <v>46237</v>
      </c>
      <c r="E59" s="111" t="inlineStr">
        <is>
          <t>Ryan Hildebrand JPR</t>
        </is>
      </c>
      <c r="F59" s="111" t="inlineStr">
        <is>
          <t>Proprietary POS plus a reported global Genius KDS deployment conflicts with the prior DMB interpretation.</t>
        </is>
      </c>
      <c r="G59" s="111" t="inlineStr">
        <is>
          <t>system/account_intelligence/2026-08-03-ryan-hildebrand-worldpay-development-plan-feedback.md</t>
        </is>
      </c>
      <c r="H59" s="111" t="inlineStr">
        <is>
          <t>High internal / scope unverified</t>
        </is>
      </c>
      <c r="I59" s="111" t="inlineStr">
        <is>
          <t>Replace DMB assumption; keep conflict urgent</t>
        </is>
      </c>
      <c r="J59" s="123" t="n">
        <v>46248</v>
      </c>
    </row>
    <row r="60" ht="42" customHeight="1" s="59">
      <c r="A60" s="111" t="inlineStr">
        <is>
          <t>FIVE GUYS</t>
        </is>
      </c>
      <c r="B60" s="111" t="inlineStr">
        <is>
          <t>Buying event</t>
        </is>
      </c>
      <c r="C60" s="111" t="inlineStr">
        <is>
          <t>Field validation</t>
        </is>
      </c>
      <c r="D60" s="123" t="n">
        <v>46245</v>
      </c>
      <c r="E60" s="111" t="inlineStr">
        <is>
          <t>Jeff Staley JPR + independent checks</t>
        </is>
      </c>
      <c r="F60" s="111" t="inlineStr">
        <is>
          <t>Capability evaluation is plausible, but no formal RFP was found; MJ Worsham remains active and influential.</t>
        </is>
      </c>
      <c r="G60" s="111" t="inlineStr">
        <is>
          <t>system/account_intelligence/2026-08-11-jeff-staley-jpr-intelligence.md</t>
        </is>
      </c>
      <c r="H60" s="111" t="inlineStr">
        <is>
          <t>Mixed / independently checked</t>
        </is>
      </c>
      <c r="I60" s="111" t="inlineStr">
        <is>
          <t>Treat RFP and spring 2027 timing as unconfirmed</t>
        </is>
      </c>
      <c r="J60" s="123" t="n">
        <v>46248</v>
      </c>
    </row>
    <row r="61" ht="42" customHeight="1" s="59">
      <c r="A61" s="111" t="inlineStr">
        <is>
          <t>FIVE GUYS</t>
        </is>
      </c>
      <c r="B61" s="111" t="inlineStr">
        <is>
          <t>Commercial model</t>
        </is>
      </c>
      <c r="C61" s="111" t="inlineStr">
        <is>
          <t>Internal concept</t>
        </is>
      </c>
      <c r="D61" s="123" t="n">
        <v>46244</v>
      </c>
      <c r="E61" s="111" t="inlineStr">
        <is>
          <t>Worldpay/Genius executive concept</t>
        </is>
      </c>
      <c r="F61" s="111" t="inlineStr">
        <is>
          <t>Transaction-metered POS is an internal feasibility concept and is not approved for customer presentation.</t>
        </is>
      </c>
      <c r="G61" s="111" t="inlineStr">
        <is>
          <t>system/account_intelligence/2026-08-10-worldpay-transaction-funded-pos-executive-summary.md</t>
        </is>
      </c>
      <c r="H61" s="111" t="inlineStr">
        <is>
          <t>High internal</t>
        </is>
      </c>
      <c r="I61" s="111" t="inlineStr">
        <is>
          <t>Secure sponsorship and feasibility approval first</t>
        </is>
      </c>
      <c r="J61" s="123" t="n">
        <v>46248</v>
      </c>
    </row>
    <row r="62" ht="42" customHeight="1" s="59">
      <c r="A62" s="111" t="inlineStr">
        <is>
          <t>DEL TACO LLC</t>
        </is>
      </c>
      <c r="B62" s="111" t="inlineStr">
        <is>
          <t>Ownership</t>
        </is>
      </c>
      <c r="C62" s="111" t="inlineStr">
        <is>
          <t>Verified public event</t>
        </is>
      </c>
      <c r="D62" s="123" t="n">
        <v>46013</v>
      </c>
      <c r="E62" s="111" t="inlineStr">
        <is>
          <t>Jack in the Box investor release</t>
        </is>
      </c>
      <c r="F62" s="111" t="inlineStr">
        <is>
          <t>Yadav Enterprises completed the acquisition; active technology shopping remains unconfirmed.</t>
        </is>
      </c>
      <c r="G62" s="111" t="inlineStr">
        <is>
          <t>https://investors.jackinthebox.com/news/news-details/2025/Jack-in-the-Box-Inc--Completes-Sale-of-Del-Taco-Holdings-Inc-/default.aspx</t>
        </is>
      </c>
      <c r="H62" s="111" t="inlineStr">
        <is>
          <t>High</t>
        </is>
      </c>
      <c r="I62" s="111" t="inlineStr">
        <is>
          <t>Use ownership change for neutral discovery</t>
        </is>
      </c>
      <c r="J62" s="123" t="n">
        <v>46248</v>
      </c>
    </row>
    <row r="63" ht="42" customHeight="1" s="59">
      <c r="A63" s="111" t="inlineStr">
        <is>
          <t>FREDDY'S FROZEN CUSTARD LLC</t>
        </is>
      </c>
      <c r="B63" s="111" t="inlineStr">
        <is>
          <t>Channel / leadership</t>
        </is>
      </c>
      <c r="C63" s="111" t="inlineStr">
        <is>
          <t>RDS field intelligence</t>
        </is>
      </c>
      <c r="D63" s="123" t="n">
        <v>46247</v>
      </c>
      <c r="E63" s="111" t="inlineStr">
        <is>
          <t>Darren Heinze JPR</t>
        </is>
      </c>
      <c r="F63" s="111" t="inlineStr">
        <is>
          <t>RDS is deeply embedded; the new CIO reportedly favors PAR; Todd committed to no direct outreach.</t>
        </is>
      </c>
      <c r="G63" s="111" t="inlineStr">
        <is>
          <t>tmp/jpr-2026-08-13/2026-08-13-darren-heinze-rds-jpr-intelligence.md</t>
        </is>
      </c>
      <c r="H63" s="111" t="inlineStr">
        <is>
          <t>High field / decision unverified</t>
        </is>
      </c>
      <c r="I63" s="111" t="inlineStr">
        <is>
          <t>Downgrade to protected RDS watchlist</t>
        </is>
      </c>
      <c r="J63" s="123" t="n">
        <v>46248</v>
      </c>
    </row>
    <row r="64" ht="42" customHeight="1" s="59">
      <c r="A64" s="111" t="inlineStr">
        <is>
          <t>RDS FIVE-UNIT REBRAND PILOT</t>
        </is>
      </c>
      <c r="B64" s="111" t="inlineStr">
        <is>
          <t>Channel pilot</t>
        </is>
      </c>
      <c r="C64" s="111" t="inlineStr">
        <is>
          <t>RDS field intelligence</t>
        </is>
      </c>
      <c r="D64" s="123" t="n">
        <v>46247</v>
      </c>
      <c r="E64" s="111" t="inlineStr">
        <is>
          <t>Darren Heinze JPR</t>
        </is>
      </c>
      <c r="F64" s="111" t="inlineStr">
        <is>
          <t>Five former Taco Cabana sites are rebranding and evaluating a clean-slate stack/DMB; customer details require confirmation.</t>
        </is>
      </c>
      <c r="G64" s="111" t="inlineStr">
        <is>
          <t>tmp/jpr-2026-08-13/2026-08-13-darren-heinze-rds-jpr-intelligence.md</t>
        </is>
      </c>
      <c r="H64" s="111" t="inlineStr">
        <is>
          <t>High field / documentation required</t>
        </is>
      </c>
      <c r="I64" s="111" t="inlineStr">
        <is>
          <t>Qualify as the preferred near-term channel pilot</t>
        </is>
      </c>
      <c r="J64" s="123" t="n">
        <v>46248</v>
      </c>
    </row>
    <row r="65" ht="42" customHeight="1" s="59">
      <c r="A65" s="111" t="inlineStr">
        <is>
          <t>SLIM CHICKENS</t>
        </is>
      </c>
      <c r="B65" s="111" t="inlineStr">
        <is>
          <t>Channel rule</t>
        </is>
      </c>
      <c r="C65" s="111" t="inlineStr">
        <is>
          <t>RDS field intelligence</t>
        </is>
      </c>
      <c r="D65" s="123" t="n">
        <v>46247</v>
      </c>
      <c r="E65" s="111" t="inlineStr">
        <is>
          <t>Darren Heinze JPR</t>
        </is>
      </c>
      <c r="F65" s="111" t="inlineStr">
        <is>
          <t>Remain RDS-led; no direct outreach and no new buying event surfaced.</t>
        </is>
      </c>
      <c r="G65" s="111" t="inlineStr">
        <is>
          <t>tmp/jpr-2026-08-13/2026-08-13-darren-heinze-rds-jpr-intelligence.md</t>
        </is>
      </c>
      <c r="H65" s="111" t="inlineStr">
        <is>
          <t>High field</t>
        </is>
      </c>
      <c r="I65" s="111" t="inlineStr">
        <is>
          <t>Keep as relationship-map account</t>
        </is>
      </c>
      <c r="J65" s="123" t="n">
        <v>46248</v>
      </c>
    </row>
    <row r="66" ht="42" customHeight="1" s="59">
      <c r="A66" s="111" t="inlineStr">
        <is>
          <t>PAPA JOHN'S USA, INC.</t>
        </is>
      </c>
      <c r="B66" s="111" t="inlineStr">
        <is>
          <t>POS / Back Office</t>
        </is>
      </c>
      <c r="C66" s="111" t="inlineStr">
        <is>
          <t>PAR earnings evidence</t>
        </is>
      </c>
      <c r="D66" s="123" t="n">
        <v>46240</v>
      </c>
      <c r="E66" s="111" t="inlineStr">
        <is>
          <t>PAR Q2 2026 earnings materials</t>
        </is>
      </c>
      <c r="F66" s="111" t="inlineStr">
        <is>
          <t>Development milestones achieved; implementation expected later in 2026. Linux dependency is separate unverified field intelligence.</t>
        </is>
      </c>
      <c r="G66" s="111" t="inlineStr">
        <is>
          <t>https://partech.com/investor-relations/</t>
        </is>
      </c>
      <c r="H66" s="111" t="inlineStr">
        <is>
          <t>High public / field detail unverified</t>
        </is>
      </c>
      <c r="I66" s="111" t="inlineStr">
        <is>
          <t>Monitor deployment and validate technical dependency</t>
        </is>
      </c>
      <c r="J66" s="123" t="n">
        <v>46248</v>
      </c>
    </row>
    <row r="67" ht="42" customHeight="1" s="59">
      <c r="A67" s="111" t="inlineStr">
        <is>
          <t>Portfolio</t>
        </is>
      </c>
      <c r="B67" s="111" t="inlineStr">
        <is>
          <t>Competitive pattern</t>
        </is>
      </c>
      <c r="C67" s="111" t="inlineStr">
        <is>
          <t>PAR earnings evidence</t>
        </is>
      </c>
      <c r="D67" s="123" t="n">
        <v>46240</v>
      </c>
      <c r="E67" s="111" t="inlineStr">
        <is>
          <t>PAR Q2 2026 earnings call</t>
        </is>
      </c>
      <c r="F67" s="111" t="inlineStr">
        <is>
          <t>PAR uses POS/loyalty beachheads, multi-product bundles and mandatory payments attachment on ordering wins.</t>
        </is>
      </c>
      <c r="G67" s="111" t="inlineStr">
        <is>
          <t>https://partech.com/investor-relations/</t>
        </is>
      </c>
      <c r="H67" s="111" t="inlineStr">
        <is>
          <t>High company-reported</t>
        </is>
      </c>
      <c r="I67" s="111" t="inlineStr">
        <is>
          <t>Add platform/payment-attachment defense to account plans</t>
        </is>
      </c>
      <c r="J67" s="123" t="n">
        <v>46248</v>
      </c>
    </row>
    <row r="68" ht="42" customHeight="1" s="59">
      <c r="A68" s="111" t="inlineStr">
        <is>
          <t>POLLO CAMPERO</t>
        </is>
      </c>
      <c r="B68" s="111" t="inlineStr">
        <is>
          <t>POS / payments / DMB</t>
        </is>
      </c>
      <c r="C68" s="111" t="inlineStr">
        <is>
          <t>Internal account brief</t>
        </is>
      </c>
      <c r="D68" s="123" t="n">
        <v>46244</v>
      </c>
      <c r="E68" s="111" t="inlineStr">
        <is>
          <t>Pollo Campero account brief</t>
        </is>
      </c>
      <c r="F68" s="111" t="inlineStr">
        <is>
          <t>Oracle migration, NCR legacy, Fiserv in-store, Olo Pay/Stripe digital and potential RFI/DMB issues require qualification.</t>
        </is>
      </c>
      <c r="G68" s="111" t="inlineStr">
        <is>
          <t>system/account_intelligence/2026-08-10-pollo-campero-comprehensive-account-brief.md</t>
        </is>
      </c>
      <c r="H68" s="111" t="inlineStr">
        <is>
          <t>Strong internal / procurement unconfirmed</t>
        </is>
      </c>
      <c r="I68" s="111" t="inlineStr">
        <is>
          <t>Add as emerging opportunity with bid/no-bid gates</t>
        </is>
      </c>
      <c r="J68" s="123" t="n">
        <v>46248</v>
      </c>
    </row>
    <row r="69" ht="42" customHeight="1" s="59">
      <c r="A69" s="111" t="inlineStr">
        <is>
          <t>CHOICE HOTELS</t>
        </is>
      </c>
      <c r="B69" s="111" t="inlineStr">
        <is>
          <t>Gateway / acquiring</t>
        </is>
      </c>
      <c r="C69" s="111" t="inlineStr">
        <is>
          <t>Evidence aging</t>
        </is>
      </c>
      <c r="D69" s="123" t="n">
        <v>46248</v>
      </c>
      <c r="E69" s="111" t="inlineStr">
        <is>
          <t>Master-plan review</t>
        </is>
      </c>
      <c r="F69" s="111" t="inlineStr">
        <is>
          <t>July active-RFP intelligence now requires a current-stage and deadline refresh.</t>
        </is>
      </c>
      <c r="G69" s="111" t="inlineStr">
        <is>
          <t>Worldpay master-plan review 2026-08-14</t>
        </is>
      </c>
      <c r="H69" s="111" t="inlineStr">
        <is>
          <t>Review finding</t>
        </is>
      </c>
      <c r="I69" s="111" t="inlineStr">
        <is>
          <t>Do not retain 'active RFP' without refresh</t>
        </is>
      </c>
      <c r="J69" s="123" t="n">
        <v>46248</v>
      </c>
    </row>
    <row r="70" ht="42" customHeight="1" s="59">
      <c r="A70" s="111" t="inlineStr">
        <is>
          <t>FIVE GUYS</t>
        </is>
      </c>
      <c r="B70" s="111" t="inlineStr">
        <is>
          <t>Account governance</t>
        </is>
      </c>
      <c r="C70" s="111" t="inlineStr">
        <is>
          <t>RM field update</t>
        </is>
      </c>
      <c r="D70" s="139" t="n">
        <v>46269.5</v>
      </c>
      <c r="E70" s="111" t="inlineStr">
        <is>
          <t>Avery Churchwell</t>
        </is>
      </c>
      <c r="F70" s="111" t="inlineStr">
        <is>
          <t>Multiple uncoordinated Genius outreach attempts caused merchant concern. MJ and Zerick had not responded to FSTEC invitations; generic outreach is unlikely to work.</t>
        </is>
      </c>
      <c r="G70" s="111" t="inlineStr">
        <is>
          <t>Avery Churchwell account update call, 2026-09-04</t>
        </is>
      </c>
      <c r="H70" s="111" t="inlineStr">
        <is>
          <t>High (RM intelligence)</t>
        </is>
      </c>
      <c r="I70" s="111" t="inlineStr">
        <is>
          <t>Centralize outreach through Todd and Avery; buying event remains unconfirmed.</t>
        </is>
      </c>
      <c r="J70" s="139" t="n">
        <v>46269.5</v>
      </c>
    </row>
    <row r="71" ht="42" customHeight="1" s="59">
      <c r="A71" s="111" t="inlineStr">
        <is>
          <t>SLIM CHICKENS</t>
        </is>
      </c>
      <c r="B71" s="111" t="inlineStr">
        <is>
          <t>Relationship access</t>
        </is>
      </c>
      <c r="C71" s="111" t="inlineStr">
        <is>
          <t>RM field update</t>
        </is>
      </c>
      <c r="D71" s="139" t="n">
        <v>46269.5</v>
      </c>
      <c r="E71" s="111" t="inlineStr">
        <is>
          <t>Avery Churchwell</t>
        </is>
      </c>
      <c r="F71" s="111" t="inlineStr">
        <is>
          <t>A Slim Chickens contact plans to attend the FSTEC happy hour. Avery will provide Genius attendee contacts; RDS remains the coordinated account route.</t>
        </is>
      </c>
      <c r="G71" s="111" t="inlineStr">
        <is>
          <t>Avery Churchwell account update call, 2026-09-04</t>
        </is>
      </c>
      <c r="H71" s="111" t="inlineStr">
        <is>
          <t>High (RM intelligence)</t>
        </is>
      </c>
      <c r="I71" s="111" t="inlineStr">
        <is>
          <t>Use FSTEC for relationship mapping and keep follow-up RDS-led.</t>
        </is>
      </c>
      <c r="J71" s="139" t="n">
        <v>46269.5</v>
      </c>
    </row>
    <row r="72" ht="42" customHeight="1" s="59">
      <c r="A72" s="111" t="inlineStr">
        <is>
          <t>FREDDY'S FROZEN CUSTARD LLC</t>
        </is>
      </c>
      <c r="B72" s="111" t="inlineStr">
        <is>
          <t>Relationship access</t>
        </is>
      </c>
      <c r="C72" s="111" t="inlineStr">
        <is>
          <t>RM field update</t>
        </is>
      </c>
      <c r="D72" s="139" t="n">
        <v>46269.5</v>
      </c>
      <c r="E72" s="111" t="inlineStr">
        <is>
          <t>Avery Churchwell</t>
        </is>
      </c>
      <c r="F72" s="111" t="inlineStr">
        <is>
          <t>No response to FSTEC outreach. Avery and Todd agreed RDS is the best route; post-Genius World follow-through with Ryan requires confirmation.</t>
        </is>
      </c>
      <c r="G72" s="111" t="inlineStr">
        <is>
          <t>Avery Churchwell account update call, 2026-09-04</t>
        </is>
      </c>
      <c r="H72" s="111" t="inlineStr">
        <is>
          <t>High (RM intelligence)</t>
        </is>
      </c>
      <c r="I72" s="111" t="inlineStr">
        <is>
          <t>Remain RDS-led; no active displacement trigger verified.</t>
        </is>
      </c>
      <c r="J72" s="139" t="n">
        <v>46269.5</v>
      </c>
    </row>
    <row r="73">
      <c r="A73" s="111" t="inlineStr">
        <is>
          <t>Red Robin</t>
        </is>
      </c>
      <c r="B73" s="111" t="inlineStr">
        <is>
          <t>Account condition</t>
        </is>
      </c>
      <c r="C73" s="111" t="inlineStr">
        <is>
          <t>RM assessment</t>
        </is>
      </c>
      <c r="D73" s="139" t="n">
        <v>46269.5</v>
      </c>
      <c r="E73" s="111" t="inlineStr">
        <is>
          <t>Avery Churchwell</t>
        </is>
      </c>
      <c r="F73" s="111" t="inlineStr">
        <is>
          <t>Avery's recent reading suggests Red Robin may be in a better position and should be reconsidered as a prospecting possibility.</t>
        </is>
      </c>
      <c r="G73" s="111" t="inlineStr">
        <is>
          <t>Avery Churchwell account update call, 2026-09-04</t>
        </is>
      </c>
      <c r="H73" s="111" t="inlineStr">
        <is>
          <t>Medium (RM assessment)</t>
        </is>
      </c>
      <c r="I73" s="111" t="inlineStr">
        <is>
          <t>Validate operating improvement and customer buying trigger before increasing pursuit.</t>
        </is>
      </c>
      <c r="J73" s="139" t="n">
        <v>46269.5</v>
      </c>
    </row>
    <row r="74">
      <c r="A74" s="111" t="inlineStr">
        <is>
          <t>LITTLE CAESARS ENTERPRISE INC</t>
        </is>
      </c>
      <c r="B74" s="111" t="inlineStr">
        <is>
          <t>Relationship access</t>
        </is>
      </c>
      <c r="C74" s="111" t="inlineStr">
        <is>
          <t>RM field update</t>
        </is>
      </c>
      <c r="D74" s="139" t="n">
        <v>46269.5</v>
      </c>
      <c r="E74" s="111" t="inlineStr">
        <is>
          <t>Avery Churchwell</t>
        </is>
      </c>
      <c r="F74" s="111" t="inlineStr">
        <is>
          <t>Three follow-up items remained unanswered after roughly 1.5 weeks, although Avery participated in a technical-support call with the account earlier that week.</t>
        </is>
      </c>
      <c r="G74" s="111" t="inlineStr">
        <is>
          <t>Avery Churchwell account update call, 2026-09-04</t>
        </is>
      </c>
      <c r="H74" s="111" t="inlineStr">
        <is>
          <t>High (RM interaction)</t>
        </is>
      </c>
      <c r="I74" s="111" t="inlineStr">
        <is>
          <t>Use the support interaction to recover responsiveness and consolidate open requests.</t>
        </is>
      </c>
      <c r="J74" s="139" t="n">
        <v>46269.5</v>
      </c>
    </row>
    <row r="75">
      <c r="A75" s="111" t="n"/>
      <c r="B75" s="111" t="n"/>
      <c r="C75" s="111" t="n"/>
      <c r="D75" s="123" t="n"/>
      <c r="E75" s="111" t="n"/>
      <c r="F75" s="111" t="n"/>
      <c r="G75" s="111" t="n"/>
      <c r="H75" s="111" t="n"/>
      <c r="I75" s="111" t="n"/>
      <c r="J75" s="123" t="n"/>
    </row>
    <row r="76">
      <c r="A76" s="111" t="n"/>
      <c r="B76" s="111" t="n"/>
      <c r="C76" s="111" t="n"/>
      <c r="D76" s="123" t="n"/>
      <c r="E76" s="111" t="n"/>
      <c r="F76" s="111" t="n"/>
      <c r="G76" s="111" t="n"/>
      <c r="H76" s="111" t="n"/>
      <c r="I76" s="111" t="n"/>
      <c r="J76" s="123" t="n"/>
    </row>
    <row r="77">
      <c r="A77" s="111" t="n"/>
      <c r="B77" s="111" t="n"/>
      <c r="C77" s="111" t="n"/>
      <c r="D77" s="123" t="n"/>
      <c r="E77" s="111" t="n"/>
      <c r="F77" s="111" t="n"/>
      <c r="G77" s="111" t="n"/>
      <c r="H77" s="111" t="n"/>
      <c r="I77" s="111" t="n"/>
      <c r="J77" s="123" t="n"/>
    </row>
    <row r="78">
      <c r="A78" s="111" t="n"/>
      <c r="B78" s="111" t="n"/>
      <c r="C78" s="111" t="n"/>
      <c r="D78" s="123" t="n"/>
      <c r="E78" s="111" t="n"/>
      <c r="F78" s="111" t="n"/>
      <c r="G78" s="111" t="n"/>
      <c r="H78" s="111" t="n"/>
      <c r="I78" s="111" t="n"/>
      <c r="J78" s="123" t="n"/>
    </row>
    <row r="79">
      <c r="A79" s="111" t="n"/>
      <c r="B79" s="111" t="n"/>
      <c r="C79" s="111" t="n"/>
      <c r="D79" s="123" t="n"/>
      <c r="E79" s="111" t="n"/>
      <c r="F79" s="111" t="n"/>
      <c r="G79" s="111" t="n"/>
      <c r="H79" s="111" t="n"/>
      <c r="I79" s="111" t="n"/>
      <c r="J79" s="123" t="n"/>
    </row>
    <row r="80">
      <c r="A80" s="111" t="n"/>
      <c r="B80" s="111" t="n"/>
      <c r="C80" s="111" t="n"/>
      <c r="D80" s="123" t="n"/>
      <c r="E80" s="111" t="n"/>
      <c r="F80" s="111" t="n"/>
      <c r="G80" s="111" t="n"/>
      <c r="H80" s="111" t="n"/>
      <c r="I80" s="111" t="n"/>
      <c r="J80" s="123" t="n"/>
    </row>
    <row r="81">
      <c r="A81" s="111" t="n"/>
      <c r="B81" s="111" t="n"/>
      <c r="C81" s="111" t="n"/>
      <c r="D81" s="123" t="n"/>
      <c r="E81" s="111" t="n"/>
      <c r="F81" s="111" t="n"/>
      <c r="G81" s="111" t="n"/>
      <c r="H81" s="111" t="n"/>
      <c r="I81" s="111" t="n"/>
      <c r="J81" s="123" t="n"/>
    </row>
    <row r="82">
      <c r="A82" s="111" t="n"/>
      <c r="B82" s="111" t="n"/>
      <c r="C82" s="111" t="n"/>
      <c r="D82" s="123" t="n"/>
      <c r="E82" s="111" t="n"/>
      <c r="F82" s="111" t="n"/>
      <c r="G82" s="111" t="n"/>
      <c r="H82" s="111" t="n"/>
      <c r="I82" s="111" t="n"/>
      <c r="J82" s="123" t="n"/>
    </row>
    <row r="83">
      <c r="A83" s="111" t="n"/>
      <c r="B83" s="111" t="n"/>
      <c r="C83" s="111" t="n"/>
      <c r="D83" s="123" t="n"/>
      <c r="E83" s="111" t="n"/>
      <c r="F83" s="111" t="n"/>
      <c r="G83" s="111" t="n"/>
      <c r="H83" s="111" t="n"/>
      <c r="I83" s="111" t="n"/>
      <c r="J83" s="123" t="n"/>
    </row>
    <row r="84">
      <c r="A84" s="111" t="n"/>
      <c r="B84" s="111" t="n"/>
      <c r="C84" s="111" t="n"/>
      <c r="D84" s="123" t="n"/>
      <c r="E84" s="111" t="n"/>
      <c r="F84" s="111" t="n"/>
      <c r="G84" s="111" t="n"/>
      <c r="H84" s="111" t="n"/>
      <c r="I84" s="111" t="n"/>
      <c r="J84" s="123" t="n"/>
    </row>
    <row r="85">
      <c r="A85" s="111" t="inlineStr">
        <is>
          <t>DEL TACO LLC</t>
        </is>
      </c>
      <c r="B85" s="111" t="n"/>
      <c r="C85" s="111" t="inlineStr">
        <is>
          <t>vendor_relationship_formed</t>
        </is>
      </c>
      <c r="D85" s="111" t="inlineStr">
        <is>
          <t>2019-09-10</t>
        </is>
      </c>
      <c r="E85" s="111" t="n"/>
      <c r="F85" s="111" t="inlineStr">
        <is>
          <t>Del Taco Partners With Postmates To Bring Mexican And American Favorites Directly To Your Door - PR Newswire. Del Taco Partners With Postmates To Bring Mexican And American Favorites Directly To Your Door - PR Newswire</t>
        </is>
      </c>
      <c r="G85" s="111" t="n"/>
      <c r="H85" s="111" t="inlineStr">
        <is>
          <t>RBB-detected</t>
        </is>
      </c>
      <c r="I85" s="111" t="n"/>
      <c r="J85" s="111" t="inlineStr">
        <is>
          <t>2026-09-02</t>
        </is>
      </c>
    </row>
  </sheetData>
  <mergeCells count="2">
    <mergeCell ref="A1:J1"/>
    <mergeCell ref="A2:J2"/>
  </mergeCell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G17"/>
  <sheetViews>
    <sheetView showGridLines="0" workbookViewId="0">
      <selection activeCell="A1" sqref="A1"/>
    </sheetView>
  </sheetViews>
  <sheetFormatPr baseColWidth="10" defaultColWidth="8.83203125" defaultRowHeight="14"/>
  <cols>
    <col width="28" customWidth="1" style="59" min="1" max="1"/>
    <col width="25" customWidth="1" style="59" min="2" max="2"/>
    <col width="40" customWidth="1" style="59" min="3" max="3"/>
    <col width="48" customWidth="1" style="59" min="4" max="4"/>
    <col width="24" customWidth="1" style="59" min="5" max="5"/>
    <col width="50" customWidth="1" style="59" min="6" max="6"/>
    <col width="12" customWidth="1" style="59" min="7" max="7"/>
  </cols>
  <sheetData>
    <row r="1" ht="32" customHeight="1" s="59">
      <c r="A1" s="63" t="inlineStr">
        <is>
          <t>Conflict &amp; Verification Register — 2026-08-14</t>
        </is>
      </c>
    </row>
    <row r="2" ht="30" customHeight="1" s="59">
      <c r="A2" s="91" t="inlineStr">
        <is>
          <t>Conflicts are preserved until resolved; newer evidence does not erase the historical source.</t>
        </is>
      </c>
    </row>
    <row r="4" ht="28" customHeight="1" s="59">
      <c r="A4" s="92" t="inlineStr">
        <is>
          <t>Account</t>
        </is>
      </c>
      <c r="B4" s="93" t="inlineStr">
        <is>
          <t>Issue</t>
        </is>
      </c>
      <c r="C4" s="93" t="inlineStr">
        <is>
          <t>Incoming / Legacy View</t>
        </is>
      </c>
      <c r="D4" s="93" t="inlineStr">
        <is>
          <t>Newer Evidence</t>
        </is>
      </c>
      <c r="E4" s="93" t="inlineStr">
        <is>
          <t>Evidence Type</t>
        </is>
      </c>
      <c r="F4" s="93" t="inlineStr">
        <is>
          <t>Resolution Action</t>
        </is>
      </c>
      <c r="G4" s="94" t="inlineStr">
        <is>
          <t>Status</t>
        </is>
      </c>
    </row>
    <row r="5">
      <c r="A5" s="95" t="inlineStr">
        <is>
          <t>PAPA JOHN'S USA, INC.</t>
        </is>
      </c>
      <c r="B5" s="96" t="inlineStr">
        <is>
          <t>Stale Worldpay opportunity</t>
        </is>
      </c>
      <c r="C5" s="96" t="inlineStr">
        <is>
          <t>Worldpay: evaluating gateway/POS</t>
        </is>
      </c>
      <c r="D5" s="96" t="inlineStr">
        <is>
          <t>PAR selected Jan. 12, 2026; rollout through 2027</t>
        </is>
      </c>
      <c r="E5" s="96" t="inlineStr">
        <is>
          <t>Verified public fact</t>
        </is>
      </c>
      <c r="F5" s="96" t="inlineStr">
        <is>
          <t>Supersede open POS opportunity; monitor deployment and adjacency</t>
        </is>
      </c>
      <c r="G5" s="99" t="inlineStr">
        <is>
          <t>RESOLVED</t>
        </is>
      </c>
    </row>
    <row r="6" ht="26" customHeight="1" s="59">
      <c r="A6" s="100" t="inlineStr">
        <is>
          <t>Focus Brands (GoTo Foods)</t>
        </is>
      </c>
      <c r="B6" s="101" t="inlineStr">
        <is>
          <t>Scope and deployment health</t>
        </is>
      </c>
      <c r="C6" s="101" t="inlineStr">
        <is>
          <t>Worldpay: moving all to Qu</t>
        </is>
      </c>
      <c r="D6" s="101" t="inlineStr">
        <is>
          <t>Qu confirms seven-brand POS selection; &gt;2,000 installs; user reports rollout delay</t>
        </is>
      </c>
      <c r="E6" s="101" t="inlineStr">
        <is>
          <t>Verified + user intelligence</t>
        </is>
      </c>
      <c r="F6" s="101" t="inlineStr">
        <is>
          <t>Validate rollout pace and sources of delay without overstating failure</t>
        </is>
      </c>
      <c r="G6" s="104" t="inlineStr">
        <is>
          <t>OPEN</t>
        </is>
      </c>
    </row>
    <row r="7">
      <c r="A7" s="100" t="inlineStr">
        <is>
          <t>WENDY'S INTERNATIONAL INC</t>
        </is>
      </c>
      <c r="B7" s="101" t="inlineStr">
        <is>
          <t>Ownership boundary</t>
        </is>
      </c>
      <c r="C7" s="101" t="inlineStr">
        <is>
          <t>Worldpay: NCR Aloha; user reported active decision</t>
        </is>
      </c>
      <c r="D7" s="101" t="inlineStr">
        <is>
          <t>Not an opportunity owned by Todd</t>
        </is>
      </c>
      <c r="E7" s="101" t="inlineStr">
        <is>
          <t>User correction</t>
        </is>
      </c>
      <c r="F7" s="101" t="inlineStr">
        <is>
          <t>Retain for intelligence only; no Todd pursuit action</t>
        </is>
      </c>
      <c r="G7" s="104" t="inlineStr">
        <is>
          <t>EXCLUDED</t>
        </is>
      </c>
    </row>
    <row r="8">
      <c r="A8" s="100" t="inlineStr">
        <is>
          <t>DEL TACO LLC</t>
        </is>
      </c>
      <c r="B8" s="101" t="inlineStr">
        <is>
          <t>Duplicate/unowned leads</t>
        </is>
      </c>
      <c r="C8" s="101" t="inlineStr">
        <is>
          <t>Worldpay: NCR/Olo stack</t>
        </is>
      </c>
      <c r="D8" s="101" t="inlineStr">
        <is>
          <t>User: leads exist across Global Payments</t>
        </is>
      </c>
      <c r="E8" s="101" t="inlineStr">
        <is>
          <t>User intelligence</t>
        </is>
      </c>
      <c r="F8" s="101" t="inlineStr">
        <is>
          <t>Inventory and merge leads; assign owner and next action</t>
        </is>
      </c>
      <c r="G8" s="104" t="inlineStr">
        <is>
          <t>URGENT</t>
        </is>
      </c>
    </row>
    <row r="9">
      <c r="A9" s="100" t="inlineStr">
        <is>
          <t>Dutch Bros</t>
        </is>
      </c>
      <c r="B9" s="101" t="inlineStr">
        <is>
          <t>Ownership boundary</t>
        </is>
      </c>
      <c r="C9" s="101" t="inlineStr">
        <is>
          <t>Worldpay: Xenial POS; user: existing Genius customer</t>
        </is>
      </c>
      <c r="D9" s="101" t="inlineStr">
        <is>
          <t>Managed by a Global Payments account manager; not Todd-owned</t>
        </is>
      </c>
      <c r="E9" s="101" t="inlineStr">
        <is>
          <t>User correction + public context</t>
        </is>
      </c>
      <c r="F9" s="101" t="inlineStr">
        <is>
          <t>Retain for intelligence only; account manager owns activity</t>
        </is>
      </c>
      <c r="G9" s="104" t="inlineStr">
        <is>
          <t>EXCLUDED</t>
        </is>
      </c>
    </row>
    <row r="10" ht="26" customHeight="1" s="59">
      <c r="A10" s="100" t="inlineStr">
        <is>
          <t>FREDDY'S FROZEN CUSTARD LLC</t>
        </is>
      </c>
      <c r="B10" s="101" t="inlineStr">
        <is>
          <t>Channel posture and buying event</t>
        </is>
      </c>
      <c r="C10" s="101" t="inlineStr">
        <is>
          <t>P2 adjacency/international opportunity</t>
        </is>
      </c>
      <c r="D10" s="101" t="inlineStr">
        <is>
          <t>RDS-protected account; new CIO reportedly reinforcing PAR; no direct outreach</t>
        </is>
      </c>
      <c r="E10" s="101" t="inlineStr">
        <is>
          <t>High RDS field intelligence</t>
        </is>
      </c>
      <c r="F10" s="101" t="inlineStr">
        <is>
          <t>Downgrade to watchlist; prove the smaller RDS pilot first</t>
        </is>
      </c>
      <c r="G10" s="104" t="inlineStr">
        <is>
          <t>REFRAMED</t>
        </is>
      </c>
    </row>
    <row r="11">
      <c r="A11" s="100" t="inlineStr">
        <is>
          <t>GRAETERS</t>
        </is>
      </c>
      <c r="B11" s="101" t="inlineStr">
        <is>
          <t>Product edition</t>
        </is>
      </c>
      <c r="C11" s="101" t="inlineStr">
        <is>
          <t>Worldpay: Brink</t>
        </is>
      </c>
      <c r="D11" s="101" t="inlineStr">
        <is>
          <t>User: PAR, but not Enterprise</t>
        </is>
      </c>
      <c r="E11" s="101" t="inlineStr">
        <is>
          <t>User intelligence</t>
        </is>
      </c>
      <c r="F11" s="101" t="inlineStr">
        <is>
          <t>Confirm SKU, reseller and enterprise migration fit</t>
        </is>
      </c>
      <c r="G11" s="104" t="inlineStr">
        <is>
          <t>OPEN</t>
        </is>
      </c>
    </row>
    <row r="12" ht="26" customHeight="1" s="59">
      <c r="A12" s="100" t="inlineStr">
        <is>
          <t>FIVE GUYS</t>
        </is>
      </c>
      <c r="B12" s="101" t="inlineStr">
        <is>
          <t>Buying-event certainty and timing</t>
        </is>
      </c>
      <c r="C12" s="101" t="inlineStr">
        <is>
          <t>Spring 2027 RFP assumed; MJ departure reported</t>
        </is>
      </c>
      <c r="D12" s="101" t="inlineStr">
        <is>
          <t>Capability evaluation plausible; no formal RFP found; MJ remains active</t>
        </is>
      </c>
      <c r="E12" s="101" t="inlineStr">
        <is>
          <t>Field intelligence + independent check</t>
        </is>
      </c>
      <c r="F12" s="101" t="inlineStr">
        <is>
          <t>Confirm evaluation type, expiration/notice dates, sponsor, scope and decision criteria</t>
        </is>
      </c>
      <c r="G12" s="104" t="inlineStr">
        <is>
          <t>URGENT</t>
        </is>
      </c>
    </row>
    <row r="13" ht="26" customHeight="1" s="59">
      <c r="A13" s="105" t="inlineStr">
        <is>
          <t>SUBWAY</t>
        </is>
      </c>
      <c r="B13" s="106" t="inlineStr">
        <is>
          <t>Genius product scope</t>
        </is>
      </c>
      <c r="C13" s="106" t="inlineStr">
        <is>
          <t>Prior record alternated between partial Genius POS and DMB</t>
        </is>
      </c>
      <c r="D13" s="106" t="inlineStr">
        <is>
          <t>Ryan reports proprietary POS plus global Genius KDS deployment; exact sites/status remain unverified</t>
        </is>
      </c>
      <c r="E13" s="106" t="inlineStr">
        <is>
          <t>Internal leadership intelligence</t>
        </is>
      </c>
      <c r="F13" s="106" t="inlineStr">
        <is>
          <t>Confirm product owner, KDS sites, deployment status, commitments and sponsor</t>
        </is>
      </c>
      <c r="G13" s="109" t="inlineStr">
        <is>
          <t>URGENT</t>
        </is>
      </c>
    </row>
    <row r="14" ht="15" customHeight="1" s="59">
      <c r="A14" s="90" t="inlineStr">
        <is>
          <t>CHOICE HOTELS</t>
        </is>
      </c>
      <c r="B14" s="90" t="inlineStr">
        <is>
          <t>RFP status aging</t>
        </is>
      </c>
      <c r="C14" s="90" t="inlineStr">
        <is>
          <t>Active RFP reported in July</t>
        </is>
      </c>
      <c r="D14" s="90" t="inlineStr">
        <is>
          <t>No August stage/deadline refresh found</t>
        </is>
      </c>
      <c r="E14" s="90" t="inlineStr">
        <is>
          <t>RM intelligence aging</t>
        </is>
      </c>
      <c r="F14" s="90" t="inlineStr">
        <is>
          <t>Confirm current stage, dates, sponsor and retained estate</t>
        </is>
      </c>
      <c r="G14" s="90" t="inlineStr">
        <is>
          <t>URGENT</t>
        </is>
      </c>
    </row>
    <row r="15" ht="30" customHeight="1" s="59">
      <c r="A15" s="90" t="inlineStr">
        <is>
          <t>PAPA JOHN'S USA, INC.</t>
        </is>
      </c>
      <c r="B15" s="90" t="inlineStr">
        <is>
          <t>Linux technical dependency</t>
        </is>
      </c>
      <c r="C15" s="90" t="inlineStr">
        <is>
          <t>PAR rollout tracked; no technical dependency recorded</t>
        </is>
      </c>
      <c r="D15" s="90" t="inlineStr">
        <is>
          <t>RDS claims Linux build is required; public sources do not confirm</t>
        </is>
      </c>
      <c r="E15" s="90" t="inlineStr">
        <is>
          <t>Confidential field intelligence</t>
        </is>
      </c>
      <c r="F15" s="90" t="inlineStr">
        <is>
          <t>Validate with technical/product owners; do not persist as fact</t>
        </is>
      </c>
      <c r="G15" s="90" t="inlineStr">
        <is>
          <t>OPEN</t>
        </is>
      </c>
    </row>
    <row r="16" ht="30" customHeight="1" s="59">
      <c r="A16" s="90" t="inlineStr">
        <is>
          <t>POLLO CAMPERO</t>
        </is>
      </c>
      <c r="B16" s="90" t="inlineStr">
        <is>
          <t>Decision openness and procurement scope</t>
        </is>
      </c>
      <c r="C16" s="90" t="inlineStr">
        <is>
          <t>Not present in prior portfolio</t>
        </is>
      </c>
      <c r="D16" s="90" t="inlineStr">
        <is>
          <t>Potential RFI and DMB issue; Oracle migration may already be advanced</t>
        </is>
      </c>
      <c r="E16" s="90" t="inlineStr">
        <is>
          <t>Internal account brief</t>
        </is>
      </c>
      <c r="F16" s="90" t="inlineStr">
        <is>
          <t>Obtain NDA/RFI and apply bid/no-bid gates</t>
        </is>
      </c>
      <c r="G16" s="90" t="inlineStr">
        <is>
          <t>URGENT</t>
        </is>
      </c>
    </row>
    <row r="17" ht="30" customHeight="1" s="59">
      <c r="A17" s="90" t="inlineStr">
        <is>
          <t>RDS FIVE-UNIT REBRAND PILOT</t>
        </is>
      </c>
      <c r="B17" s="90" t="inlineStr">
        <is>
          <t>Customer identity and authority</t>
        </is>
      </c>
      <c r="C17" s="90" t="inlineStr">
        <is>
          <t>Not present in prior portfolio</t>
        </is>
      </c>
      <c r="D17" s="90" t="inlineStr">
        <is>
          <t>Clean-slate rebrand offered as pilot; entity, concept and authority unconfirmed</t>
        </is>
      </c>
      <c r="E17" s="90" t="inlineStr">
        <is>
          <t>High channel field intelligence</t>
        </is>
      </c>
      <c r="F17" s="90" t="inlineStr">
        <is>
          <t>Document entity, authority, dates, budget, scope and protection terms</t>
        </is>
      </c>
      <c r="G17" s="90" t="inlineStr">
        <is>
          <t>URGENT</t>
        </is>
      </c>
    </row>
  </sheetData>
  <mergeCells count="2">
    <mergeCell ref="A2:G2"/>
    <mergeCell ref="A1:G1"/>
  </mergeCells>
  <conditionalFormatting sqref="G5:G13">
    <cfRule type="containsText" priority="1" operator="containsText" dxfId="1" text="URGENT"/>
    <cfRule type="containsText" priority="2" operator="containsText" dxfId="0" text="RESOLVED"/>
  </conditionalFormatting>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H10"/>
  <sheetViews>
    <sheetView showGridLines="0" workbookViewId="0">
      <selection activeCell="A1" sqref="A1"/>
    </sheetView>
  </sheetViews>
  <sheetFormatPr baseColWidth="10" defaultColWidth="8.83203125" defaultRowHeight="14"/>
  <cols>
    <col width="20" customWidth="1" style="59" min="1" max="1"/>
    <col width="14" customWidth="1" style="59" min="2" max="2"/>
    <col width="11" customWidth="1" style="59" min="3" max="3"/>
    <col width="12" customWidth="1" style="59" min="4" max="4"/>
    <col width="50" customWidth="1" style="59" min="5" max="5"/>
    <col width="60" customWidth="1" style="59" min="6" max="6"/>
    <col width="44" customWidth="1" style="59" min="7" max="7"/>
    <col width="48" customWidth="1" style="59" min="8" max="8"/>
  </cols>
  <sheetData>
    <row r="1" ht="32" customHeight="1" s="59">
      <c r="A1" s="110" t="inlineStr">
        <is>
          <t>RM Portfolio Briefings — 2026-09-04</t>
        </is>
      </c>
    </row>
    <row r="2" ht="30" customHeight="1" s="59">
      <c r="A2" s="112" t="inlineStr">
        <is>
          <t>Opportunity counts exclude Wendy's and Dutch Bros. Protected channel accounts remain governed by RDS engagement rules.</t>
        </is>
      </c>
    </row>
    <row r="3">
      <c r="A3" s="111" t="n"/>
      <c r="B3" s="111" t="n"/>
      <c r="C3" s="111" t="n"/>
      <c r="D3" s="111" t="n"/>
      <c r="E3" s="111" t="n"/>
      <c r="F3" s="111" t="n"/>
      <c r="G3" s="111" t="n"/>
      <c r="H3" s="111" t="n"/>
    </row>
    <row r="4" ht="28" customHeight="1" s="59">
      <c r="A4" s="113" t="inlineStr">
        <is>
          <t>RM</t>
        </is>
      </c>
      <c r="B4" s="114" t="inlineStr">
        <is>
          <t>Opportunity Accounts</t>
        </is>
      </c>
      <c r="C4" s="114" t="inlineStr">
        <is>
          <t>P1 Accounts</t>
        </is>
      </c>
      <c r="D4" s="114" t="inlineStr">
        <is>
          <t>Average Score</t>
        </is>
      </c>
      <c r="E4" s="114" t="inlineStr">
        <is>
          <t>Top Ranked Accounts</t>
        </is>
      </c>
      <c r="F4" s="114" t="inlineStr">
        <is>
          <t>Trigger Summary</t>
        </is>
      </c>
      <c r="G4" s="114" t="inlineStr">
        <is>
          <t>Workshop Focus</t>
        </is>
      </c>
      <c r="H4" s="115" t="inlineStr">
        <is>
          <t>Required Output</t>
        </is>
      </c>
    </row>
    <row r="5" ht="26" customHeight="1" s="59">
      <c r="A5" s="95" t="inlineStr">
        <is>
          <t>Avery Churchwell</t>
        </is>
      </c>
      <c r="B5" s="96" t="n">
        <v>11</v>
      </c>
      <c r="C5" s="96" t="n">
        <v>1</v>
      </c>
      <c r="D5" s="97" t="n">
        <v>57.1</v>
      </c>
      <c r="E5" s="96" t="inlineStr">
        <is>
          <t>FIVE GUYS, Red Robin, EAT'N PARK, MILLER'S ALE HOUSE, BLACK BEAR</t>
        </is>
      </c>
      <c r="F5" s="96" t="inlineStr">
        <is>
          <t>Five Guys outreach governance/FSTEC opening | Slim Chickens RDS-led FSTEC contact | Little Caesars follow-up stall | Red Robin reassessment</t>
        </is>
      </c>
      <c r="G5" s="96" t="inlineStr">
        <is>
          <t>Centralize Five Guys outreach with Avery/Todd; coordinate Slim Chickens and Freddy's through RDS; recover Little Caesars follow-ups; qualify Red Robin timing.</t>
        </is>
      </c>
      <c r="H5" s="99" t="inlineStr">
        <is>
          <t>Named owner and coordinated contact plan for each account; FSTEC connection plan; verified buying trigger, renewal dates and dated next action.</t>
        </is>
      </c>
    </row>
    <row r="6" ht="26" customHeight="1" s="59">
      <c r="A6" s="100" t="inlineStr">
        <is>
          <t>Brian Wood</t>
        </is>
      </c>
      <c r="B6" s="101" t="n">
        <v>8</v>
      </c>
      <c r="C6" s="101" t="n">
        <v>1</v>
      </c>
      <c r="D6" s="102" t="n">
        <v>59.6</v>
      </c>
      <c r="E6" s="101" t="inlineStr">
        <is>
          <t>GoTo Foods, CHOICE HOTELS, PAPA JOHN'S, CRACKER BARREL, BOB EVANS</t>
        </is>
      </c>
      <c r="F6" s="101" t="inlineStr">
        <is>
          <t>GoTo platform/payment defense | Choice RFP refresh | Papa Johns rollout watch</t>
        </is>
      </c>
      <c r="G6" s="101" t="inlineStr">
        <is>
          <t>GoTo DMB map; Choice status refresh; Papa Johns adjacency and implementation monitoring</t>
        </is>
      </c>
      <c r="H6" s="104" t="inlineStr">
        <is>
          <t>Named account owner, current scope, decision dates, buying-center map and warm introduction.</t>
        </is>
      </c>
    </row>
    <row r="7" ht="26" customHeight="1" s="59">
      <c r="A7" s="100" t="inlineStr">
        <is>
          <t>Maggie Lenhart</t>
        </is>
      </c>
      <c r="B7" s="101" t="n">
        <v>6</v>
      </c>
      <c r="C7" s="101" t="n">
        <v>1</v>
      </c>
      <c r="D7" s="102" t="n">
        <v>65.2</v>
      </c>
      <c r="E7" s="101" t="inlineStr">
        <is>
          <t>DEL TACO, STEAK N SHAKE, CHURCH'S, LAROSA'S, GOLDEN CORRAL</t>
        </is>
      </c>
      <c r="F7" s="101" t="inlineStr">
        <is>
          <t>Del Taco extension/Yadav event | Steak 'n Shake remediation | Church's decision unresolved</t>
        </is>
      </c>
      <c r="G7" s="101" t="inlineStr">
        <is>
          <t>Complete Del Taco extension and lead consolidation; establish dated kiosk remediation</t>
        </is>
      </c>
      <c r="H7" s="104" t="inlineStr">
        <is>
          <t>Verified buying event, owner map, technical issue owners and customer introduction.</t>
        </is>
      </c>
    </row>
    <row r="8" ht="26" customHeight="1" s="59">
      <c r="A8" s="105" t="inlineStr">
        <is>
          <t>Stacie Davis</t>
        </is>
      </c>
      <c r="B8" s="106" t="n">
        <v>3</v>
      </c>
      <c r="C8" s="106" t="n">
        <v>1</v>
      </c>
      <c r="D8" s="107" t="n">
        <v>63</v>
      </c>
      <c r="E8" s="106" t="inlineStr">
        <is>
          <t>SUBWAY, STARBUCKS, DOMINO'S</t>
        </is>
      </c>
      <c r="F8" s="106" t="inlineStr">
        <is>
          <t>Subway KDS scope conflict | Starbucks share recovery | Domino's reference posture</t>
        </is>
      </c>
      <c r="G8" s="106" t="inlineStr">
        <is>
          <t>Resolve Subway product/sites/owner before any new positioning</t>
        </is>
      </c>
      <c r="H8" s="109" t="inlineStr">
        <is>
          <t>Confirmed Genius KDS scope, customer sponsor, commitments and next relationship.</t>
        </is>
      </c>
    </row>
    <row r="9" ht="30" customHeight="1" s="59">
      <c r="A9" s="111" t="inlineStr">
        <is>
          <t>RDS / Darren Heinze</t>
        </is>
      </c>
      <c r="B9" s="111" t="n">
        <v>1</v>
      </c>
      <c r="C9" s="111" t="n">
        <v>0</v>
      </c>
      <c r="D9" s="111" t="n">
        <v>74</v>
      </c>
      <c r="E9" s="111" t="inlineStr">
        <is>
          <t>RDS FIVE-UNIT REBRAND PILOT</t>
        </is>
      </c>
      <c r="F9" s="111" t="inlineStr">
        <is>
          <t>Clean-slate pilot; protected-account operating model</t>
        </is>
      </c>
      <c r="G9" s="111" t="inlineStr">
        <is>
          <t>Document entity, scope, economics, support, protections and case-study rights</t>
        </is>
      </c>
      <c r="H9" s="111" t="inlineStr">
        <is>
          <t>Qualified customer facts, signed engagement rules and a dated pilot plan.</t>
        </is>
      </c>
    </row>
    <row r="10" ht="30" customHeight="1" s="59">
      <c r="A10" s="111" t="inlineStr">
        <is>
          <t>Unassigned / Worldpay</t>
        </is>
      </c>
      <c r="B10" s="111" t="n">
        <v>1</v>
      </c>
      <c r="C10" s="111" t="n">
        <v>0</v>
      </c>
      <c r="D10" s="111" t="n">
        <v>72</v>
      </c>
      <c r="E10" s="111" t="inlineStr">
        <is>
          <t>POLLO CAMPERO</t>
        </is>
      </c>
      <c r="F10" s="111" t="inlineStr">
        <is>
          <t>Potential RFI; Oracle migration; split payment stack</t>
        </is>
      </c>
      <c r="G10" s="111" t="inlineStr">
        <is>
          <t>Assign owner, obtain NDA/RFI and apply bid/no-bid gates</t>
        </is>
      </c>
      <c r="H10" s="111" t="inlineStr">
        <is>
          <t>Named owner, procurement documents, timeline, country scope and decision openness.</t>
        </is>
      </c>
    </row>
  </sheetData>
  <mergeCells count="2">
    <mergeCell ref="A2:H2"/>
    <mergeCell ref="A1:H1"/>
  </mergeCell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15"/>
  <sheetViews>
    <sheetView showGridLines="0" workbookViewId="0">
      <selection activeCell="A1" sqref="A1"/>
    </sheetView>
  </sheetViews>
  <sheetFormatPr baseColWidth="10" defaultColWidth="8.83203125" defaultRowHeight="14"/>
  <cols>
    <col width="22" customWidth="1" style="59" min="1" max="5"/>
    <col width="32" customWidth="1" style="59" min="6" max="6"/>
  </cols>
  <sheetData>
    <row r="1" ht="32" customHeight="1" s="59">
      <c r="A1" s="63" t="inlineStr">
        <is>
          <t>Portfolio Scoring Model — 2026-08-14</t>
        </is>
      </c>
    </row>
    <row r="2" ht="30" customHeight="1" s="59">
      <c r="A2" s="91" t="inlineStr">
        <is>
          <t>Score 1–5, then Refine after every material signal. Unknown is not whitespace; unverified triggers must not be scored as active decisions.</t>
        </is>
      </c>
    </row>
    <row r="4" ht="28" customHeight="1" s="59">
      <c r="A4" s="92" t="inlineStr">
        <is>
          <t>Dimension</t>
        </is>
      </c>
      <c r="B4" s="93" t="inlineStr">
        <is>
          <t>Weight</t>
        </is>
      </c>
      <c r="C4" s="93" t="inlineStr">
        <is>
          <t>1 = Low</t>
        </is>
      </c>
      <c r="D4" s="93" t="inlineStr">
        <is>
          <t>3 = Medium</t>
        </is>
      </c>
      <c r="E4" s="93" t="inlineStr">
        <is>
          <t>5 = High</t>
        </is>
      </c>
      <c r="F4" s="94" t="inlineStr">
        <is>
          <t>Interpretation</t>
        </is>
      </c>
    </row>
    <row r="5">
      <c r="A5" s="95" t="inlineStr">
        <is>
          <t>Strategic Value</t>
        </is>
      </c>
      <c r="B5" s="13" t="n">
        <v>0.2</v>
      </c>
      <c r="C5" s="96" t="inlineStr">
        <is>
          <t>Small/low leverage</t>
        </is>
      </c>
      <c r="D5" s="96" t="inlineStr">
        <is>
          <t>Meaningful footprint</t>
        </is>
      </c>
      <c r="E5" s="96" t="inlineStr">
        <is>
          <t>Transformational scale</t>
        </is>
      </c>
      <c r="F5" s="99" t="inlineStr">
        <is>
          <t>Account size, tier, franchise leverage</t>
        </is>
      </c>
    </row>
    <row r="6">
      <c r="A6" s="100" t="inlineStr">
        <is>
          <t>Active Buying Trigger</t>
        </is>
      </c>
      <c r="B6" s="14" t="n">
        <v>0.2</v>
      </c>
      <c r="C6" s="101" t="inlineStr">
        <is>
          <t>No trigger</t>
        </is>
      </c>
      <c r="D6" s="101" t="inlineStr">
        <is>
          <t>Research/discovery signal</t>
        </is>
      </c>
      <c r="E6" s="101" t="inlineStr">
        <is>
          <t>Active decision or internal lead</t>
        </is>
      </c>
      <c r="F6" s="104" t="inlineStr">
        <is>
          <t>Time-sensitive commercial motion</t>
        </is>
      </c>
    </row>
    <row r="7">
      <c r="A7" s="100" t="inlineStr">
        <is>
          <t>Relationship / Access</t>
        </is>
      </c>
      <c r="B7" s="14" t="n">
        <v>0.15</v>
      </c>
      <c r="C7" s="101" t="inlineStr">
        <is>
          <t>No path</t>
        </is>
      </c>
      <c r="D7" s="101" t="inlineStr">
        <is>
          <t>Named RM/internal route</t>
        </is>
      </c>
      <c r="E7" s="101" t="inlineStr">
        <is>
          <t>Active customer access</t>
        </is>
      </c>
      <c r="F7" s="104" t="inlineStr">
        <is>
          <t>Ability to influence outcome</t>
        </is>
      </c>
    </row>
    <row r="8">
      <c r="A8" s="100" t="inlineStr">
        <is>
          <t>Incumbent Lifecycle</t>
        </is>
      </c>
      <c r="B8" s="14" t="n">
        <v>0.15</v>
      </c>
      <c r="C8" s="101" t="inlineStr">
        <is>
          <t>New/locked</t>
        </is>
      </c>
      <c r="D8" s="101" t="inlineStr">
        <is>
          <t>Established or unclear</t>
        </is>
      </c>
      <c r="E8" s="101" t="inlineStr">
        <is>
          <t>Decision window/aging</t>
        </is>
      </c>
      <c r="F8" s="104" t="inlineStr">
        <is>
          <t>Switchability, not just age</t>
        </is>
      </c>
    </row>
    <row r="9">
      <c r="A9" s="100" t="inlineStr">
        <is>
          <t>Deployment Health</t>
        </is>
      </c>
      <c r="B9" s="14" t="n">
        <v>0.1</v>
      </c>
      <c r="C9" s="101" t="inlineStr">
        <is>
          <t>Healthy/positive</t>
        </is>
      </c>
      <c r="D9" s="101" t="inlineStr">
        <is>
          <t>Unknown/mixed</t>
        </is>
      </c>
      <c r="E9" s="101" t="inlineStr">
        <is>
          <t>Material issue reported</t>
        </is>
      </c>
      <c r="F9" s="104" t="inlineStr">
        <is>
          <t>Crack signal or implementation need</t>
        </is>
      </c>
    </row>
    <row r="10">
      <c r="A10" s="100" t="inlineStr">
        <is>
          <t>Adjacent Whitespace</t>
        </is>
      </c>
      <c r="B10" s="14" t="n">
        <v>0.15</v>
      </c>
      <c r="C10" s="101" t="inlineStr">
        <is>
          <t>Stack entrenched</t>
        </is>
      </c>
      <c r="D10" s="101" t="inlineStr">
        <is>
          <t>Some gaps</t>
        </is>
      </c>
      <c r="E10" s="101" t="inlineStr">
        <is>
          <t>Many verified/qualifiable gaps</t>
        </is>
      </c>
      <c r="F10" s="104" t="inlineStr">
        <is>
          <t>Unknown is not automatically whitespace</t>
        </is>
      </c>
    </row>
    <row r="11">
      <c r="A11" s="105" t="inlineStr">
        <is>
          <t>Internal Coordination</t>
        </is>
      </c>
      <c r="B11" s="15" t="n">
        <v>0.05</v>
      </c>
      <c r="C11" s="106" t="inlineStr">
        <is>
          <t>Simple</t>
        </is>
      </c>
      <c r="D11" s="106" t="inlineStr">
        <is>
          <t>Several owners</t>
        </is>
      </c>
      <c r="E11" s="106" t="inlineStr">
        <is>
          <t>Urgent cross-team alignment</t>
        </is>
      </c>
      <c r="F11" s="109" t="inlineStr">
        <is>
          <t>Need to merge leads/owners/actions</t>
        </is>
      </c>
    </row>
    <row r="13" ht="15" customHeight="1" s="59">
      <c r="A13" s="16" t="inlineStr">
        <is>
          <t>Formula</t>
        </is>
      </c>
      <c r="B13" s="16" t="n"/>
      <c r="C13" s="16" t="n"/>
      <c r="D13" s="16" t="n"/>
      <c r="E13" s="16" t="n"/>
      <c r="F13" s="16" t="n"/>
    </row>
    <row r="14" ht="45" customHeight="1" s="59">
      <c r="A14" s="17" t="inlineStr">
        <is>
          <t>Total Score</t>
        </is>
      </c>
      <c r="B14" s="17" t="inlineStr">
        <is>
          <t>SUM of each (dimension score ÷ 5 × dimension weight)</t>
        </is>
      </c>
      <c r="C14" s="17" t="n"/>
      <c r="D14" s="17" t="n"/>
      <c r="E14" s="17" t="n"/>
      <c r="F14" s="17" t="n"/>
    </row>
    <row r="15" ht="30" customHeight="1" s="59">
      <c r="A15" s="17" t="inlineStr">
        <is>
          <t>Priority Bands</t>
        </is>
      </c>
      <c r="B15" s="17" t="inlineStr">
        <is>
          <t>P1 ≥ 78 | P2 65–77.9 | P3 &lt; 65</t>
        </is>
      </c>
      <c r="C15" s="17" t="n"/>
      <c r="D15" s="17" t="n"/>
      <c r="E15" s="17" t="n"/>
      <c r="F15" s="17" t="n"/>
    </row>
  </sheetData>
  <mergeCells count="2">
    <mergeCell ref="A2:F2"/>
    <mergeCell ref="A1:F1"/>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S31"/>
  <sheetViews>
    <sheetView showGridLines="0" workbookViewId="0">
      <selection activeCell="A1" sqref="A1"/>
    </sheetView>
  </sheetViews>
  <sheetFormatPr baseColWidth="10" defaultColWidth="8.83203125" defaultRowHeight="14"/>
  <cols>
    <col width="34" customWidth="1" style="59" min="1" max="1"/>
    <col width="15" customWidth="1" style="59" min="2" max="15"/>
    <col width="20" customWidth="1" style="59" min="16" max="19"/>
    <col width="36" customWidth="1" style="59" min="20" max="20"/>
    <col width="28" customWidth="1" style="59" min="21" max="26"/>
    <col width="15" customWidth="1" style="59" min="27" max="45"/>
  </cols>
  <sheetData>
    <row r="1" ht="28" customHeight="1" s="59">
      <c r="A1" s="92" t="inlineStr">
        <is>
          <t>Merchant</t>
        </is>
      </c>
      <c r="B1" s="93" t="inlineStr">
        <is>
          <t>DIrect ID</t>
        </is>
      </c>
      <c r="C1" s="93" t="inlineStr">
        <is>
          <t>Superchain/Corp Chain</t>
        </is>
      </c>
      <c r="D1" s="93" t="inlineStr">
        <is>
          <t>Franchise Code</t>
        </is>
      </c>
      <c r="E1" s="93" t="inlineStr">
        <is>
          <t>National Bank</t>
        </is>
      </c>
      <c r="F1" s="93" t="inlineStr">
        <is>
          <t>CP/Ecom</t>
        </is>
      </c>
      <c r="G1" s="93" t="inlineStr">
        <is>
          <t>Owner</t>
        </is>
      </c>
      <c r="H1" s="93" t="inlineStr">
        <is>
          <t>Vertical</t>
        </is>
      </c>
      <c r="I1" s="93" t="inlineStr">
        <is>
          <t>2022
Jan-Sep</t>
        </is>
      </c>
      <c r="J1" s="93" t="inlineStr">
        <is>
          <t>2022
Forecast</t>
        </is>
      </c>
      <c r="K1" s="93" t="inlineStr">
        <is>
          <t>Tier</t>
        </is>
      </c>
      <c r="L1" s="93" t="inlineStr">
        <is>
          <t># of Locations</t>
        </is>
      </c>
      <c r="M1" s="93" t="inlineStr">
        <is>
          <t>% Corporated Owned</t>
        </is>
      </c>
      <c r="N1" s="93" t="inlineStr">
        <is>
          <t>% Franchise Owned.</t>
        </is>
      </c>
      <c r="O1" s="93" t="inlineStr">
        <is>
          <t>Int'l?</t>
        </is>
      </c>
      <c r="P1" s="93" t="inlineStr">
        <is>
          <t>RM</t>
        </is>
      </c>
      <c r="Q1" s="93" t="inlineStr">
        <is>
          <t>CSM</t>
        </is>
      </c>
      <c r="R1" s="93" t="inlineStr">
        <is>
          <t>PCO?</t>
        </is>
      </c>
      <c r="S1" s="93" t="inlineStr">
        <is>
          <t>Franchise Relationship Manager</t>
        </is>
      </c>
      <c r="T1" s="93" t="inlineStr">
        <is>
          <t>Notes</t>
        </is>
      </c>
      <c r="U1" s="93" t="inlineStr">
        <is>
          <t>POS</t>
        </is>
      </c>
      <c r="V1" s="93" t="inlineStr">
        <is>
          <t>ISV</t>
        </is>
      </c>
      <c r="W1" s="93" t="inlineStr">
        <is>
          <t>Terminals</t>
        </is>
      </c>
      <c r="X1" s="93" t="inlineStr">
        <is>
          <t>Kiosk</t>
        </is>
      </c>
      <c r="Y1" s="93" t="inlineStr">
        <is>
          <t>Ecommerce-Worldpay</t>
        </is>
      </c>
      <c r="Z1" s="93" t="inlineStr">
        <is>
          <t>Ecommerce-Other</t>
        </is>
      </c>
      <c r="AA1" s="93" t="inlineStr">
        <is>
          <t>Tier Adj
(Susan)</t>
        </is>
      </c>
      <c r="AB1" s="93" t="inlineStr">
        <is>
          <t>Vertical Adj
(James)</t>
        </is>
      </c>
      <c r="AC1" s="93" t="inlineStr">
        <is>
          <t>Tier Adj
(James)</t>
        </is>
      </c>
      <c r="AD1" s="93" t="inlineStr">
        <is>
          <t>James</t>
        </is>
      </c>
      <c r="AE1" s="93" t="inlineStr">
        <is>
          <t>Notes.1</t>
        </is>
      </c>
      <c r="AF1" s="93" t="inlineStr">
        <is>
          <t>Missing</t>
        </is>
      </c>
      <c r="AG1" s="93" t="inlineStr">
        <is>
          <t>Unnamed: 32</t>
        </is>
      </c>
      <c r="AH1" s="93" t="inlineStr">
        <is>
          <t>Unnamed: 33</t>
        </is>
      </c>
      <c r="AI1" s="93" t="inlineStr">
        <is>
          <t>Unnamed: 34</t>
        </is>
      </c>
      <c r="AJ1" s="93" t="inlineStr">
        <is>
          <t>Unnamed: 35</t>
        </is>
      </c>
      <c r="AK1" s="93" t="inlineStr">
        <is>
          <t>Unnamed: 36</t>
        </is>
      </c>
      <c r="AL1" s="93" t="inlineStr">
        <is>
          <t>Unnamed: 37</t>
        </is>
      </c>
      <c r="AM1" s="93" t="inlineStr">
        <is>
          <t>Unnamed: 38</t>
        </is>
      </c>
      <c r="AN1" s="93" t="inlineStr">
        <is>
          <t>Unnamed: 39</t>
        </is>
      </c>
      <c r="AO1" s="93" t="inlineStr">
        <is>
          <t>Unnamed: 40</t>
        </is>
      </c>
      <c r="AP1" s="93" t="inlineStr">
        <is>
          <t>Unnamed: 41</t>
        </is>
      </c>
      <c r="AQ1" s="93" t="inlineStr">
        <is>
          <t>Unnamed: 42</t>
        </is>
      </c>
      <c r="AR1" s="93" t="inlineStr">
        <is>
          <t>Unnamed: 43</t>
        </is>
      </c>
      <c r="AS1" s="94" t="inlineStr">
        <is>
          <t>Unnamed: 44</t>
        </is>
      </c>
    </row>
    <row r="2">
      <c r="A2" s="95" t="inlineStr">
        <is>
          <t>Barbara B Mann PAH</t>
        </is>
      </c>
      <c r="B2" s="96" t="n"/>
      <c r="C2" s="96" t="n"/>
      <c r="D2" s="96" t="n"/>
      <c r="E2" s="96" t="n"/>
      <c r="F2" s="96" t="inlineStr">
        <is>
          <t>CP</t>
        </is>
      </c>
      <c r="G2" s="96" t="inlineStr">
        <is>
          <t>Susan</t>
        </is>
      </c>
      <c r="H2" s="96" t="inlineStr">
        <is>
          <t>Hospitality</t>
        </is>
      </c>
      <c r="I2" s="33" t="n"/>
      <c r="J2" s="33" t="n">
        <v>398196</v>
      </c>
      <c r="K2" s="96" t="inlineStr">
        <is>
          <t>Tier 2</t>
        </is>
      </c>
      <c r="L2" s="96" t="n"/>
      <c r="M2" s="13" t="n"/>
      <c r="N2" s="13" t="n"/>
      <c r="O2" s="96" t="inlineStr">
        <is>
          <t>No</t>
        </is>
      </c>
      <c r="P2" s="96" t="inlineStr">
        <is>
          <t>Brian Wood</t>
        </is>
      </c>
      <c r="Q2" s="96" t="inlineStr">
        <is>
          <t>Ashlee Strete</t>
        </is>
      </c>
      <c r="R2" s="96" t="n"/>
      <c r="S2" s="96" t="n"/>
      <c r="T2" s="96" t="n"/>
      <c r="U2" s="96" t="inlineStr">
        <is>
          <t>Cybersource</t>
        </is>
      </c>
      <c r="V2" s="96" t="n"/>
      <c r="W2" s="96" t="n"/>
      <c r="X2" s="96" t="n"/>
      <c r="Y2" s="96" t="inlineStr">
        <is>
          <t>Yes</t>
        </is>
      </c>
      <c r="Z2" s="96" t="inlineStr">
        <is>
          <t>No</t>
        </is>
      </c>
      <c r="AA2" s="96" t="n"/>
      <c r="AB2" s="96" t="n"/>
      <c r="AC2" s="96" t="n"/>
      <c r="AD2" s="96" t="n"/>
      <c r="AE2" s="96" t="n"/>
      <c r="AF2" s="96" t="n"/>
      <c r="AG2" s="96" t="n"/>
      <c r="AH2" s="96" t="n"/>
      <c r="AI2" s="96" t="n"/>
      <c r="AJ2" s="96" t="n"/>
      <c r="AK2" s="96" t="n"/>
      <c r="AL2" s="96" t="n"/>
      <c r="AM2" s="96" t="n"/>
      <c r="AN2" s="96" t="n"/>
      <c r="AO2" s="96" t="n"/>
      <c r="AP2" s="96" t="n"/>
      <c r="AQ2" s="96" t="n"/>
      <c r="AR2" s="96" t="n"/>
      <c r="AS2" s="99" t="n"/>
    </row>
    <row r="3" ht="26" customHeight="1" s="59">
      <c r="A3" s="100" t="inlineStr">
        <is>
          <t>BLACK BEAR DINER</t>
        </is>
      </c>
      <c r="B3" s="101" t="inlineStr">
        <is>
          <t>DRCT - 000639- VREL</t>
        </is>
      </c>
      <c r="C3" s="101" t="inlineStr">
        <is>
          <t>S000000058</t>
        </is>
      </c>
      <c r="D3" s="101" t="inlineStr">
        <is>
          <t>BLCKBR</t>
        </is>
      </c>
      <c r="E3" s="101" t="n"/>
      <c r="F3" s="101" t="inlineStr">
        <is>
          <t>CP</t>
        </is>
      </c>
      <c r="G3" s="101" t="inlineStr">
        <is>
          <t>Susan</t>
        </is>
      </c>
      <c r="H3" s="101" t="inlineStr">
        <is>
          <t>Hospitality</t>
        </is>
      </c>
      <c r="I3" s="34" t="n">
        <v>249980.0417493</v>
      </c>
      <c r="J3" s="34" t="n">
        <v>333306.7223324</v>
      </c>
      <c r="K3" s="101" t="inlineStr">
        <is>
          <t>Tier 2</t>
        </is>
      </c>
      <c r="L3" s="101" t="n">
        <v>217</v>
      </c>
      <c r="M3" s="14" t="n">
        <v>0.6</v>
      </c>
      <c r="N3" s="14" t="n">
        <v>0.4</v>
      </c>
      <c r="O3" s="101" t="n">
        <v>0</v>
      </c>
      <c r="P3" s="101" t="inlineStr">
        <is>
          <t>Avery Churchwell</t>
        </is>
      </c>
      <c r="Q3" s="101" t="inlineStr">
        <is>
          <t>Michelle Weddington</t>
        </is>
      </c>
      <c r="R3" s="101" t="inlineStr">
        <is>
          <t>Melissa Douglas</t>
        </is>
      </c>
      <c r="S3" s="101" t="inlineStr">
        <is>
          <t>Gaynor Baker</t>
        </is>
      </c>
      <c r="T3" s="101" t="inlineStr">
        <is>
          <t>CP is moving to Toast, will likely move to unmanaged</t>
        </is>
      </c>
      <c r="U3" s="101" t="inlineStr">
        <is>
          <t>Toast / Olo</t>
        </is>
      </c>
      <c r="V3" s="101" t="inlineStr">
        <is>
          <t>Toast</t>
        </is>
      </c>
      <c r="W3" s="101" t="inlineStr">
        <is>
          <t>Toast</t>
        </is>
      </c>
      <c r="X3" s="101" t="n"/>
      <c r="Y3" s="101" t="inlineStr">
        <is>
          <t>Olo</t>
        </is>
      </c>
      <c r="Z3" s="101" t="n"/>
      <c r="AA3" s="101" t="n"/>
      <c r="AB3" s="101" t="n"/>
      <c r="AC3" s="101" t="n"/>
      <c r="AD3" s="101" t="n"/>
      <c r="AE3" s="101" t="n"/>
      <c r="AF3" s="101" t="n"/>
      <c r="AG3" s="101" t="n"/>
      <c r="AH3" s="101" t="n"/>
      <c r="AI3" s="101" t="n"/>
      <c r="AJ3" s="101" t="n"/>
      <c r="AK3" s="101" t="n"/>
      <c r="AL3" s="101" t="n"/>
      <c r="AM3" s="101" t="n"/>
      <c r="AN3" s="101" t="n"/>
      <c r="AO3" s="101" t="n"/>
      <c r="AP3" s="101" t="n"/>
      <c r="AQ3" s="101" t="n"/>
      <c r="AR3" s="101" t="n"/>
      <c r="AS3" s="104" t="n"/>
    </row>
    <row r="4">
      <c r="A4" s="100" t="inlineStr">
        <is>
          <t>BOB EVANS RESTAURANTS, LLC</t>
        </is>
      </c>
      <c r="B4" s="101" t="n"/>
      <c r="C4" s="101" t="inlineStr">
        <is>
          <t>000131</t>
        </is>
      </c>
      <c r="D4" s="101" t="n"/>
      <c r="E4" s="101" t="n"/>
      <c r="F4" s="101" t="inlineStr">
        <is>
          <t>CP</t>
        </is>
      </c>
      <c r="G4" s="101" t="inlineStr">
        <is>
          <t>Susan</t>
        </is>
      </c>
      <c r="H4" s="101" t="inlineStr">
        <is>
          <t>Hospitality</t>
        </is>
      </c>
      <c r="I4" s="34" t="n">
        <v>310354.0705699999</v>
      </c>
      <c r="J4" s="34" t="n">
        <v>413805.4274266665</v>
      </c>
      <c r="K4" s="101" t="inlineStr">
        <is>
          <t>Tier 2</t>
        </is>
      </c>
      <c r="L4" s="101" t="n">
        <v>450</v>
      </c>
      <c r="M4" s="14" t="n">
        <v>1</v>
      </c>
      <c r="N4" s="14" t="n">
        <v>0</v>
      </c>
      <c r="O4" s="101" t="inlineStr">
        <is>
          <t>No</t>
        </is>
      </c>
      <c r="P4" s="101" t="inlineStr">
        <is>
          <t>Brian Wood</t>
        </is>
      </c>
      <c r="Q4" s="101" t="inlineStr">
        <is>
          <t>Ashlee Strete</t>
        </is>
      </c>
      <c r="R4" s="101" t="inlineStr">
        <is>
          <t>Melissa Douglas</t>
        </is>
      </c>
      <c r="S4" s="101" t="n"/>
      <c r="T4" s="101" t="n"/>
      <c r="U4" s="101" t="inlineStr">
        <is>
          <t>NCR Aloha/Connected Payments</t>
        </is>
      </c>
      <c r="V4" s="101" t="inlineStr">
        <is>
          <t>NCR Connected Payments</t>
        </is>
      </c>
      <c r="W4" s="101" t="n"/>
      <c r="X4" s="101" t="n"/>
      <c r="Y4" s="101" t="inlineStr">
        <is>
          <t>Yes</t>
        </is>
      </c>
      <c r="Z4" s="101" t="inlineStr">
        <is>
          <t>No</t>
        </is>
      </c>
      <c r="AA4" s="101" t="n"/>
      <c r="AB4" s="101" t="n"/>
      <c r="AC4" s="101" t="n"/>
      <c r="AD4" s="101" t="n"/>
      <c r="AE4" s="101" t="n"/>
      <c r="AF4" s="101" t="n"/>
      <c r="AG4" s="101" t="n"/>
      <c r="AH4" s="101" t="n"/>
      <c r="AI4" s="101" t="n"/>
      <c r="AJ4" s="101" t="n"/>
      <c r="AK4" s="101" t="n"/>
      <c r="AL4" s="101" t="n"/>
      <c r="AM4" s="101" t="n"/>
      <c r="AN4" s="101" t="n"/>
      <c r="AO4" s="101" t="n"/>
      <c r="AP4" s="101" t="n"/>
      <c r="AQ4" s="101" t="n"/>
      <c r="AR4" s="101" t="n"/>
      <c r="AS4" s="104" t="n"/>
    </row>
    <row r="5" ht="26" customHeight="1" s="59">
      <c r="A5" s="100" t="inlineStr">
        <is>
          <t>BOYNE USA INC</t>
        </is>
      </c>
      <c r="B5" s="101" t="inlineStr">
        <is>
          <t>DRCT - 000723- VREL</t>
        </is>
      </c>
      <c r="C5" s="101" t="inlineStr">
        <is>
          <t>SCBYNHGLDS</t>
        </is>
      </c>
      <c r="D5" s="101" t="n"/>
      <c r="E5" s="101" t="n"/>
      <c r="F5" s="101" t="inlineStr">
        <is>
          <t>CP</t>
        </is>
      </c>
      <c r="G5" s="101" t="inlineStr">
        <is>
          <t>Susan</t>
        </is>
      </c>
      <c r="H5" s="101" t="inlineStr">
        <is>
          <t>Hospitality</t>
        </is>
      </c>
      <c r="I5" s="34" t="n">
        <v>252196.4004900001</v>
      </c>
      <c r="J5" s="34" t="n">
        <v>336261.8673200002</v>
      </c>
      <c r="K5" s="101" t="inlineStr">
        <is>
          <t>Tier 2</t>
        </is>
      </c>
      <c r="L5" s="101" t="n">
        <v>17</v>
      </c>
      <c r="M5" s="14" t="n">
        <v>1</v>
      </c>
      <c r="N5" s="14" t="n">
        <v>0</v>
      </c>
      <c r="O5" s="101" t="n">
        <v>0.05</v>
      </c>
      <c r="P5" s="101" t="inlineStr">
        <is>
          <t>Avery Churchwell</t>
        </is>
      </c>
      <c r="Q5" s="101" t="inlineStr">
        <is>
          <t>Michelle Weddington</t>
        </is>
      </c>
      <c r="R5" s="101" t="inlineStr">
        <is>
          <t>Melissa Douglas</t>
        </is>
      </c>
      <c r="S5" s="101" t="n"/>
      <c r="T5" s="101" t="inlineStr">
        <is>
          <t>1 Canadian location</t>
        </is>
      </c>
      <c r="U5" s="101" t="inlineStr">
        <is>
          <t>FreedomPay</t>
        </is>
      </c>
      <c r="V5" s="101" t="inlineStr">
        <is>
          <t>Agilysys, RTP</t>
        </is>
      </c>
      <c r="W5" s="101" t="inlineStr">
        <is>
          <t>Swipe Simple B250 &amp; FB Terminals</t>
        </is>
      </c>
      <c r="X5" s="101" t="inlineStr">
        <is>
          <t>Mashgin</t>
        </is>
      </c>
      <c r="Y5" s="101" t="inlineStr">
        <is>
          <t>Flaik</t>
        </is>
      </c>
      <c r="Z5" s="101" t="n"/>
      <c r="AA5" s="101" t="n"/>
      <c r="AB5" s="101" t="n"/>
      <c r="AC5" s="101" t="n"/>
      <c r="AD5" s="101" t="n"/>
      <c r="AE5" s="101" t="n"/>
      <c r="AF5" s="101" t="inlineStr">
        <is>
          <t>MISSING</t>
        </is>
      </c>
      <c r="AG5" s="101" t="n"/>
      <c r="AH5" s="101" t="n"/>
      <c r="AI5" s="101" t="n"/>
      <c r="AJ5" s="101" t="n"/>
      <c r="AK5" s="101" t="n"/>
      <c r="AL5" s="101" t="n"/>
      <c r="AM5" s="101" t="n"/>
      <c r="AN5" s="101" t="n"/>
      <c r="AO5" s="101" t="n"/>
      <c r="AP5" s="101" t="n"/>
      <c r="AQ5" s="101" t="n"/>
      <c r="AR5" s="101" t="n"/>
      <c r="AS5" s="104" t="n"/>
    </row>
    <row r="6">
      <c r="A6" s="100" t="inlineStr">
        <is>
          <t>CHOICE HOTELS</t>
        </is>
      </c>
      <c r="B6" s="101" t="n"/>
      <c r="C6" s="101" t="n"/>
      <c r="D6" s="101" t="inlineStr">
        <is>
          <t>CH2019</t>
        </is>
      </c>
      <c r="E6" s="101" t="n"/>
      <c r="F6" s="101" t="inlineStr">
        <is>
          <t>CP</t>
        </is>
      </c>
      <c r="G6" s="101" t="inlineStr">
        <is>
          <t>Susan</t>
        </is>
      </c>
      <c r="H6" s="101" t="inlineStr">
        <is>
          <t>Hospitality</t>
        </is>
      </c>
      <c r="I6" s="34" t="n">
        <v>1422373.611799999</v>
      </c>
      <c r="J6" s="34" t="n">
        <v>1896498.149066666</v>
      </c>
      <c r="K6" s="101" t="inlineStr">
        <is>
          <t>Tier 2</t>
        </is>
      </c>
      <c r="L6" s="101" t="n"/>
      <c r="M6" s="14" t="n">
        <v>0</v>
      </c>
      <c r="N6" s="14" t="n">
        <v>1</v>
      </c>
      <c r="O6" s="101" t="inlineStr">
        <is>
          <t>No</t>
        </is>
      </c>
      <c r="P6" s="101" t="inlineStr">
        <is>
          <t>Brian Wood</t>
        </is>
      </c>
      <c r="Q6" s="101" t="inlineStr">
        <is>
          <t>Michelle Weddington</t>
        </is>
      </c>
      <c r="R6" s="101" t="n"/>
      <c r="S6" s="101" t="n"/>
      <c r="T6" s="101" t="inlineStr">
        <is>
          <t>Deconverting</t>
        </is>
      </c>
      <c r="U6" s="101" t="inlineStr">
        <is>
          <t>Shift4</t>
        </is>
      </c>
      <c r="V6" s="101" t="n"/>
      <c r="W6" s="101" t="n"/>
      <c r="X6" s="101" t="n"/>
      <c r="Y6" s="101" t="inlineStr">
        <is>
          <t>Yes</t>
        </is>
      </c>
      <c r="Z6" s="101" t="inlineStr">
        <is>
          <t>No</t>
        </is>
      </c>
      <c r="AA6" s="101" t="n"/>
      <c r="AB6" s="101" t="n"/>
      <c r="AC6" s="101" t="n"/>
      <c r="AD6" s="101" t="n"/>
      <c r="AE6" s="101" t="n"/>
      <c r="AF6" s="101" t="n"/>
      <c r="AG6" s="101" t="n"/>
      <c r="AH6" s="101" t="n"/>
      <c r="AI6" s="101" t="n"/>
      <c r="AJ6" s="101" t="n"/>
      <c r="AK6" s="101" t="n"/>
      <c r="AL6" s="101" t="n"/>
      <c r="AM6" s="101" t="n"/>
      <c r="AN6" s="101" t="n"/>
      <c r="AO6" s="101" t="n"/>
      <c r="AP6" s="101" t="n"/>
      <c r="AQ6" s="101" t="n"/>
      <c r="AR6" s="101" t="n"/>
      <c r="AS6" s="104" t="n"/>
    </row>
    <row r="7" ht="39" customHeight="1" s="59">
      <c r="A7" s="100" t="inlineStr">
        <is>
          <t>CHURCHS CHICKEN 558</t>
        </is>
      </c>
      <c r="B7" s="101" t="inlineStr">
        <is>
          <t>DRCT - 006011- VREL</t>
        </is>
      </c>
      <c r="C7" s="101" t="inlineStr">
        <is>
          <t>S000002085, S000002083, SC0CHURCHA</t>
        </is>
      </c>
      <c r="D7" s="101" t="inlineStr">
        <is>
          <t>CHRCKN</t>
        </is>
      </c>
      <c r="E7" s="101" t="inlineStr">
        <is>
          <t>N000089</t>
        </is>
      </c>
      <c r="F7" s="101" t="inlineStr">
        <is>
          <t>CP</t>
        </is>
      </c>
      <c r="G7" s="101" t="inlineStr">
        <is>
          <t>Susan</t>
        </is>
      </c>
      <c r="H7" s="101" t="inlineStr">
        <is>
          <t>Hospitality</t>
        </is>
      </c>
      <c r="I7" s="34" t="n">
        <v>658127.70825</v>
      </c>
      <c r="J7" s="34" t="n">
        <v>877503.611</v>
      </c>
      <c r="K7" s="101" t="inlineStr">
        <is>
          <t>Tier 2</t>
        </is>
      </c>
      <c r="L7" s="101" t="n">
        <v>832</v>
      </c>
      <c r="M7" s="14" t="n">
        <v>0.2</v>
      </c>
      <c r="N7" s="14" t="n">
        <v>0.8</v>
      </c>
      <c r="O7" s="101" t="n"/>
      <c r="P7" s="101" t="inlineStr">
        <is>
          <t>Maggie Lenhart</t>
        </is>
      </c>
      <c r="Q7" s="101" t="inlineStr">
        <is>
          <t>Michelle Weddington</t>
        </is>
      </c>
      <c r="R7" s="101" t="inlineStr">
        <is>
          <t>Melissa Douglas</t>
        </is>
      </c>
      <c r="S7" s="101" t="inlineStr">
        <is>
          <t>Gaynor Baker</t>
        </is>
      </c>
      <c r="T7" s="101" t="n"/>
      <c r="U7" s="101" t="inlineStr">
        <is>
          <t>QuPOS</t>
        </is>
      </c>
      <c r="V7" s="101" t="inlineStr">
        <is>
          <t>Aurus</t>
        </is>
      </c>
      <c r="W7" s="101" t="inlineStr">
        <is>
          <t>Lane 3000</t>
        </is>
      </c>
      <c r="X7" s="101" t="inlineStr">
        <is>
          <t>Pilot with Bite (Express)</t>
        </is>
      </c>
      <c r="Y7" s="101" t="inlineStr">
        <is>
          <t>Olo</t>
        </is>
      </c>
      <c r="Z7" s="101" t="n"/>
      <c r="AA7" s="101" t="n"/>
      <c r="AB7" s="101" t="n"/>
      <c r="AC7" s="101" t="n"/>
      <c r="AD7" s="101" t="n"/>
      <c r="AE7" s="101" t="n"/>
      <c r="AF7" s="101" t="n"/>
      <c r="AG7" s="101" t="n"/>
      <c r="AH7" s="101" t="n"/>
      <c r="AI7" s="101" t="n"/>
      <c r="AJ7" s="101" t="n"/>
      <c r="AK7" s="101" t="n"/>
      <c r="AL7" s="101" t="n"/>
      <c r="AM7" s="101" t="n"/>
      <c r="AN7" s="101" t="n"/>
      <c r="AO7" s="101" t="n"/>
      <c r="AP7" s="101" t="n"/>
      <c r="AQ7" s="101" t="n"/>
      <c r="AR7" s="101" t="n"/>
      <c r="AS7" s="104" t="n"/>
    </row>
    <row r="8" ht="39" customHeight="1" s="59">
      <c r="A8" s="100" t="inlineStr">
        <is>
          <t>CRACKER BARREL OLD COUNTRY STORE, INC.</t>
        </is>
      </c>
      <c r="B8" s="101" t="n"/>
      <c r="C8" s="101" t="inlineStr">
        <is>
          <t>0F6695, 0XX626</t>
        </is>
      </c>
      <c r="D8" s="101" t="n"/>
      <c r="E8" s="101" t="n"/>
      <c r="F8" s="101" t="inlineStr">
        <is>
          <t>CP</t>
        </is>
      </c>
      <c r="G8" s="101" t="inlineStr">
        <is>
          <t>Susan</t>
        </is>
      </c>
      <c r="H8" s="101" t="inlineStr">
        <is>
          <t>Hospitality</t>
        </is>
      </c>
      <c r="I8" s="34" t="n">
        <v>775765.3531000012</v>
      </c>
      <c r="J8" s="34" t="n">
        <v>1034353.804133335</v>
      </c>
      <c r="K8" s="101" t="inlineStr">
        <is>
          <t>Tier 2</t>
        </is>
      </c>
      <c r="L8" s="101" t="n">
        <v>600</v>
      </c>
      <c r="M8" s="14" t="n">
        <v>1</v>
      </c>
      <c r="N8" s="14" t="n">
        <v>0</v>
      </c>
      <c r="O8" s="101" t="inlineStr">
        <is>
          <t>No</t>
        </is>
      </c>
      <c r="P8" s="101" t="inlineStr">
        <is>
          <t>Brian Wood</t>
        </is>
      </c>
      <c r="Q8" s="101" t="inlineStr">
        <is>
          <t>Michelle Weddington</t>
        </is>
      </c>
      <c r="R8" s="101" t="inlineStr">
        <is>
          <t>Melissa Douglas</t>
        </is>
      </c>
      <c r="S8" s="101" t="n"/>
      <c r="T8" s="101" t="inlineStr">
        <is>
          <t>In Conversion for new POS with FP</t>
        </is>
      </c>
      <c r="U8" s="101" t="inlineStr">
        <is>
          <t>RAFT 610 for POS, Express for OLO ISV for mobile, and eComm is on VAP.  Moving to Oracle Symphony</t>
        </is>
      </c>
      <c r="V8" s="101" t="inlineStr">
        <is>
          <t>FreedomPay</t>
        </is>
      </c>
      <c r="W8" s="101" t="n"/>
      <c r="X8" s="101" t="n"/>
      <c r="Y8" s="101" t="inlineStr">
        <is>
          <t>Yes</t>
        </is>
      </c>
      <c r="Z8" s="101" t="inlineStr">
        <is>
          <t>No</t>
        </is>
      </c>
      <c r="AA8" s="101" t="n"/>
      <c r="AB8" s="101" t="n"/>
      <c r="AC8" s="101" t="n"/>
      <c r="AD8" s="101" t="n"/>
      <c r="AE8" s="101" t="n"/>
      <c r="AF8" s="101" t="n"/>
      <c r="AG8" s="101" t="n"/>
      <c r="AH8" s="101" t="n"/>
      <c r="AI8" s="101" t="n"/>
      <c r="AJ8" s="101" t="n"/>
      <c r="AK8" s="101" t="n"/>
      <c r="AL8" s="101" t="n"/>
      <c r="AM8" s="101" t="n"/>
      <c r="AN8" s="101" t="n"/>
      <c r="AO8" s="101" t="n"/>
      <c r="AP8" s="101" t="n"/>
      <c r="AQ8" s="101" t="n"/>
      <c r="AR8" s="101" t="n"/>
      <c r="AS8" s="104" t="n"/>
    </row>
    <row r="9" ht="26" customHeight="1" s="59">
      <c r="A9" s="100" t="inlineStr">
        <is>
          <t>DEL TACO LLC</t>
        </is>
      </c>
      <c r="B9" s="101" t="inlineStr">
        <is>
          <t>DRCT - 006020- VREL</t>
        </is>
      </c>
      <c r="C9" s="101" t="inlineStr">
        <is>
          <t>S000001636</t>
        </is>
      </c>
      <c r="D9" s="101" t="inlineStr">
        <is>
          <t>DLTACO</t>
        </is>
      </c>
      <c r="E9" s="101" t="n"/>
      <c r="F9" s="101" t="inlineStr">
        <is>
          <t>CP</t>
        </is>
      </c>
      <c r="G9" s="101" t="inlineStr">
        <is>
          <t>Susan</t>
        </is>
      </c>
      <c r="H9" s="101" t="inlineStr">
        <is>
          <t>Hospitality</t>
        </is>
      </c>
      <c r="I9" s="34" t="n">
        <v>559666.2787000004</v>
      </c>
      <c r="J9" s="34" t="n">
        <v>746221.7049333338</v>
      </c>
      <c r="K9" s="101" t="inlineStr">
        <is>
          <t>Tier 2</t>
        </is>
      </c>
      <c r="L9" s="101" t="n">
        <v>537</v>
      </c>
      <c r="M9" s="14" t="n">
        <v>0.3</v>
      </c>
      <c r="N9" s="14" t="n">
        <v>0.7</v>
      </c>
      <c r="O9" s="101" t="n"/>
      <c r="P9" s="101" t="inlineStr">
        <is>
          <t>Maggie Lenhart</t>
        </is>
      </c>
      <c r="Q9" s="101" t="inlineStr">
        <is>
          <t>Michelle Weddington</t>
        </is>
      </c>
      <c r="R9" s="101" t="inlineStr">
        <is>
          <t>Melissa Douglas</t>
        </is>
      </c>
      <c r="S9" s="101" t="inlineStr">
        <is>
          <t>Gaynor Baker</t>
        </is>
      </c>
      <c r="T9" s="101" t="n"/>
      <c r="U9" s="101" t="inlineStr">
        <is>
          <t>NCR</t>
        </is>
      </c>
      <c r="V9" s="101" t="inlineStr">
        <is>
          <t>NCR Connected Payments</t>
        </is>
      </c>
      <c r="W9" s="101" t="n"/>
      <c r="X9" s="101" t="inlineStr">
        <is>
          <t>Bite (Express)</t>
        </is>
      </c>
      <c r="Y9" s="101" t="inlineStr">
        <is>
          <t>OLO corporate</t>
        </is>
      </c>
      <c r="Z9" s="101" t="inlineStr">
        <is>
          <t>We don't have all Franchise locations. Multiple acquirers utilized.  OloPay</t>
        </is>
      </c>
      <c r="AA9" s="101" t="n"/>
      <c r="AB9" s="101" t="n"/>
      <c r="AC9" s="101" t="n"/>
      <c r="AD9" s="101" t="n"/>
      <c r="AE9" s="101" t="n"/>
      <c r="AF9" s="101" t="n"/>
      <c r="AG9" s="101" t="n"/>
      <c r="AH9" s="101" t="n"/>
      <c r="AI9" s="101" t="n"/>
      <c r="AJ9" s="101" t="n"/>
      <c r="AK9" s="101" t="n"/>
      <c r="AL9" s="101" t="n"/>
      <c r="AM9" s="101" t="n"/>
      <c r="AN9" s="101" t="n"/>
      <c r="AO9" s="101" t="n"/>
      <c r="AP9" s="101" t="n"/>
      <c r="AQ9" s="101" t="n"/>
      <c r="AR9" s="101" t="n"/>
      <c r="AS9" s="104" t="n"/>
    </row>
    <row r="10" ht="26" customHeight="1" s="59">
      <c r="A10" s="100" t="inlineStr">
        <is>
          <t>DOMINO'S PIZZA</t>
        </is>
      </c>
      <c r="B10" s="101" t="inlineStr">
        <is>
          <t>DRCT - 001429- VREL</t>
        </is>
      </c>
      <c r="C10" s="101" t="inlineStr">
        <is>
          <t>SCNDMNOPZA</t>
        </is>
      </c>
      <c r="D10" s="101" t="n"/>
      <c r="E10" s="101" t="inlineStr">
        <is>
          <t>NDMNPZA</t>
        </is>
      </c>
      <c r="F10" s="101" t="inlineStr">
        <is>
          <t>CP</t>
        </is>
      </c>
      <c r="G10" s="101" t="inlineStr">
        <is>
          <t>Susan</t>
        </is>
      </c>
      <c r="H10" s="101" t="inlineStr">
        <is>
          <t>Hospitality</t>
        </is>
      </c>
      <c r="I10" s="34" t="n">
        <v>6034262.601999998</v>
      </c>
      <c r="J10" s="34" t="n">
        <v>8045683.46933333</v>
      </c>
      <c r="K10" s="101" t="inlineStr">
        <is>
          <t>Tier 1</t>
        </is>
      </c>
      <c r="L10" s="101" t="n">
        <v>7000</v>
      </c>
      <c r="M10" s="14" t="n">
        <v>0.05</v>
      </c>
      <c r="N10" s="14" t="n">
        <v>0.95</v>
      </c>
      <c r="O10" s="101" t="inlineStr">
        <is>
          <t>Yes</t>
        </is>
      </c>
      <c r="P10" s="101" t="inlineStr">
        <is>
          <t>Stacie Davis</t>
        </is>
      </c>
      <c r="Q10" s="101" t="inlineStr">
        <is>
          <t>Greg Cappel</t>
        </is>
      </c>
      <c r="R10" s="101" t="inlineStr">
        <is>
          <t>Melissa Douglas</t>
        </is>
      </c>
      <c r="S10" s="101" t="inlineStr">
        <is>
          <t>Gaynor Baker</t>
        </is>
      </c>
      <c r="T10" s="101" t="n"/>
      <c r="U10" s="101" t="inlineStr">
        <is>
          <t>Proprietary</t>
        </is>
      </c>
      <c r="V10" s="101" t="inlineStr">
        <is>
          <t>ACI/Cybersource</t>
        </is>
      </c>
      <c r="W10" s="101" t="inlineStr">
        <is>
          <t>Ingenico, Variable</t>
        </is>
      </c>
      <c r="X10" s="101" t="inlineStr">
        <is>
          <t>Yes</t>
        </is>
      </c>
      <c r="Y10" s="101" t="inlineStr">
        <is>
          <t>Yes</t>
        </is>
      </c>
      <c r="Z10" s="101" t="n"/>
      <c r="AA10" s="101" t="n"/>
      <c r="AB10" s="101" t="n"/>
      <c r="AC10" s="101" t="n"/>
      <c r="AD10" s="101" t="n"/>
      <c r="AE10" s="101" t="n"/>
      <c r="AF10" s="101" t="n"/>
      <c r="AG10" s="101" t="n"/>
      <c r="AH10" s="101" t="n"/>
      <c r="AI10" s="101" t="n"/>
      <c r="AJ10" s="101" t="n"/>
      <c r="AK10" s="101" t="n"/>
      <c r="AL10" s="101" t="n"/>
      <c r="AM10" s="101" t="n"/>
      <c r="AN10" s="101" t="n"/>
      <c r="AO10" s="101" t="n"/>
      <c r="AP10" s="101" t="n"/>
      <c r="AQ10" s="101" t="n"/>
      <c r="AR10" s="101" t="n"/>
      <c r="AS10" s="104" t="n"/>
    </row>
    <row r="11" ht="26" customHeight="1" s="59">
      <c r="A11" s="100" t="inlineStr">
        <is>
          <t>Dutch Bros</t>
        </is>
      </c>
      <c r="B11" s="101" t="inlineStr">
        <is>
          <t>DRCT - 007676- VREL</t>
        </is>
      </c>
      <c r="C11" s="101" t="inlineStr">
        <is>
          <t>S000005309</t>
        </is>
      </c>
      <c r="D11" s="101" t="inlineStr">
        <is>
          <t>DUTCHB</t>
        </is>
      </c>
      <c r="E11" s="101" t="inlineStr">
        <is>
          <t>N001348</t>
        </is>
      </c>
      <c r="F11" s="101" t="inlineStr">
        <is>
          <t>CP</t>
        </is>
      </c>
      <c r="G11" s="101" t="inlineStr">
        <is>
          <t>Susan</t>
        </is>
      </c>
      <c r="H11" s="101" t="inlineStr">
        <is>
          <t>Hospitality</t>
        </is>
      </c>
      <c r="I11" s="34" t="n"/>
      <c r="J11" s="34" t="n">
        <v>1400000</v>
      </c>
      <c r="K11" s="101" t="inlineStr">
        <is>
          <t>Tier 1</t>
        </is>
      </c>
      <c r="L11" s="101" t="n">
        <v>1316</v>
      </c>
      <c r="M11" s="14" t="n">
        <v>0.72</v>
      </c>
      <c r="N11" s="14" t="n">
        <v>0.28</v>
      </c>
      <c r="O11" s="101" t="n"/>
      <c r="P11" s="101" t="inlineStr">
        <is>
          <t>Maggie Lenhart</t>
        </is>
      </c>
      <c r="Q11" s="101" t="inlineStr">
        <is>
          <t>Michelle Weddington</t>
        </is>
      </c>
      <c r="R11" s="101" t="inlineStr">
        <is>
          <t>Melissa Douglas</t>
        </is>
      </c>
      <c r="S11" s="101" t="inlineStr">
        <is>
          <t>Gaynor Baker</t>
        </is>
      </c>
      <c r="T11" s="101" t="n"/>
      <c r="U11" s="101" t="inlineStr">
        <is>
          <t>Xenial Cloud POS</t>
        </is>
      </c>
      <c r="V11" s="101" t="inlineStr">
        <is>
          <t>Verifone SCA Gateway</t>
        </is>
      </c>
      <c r="W11" s="101" t="inlineStr">
        <is>
          <t>Verifone e285 (Xenial iPads)</t>
        </is>
      </c>
      <c r="X11" s="101" t="n"/>
      <c r="Y11" s="101" t="n"/>
      <c r="Z11" s="101" t="inlineStr">
        <is>
          <t>OloPay, Braintree, Paytronix</t>
        </is>
      </c>
      <c r="AA11" s="101" t="n"/>
      <c r="AB11" s="101" t="n"/>
      <c r="AC11" s="101" t="n"/>
      <c r="AD11" s="101" t="n"/>
      <c r="AE11" s="101" t="n"/>
      <c r="AF11" s="101" t="n"/>
      <c r="AG11" s="101" t="n"/>
      <c r="AH11" s="101" t="n"/>
      <c r="AI11" s="101" t="n"/>
      <c r="AJ11" s="101" t="n"/>
      <c r="AK11" s="101" t="n"/>
      <c r="AL11" s="101" t="n"/>
      <c r="AM11" s="101" t="n"/>
      <c r="AN11" s="101" t="n"/>
      <c r="AO11" s="101" t="n"/>
      <c r="AP11" s="101" t="n"/>
      <c r="AQ11" s="101" t="n"/>
      <c r="AR11" s="101" t="n"/>
      <c r="AS11" s="104" t="n"/>
    </row>
    <row r="12" ht="39" customHeight="1" s="59">
      <c r="A12" s="100" t="inlineStr">
        <is>
          <t>EAT'N PARK HOSPITALITY GRP INC</t>
        </is>
      </c>
      <c r="B12" s="101" t="inlineStr">
        <is>
          <t>DRCT - 00073880</t>
        </is>
      </c>
      <c r="C12" s="101" t="n">
        <v>72452</v>
      </c>
      <c r="D12" s="101" t="n"/>
      <c r="E12" s="101" t="n"/>
      <c r="F12" s="101" t="inlineStr">
        <is>
          <t>CP</t>
        </is>
      </c>
      <c r="G12" s="101" t="inlineStr">
        <is>
          <t>Susan</t>
        </is>
      </c>
      <c r="H12" s="101" t="inlineStr">
        <is>
          <t>Hospitality</t>
        </is>
      </c>
      <c r="I12" s="34" t="n">
        <v>235629.40641</v>
      </c>
      <c r="J12" s="34" t="n">
        <v>314172.54188</v>
      </c>
      <c r="K12" s="101" t="inlineStr">
        <is>
          <t>Tier 2</t>
        </is>
      </c>
      <c r="L12" s="101" t="n">
        <v>137</v>
      </c>
      <c r="M12" s="14" t="n">
        <v>1</v>
      </c>
      <c r="N12" s="14" t="n">
        <v>0</v>
      </c>
      <c r="O12" s="101" t="n">
        <v>0</v>
      </c>
      <c r="P12" s="101" t="inlineStr">
        <is>
          <t>Avery Churchwell</t>
        </is>
      </c>
      <c r="Q12" s="101" t="inlineStr">
        <is>
          <t>Ashlee Strete</t>
        </is>
      </c>
      <c r="R12" s="101" t="inlineStr">
        <is>
          <t>Melissa Douglas</t>
        </is>
      </c>
      <c r="S12" s="101" t="n"/>
      <c r="T12" s="101" t="inlineStr">
        <is>
          <t>Four concepts under EAPK - VAR is based on concept. Parkhurst was on IP but is converting to Core</t>
        </is>
      </c>
      <c r="U12" s="101" t="inlineStr">
        <is>
          <t>FreedomPay, Tillster, Olo</t>
        </is>
      </c>
      <c r="V12" s="101" t="inlineStr">
        <is>
          <t>Oracle Simphony, PayMyTab, Catertrax</t>
        </is>
      </c>
      <c r="W12" s="101" t="inlineStr">
        <is>
          <t>Desk 3500s, T650c</t>
        </is>
      </c>
      <c r="X12" s="101" t="n"/>
      <c r="Y12" s="101" t="inlineStr">
        <is>
          <t>Olo, Tillster (wallets), Nextep</t>
        </is>
      </c>
      <c r="Z12" s="101" t="n"/>
      <c r="AA12" s="101" t="n"/>
      <c r="AB12" s="101" t="n"/>
      <c r="AC12" s="101" t="n"/>
      <c r="AD12" s="101" t="n"/>
      <c r="AE12" s="101" t="n"/>
      <c r="AF12" s="101" t="n"/>
      <c r="AG12" s="101" t="n"/>
      <c r="AH12" s="101" t="n"/>
      <c r="AI12" s="101" t="n"/>
      <c r="AJ12" s="101" t="n"/>
      <c r="AK12" s="101" t="n"/>
      <c r="AL12" s="101" t="n"/>
      <c r="AM12" s="101" t="n"/>
      <c r="AN12" s="101" t="n"/>
      <c r="AO12" s="101" t="n"/>
      <c r="AP12" s="101" t="n"/>
      <c r="AQ12" s="101" t="n"/>
      <c r="AR12" s="101" t="n"/>
      <c r="AS12" s="104" t="n"/>
    </row>
    <row r="13">
      <c r="A13" s="100" t="inlineStr">
        <is>
          <t>FESTIVA REAL ESTATE HOLDINGS</t>
        </is>
      </c>
      <c r="B13" s="101" t="n"/>
      <c r="C13" s="101" t="inlineStr">
        <is>
          <t>SCFESTIVAG</t>
        </is>
      </c>
      <c r="D13" s="101" t="n"/>
      <c r="E13" s="101" t="n"/>
      <c r="F13" s="101" t="inlineStr">
        <is>
          <t>CP</t>
        </is>
      </c>
      <c r="G13" s="101" t="inlineStr">
        <is>
          <t>Susan</t>
        </is>
      </c>
      <c r="H13" s="101" t="inlineStr">
        <is>
          <t>Hospitality</t>
        </is>
      </c>
      <c r="I13" s="34" t="n">
        <v>383181.434033</v>
      </c>
      <c r="J13" s="34" t="n">
        <v>510908.5787106667</v>
      </c>
      <c r="K13" s="101" t="inlineStr">
        <is>
          <t>Tier 2</t>
        </is>
      </c>
      <c r="L13" s="101" t="n"/>
      <c r="M13" s="14" t="n"/>
      <c r="N13" s="14" t="n"/>
      <c r="O13" s="101" t="inlineStr">
        <is>
          <t>No</t>
        </is>
      </c>
      <c r="P13" s="101" t="inlineStr">
        <is>
          <t>Brian Wood</t>
        </is>
      </c>
      <c r="Q13" s="101" t="inlineStr">
        <is>
          <t>Michelle Weddington</t>
        </is>
      </c>
      <c r="R13" s="101" t="n"/>
      <c r="S13" s="101" t="n"/>
      <c r="T13" s="101" t="inlineStr">
        <is>
          <t>Formerly part of Choice Hotels</t>
        </is>
      </c>
      <c r="U13" s="101" t="inlineStr">
        <is>
          <t>Shift4 &amp; other</t>
        </is>
      </c>
      <c r="V13" s="101" t="inlineStr">
        <is>
          <t>Shift4 &amp; other</t>
        </is>
      </c>
      <c r="W13" s="101" t="n"/>
      <c r="X13" s="101" t="n"/>
      <c r="Y13" s="101" t="inlineStr">
        <is>
          <t>Yes</t>
        </is>
      </c>
      <c r="Z13" s="101" t="inlineStr">
        <is>
          <t>No</t>
        </is>
      </c>
      <c r="AA13" s="101" t="n"/>
      <c r="AB13" s="101" t="n"/>
      <c r="AC13" s="101" t="n"/>
      <c r="AD13" s="101" t="n"/>
      <c r="AE13" s="101" t="n"/>
      <c r="AF13" s="101" t="n"/>
      <c r="AG13" s="101" t="n"/>
      <c r="AH13" s="101" t="n"/>
      <c r="AI13" s="101" t="n"/>
      <c r="AJ13" s="101" t="n"/>
      <c r="AK13" s="101" t="n"/>
      <c r="AL13" s="101" t="n"/>
      <c r="AM13" s="101" t="n"/>
      <c r="AN13" s="101" t="n"/>
      <c r="AO13" s="101" t="n"/>
      <c r="AP13" s="101" t="n"/>
      <c r="AQ13" s="101" t="n"/>
      <c r="AR13" s="101" t="n"/>
      <c r="AS13" s="104" t="n"/>
    </row>
    <row r="14">
      <c r="A14" s="100" t="inlineStr">
        <is>
          <t>FIREHOUSE RESTAURANT</t>
        </is>
      </c>
      <c r="B14" s="101" t="n"/>
      <c r="C14" s="101" t="inlineStr">
        <is>
          <t>SCFHSUBSCO</t>
        </is>
      </c>
      <c r="D14" s="101" t="inlineStr">
        <is>
          <t>FHSUBS</t>
        </is>
      </c>
      <c r="E14" s="101" t="inlineStr">
        <is>
          <t>NFHSUBS</t>
        </is>
      </c>
      <c r="F14" s="101" t="inlineStr">
        <is>
          <t>CP</t>
        </is>
      </c>
      <c r="G14" s="101" t="inlineStr">
        <is>
          <t>Susan</t>
        </is>
      </c>
      <c r="H14" s="101" t="inlineStr">
        <is>
          <t>Hospitality</t>
        </is>
      </c>
      <c r="I14" s="34" t="n">
        <v>646798.5981999997</v>
      </c>
      <c r="J14" s="34" t="n">
        <v>862398.130933333</v>
      </c>
      <c r="K14" s="101" t="inlineStr">
        <is>
          <t>Tier 2</t>
        </is>
      </c>
      <c r="L14" s="101" t="n">
        <v>1200</v>
      </c>
      <c r="M14" s="14" t="n">
        <v>0.1</v>
      </c>
      <c r="N14" s="14" t="n">
        <v>0.9</v>
      </c>
      <c r="O14" s="101" t="inlineStr">
        <is>
          <t>No</t>
        </is>
      </c>
      <c r="P14" s="101" t="inlineStr">
        <is>
          <t>Brian Wood</t>
        </is>
      </c>
      <c r="Q14" s="101" t="inlineStr">
        <is>
          <t>Greg Cappel</t>
        </is>
      </c>
      <c r="R14" s="101" t="inlineStr">
        <is>
          <t>Melissa Douglas</t>
        </is>
      </c>
      <c r="S14" s="101" t="inlineStr">
        <is>
          <t>Gaynor Baker</t>
        </is>
      </c>
      <c r="T14" s="101" t="inlineStr">
        <is>
          <t>GC in-store eGiftify via Toast</t>
        </is>
      </c>
      <c r="U14" s="101" t="inlineStr">
        <is>
          <t>Toast</t>
        </is>
      </c>
      <c r="V14" s="101" t="inlineStr">
        <is>
          <t>Toast</t>
        </is>
      </c>
      <c r="W14" s="101" t="n"/>
      <c r="X14" s="101" t="n"/>
      <c r="Y14" s="101" t="inlineStr">
        <is>
          <t>Yes, CP No</t>
        </is>
      </c>
      <c r="Z14" s="101" t="inlineStr">
        <is>
          <t>No</t>
        </is>
      </c>
      <c r="AA14" s="101" t="n"/>
      <c r="AB14" s="101" t="n"/>
      <c r="AC14" s="101" t="n"/>
      <c r="AD14" s="101" t="n"/>
      <c r="AE14" s="101" t="n"/>
      <c r="AF14" s="101" t="n"/>
      <c r="AG14" s="101" t="n"/>
      <c r="AH14" s="101" t="n"/>
      <c r="AI14" s="101" t="n"/>
      <c r="AJ14" s="101" t="n"/>
      <c r="AK14" s="101" t="n"/>
      <c r="AL14" s="101" t="n"/>
      <c r="AM14" s="101" t="n"/>
      <c r="AN14" s="101" t="n"/>
      <c r="AO14" s="101" t="n"/>
      <c r="AP14" s="101" t="n"/>
      <c r="AQ14" s="101" t="n"/>
      <c r="AR14" s="101" t="n"/>
      <c r="AS14" s="104" t="n"/>
    </row>
    <row r="15" ht="26" customHeight="1" s="59">
      <c r="A15" s="100" t="inlineStr">
        <is>
          <t>FIVE GUYS</t>
        </is>
      </c>
      <c r="B15" s="101" t="inlineStr">
        <is>
          <t>DRCT - 001783- VREL</t>
        </is>
      </c>
      <c r="C15" s="101" t="inlineStr">
        <is>
          <t>S5GUYSFRAN/ 0M9131</t>
        </is>
      </c>
      <c r="D15" s="101" t="inlineStr">
        <is>
          <t>5GUYS</t>
        </is>
      </c>
      <c r="E15" s="101" t="inlineStr">
        <is>
          <t>NB5GUYS</t>
        </is>
      </c>
      <c r="F15" s="101" t="inlineStr">
        <is>
          <t>CP</t>
        </is>
      </c>
      <c r="G15" s="101" t="inlineStr">
        <is>
          <t>Susan</t>
        </is>
      </c>
      <c r="H15" s="101" t="inlineStr">
        <is>
          <t>Hospitality</t>
        </is>
      </c>
      <c r="I15" s="34" t="n">
        <v>1965606.73958453</v>
      </c>
      <c r="J15" s="34" t="n">
        <v>2620808.986112706</v>
      </c>
      <c r="K15" s="101" t="inlineStr">
        <is>
          <t>Tier 1</t>
        </is>
      </c>
      <c r="L15" s="101" t="n">
        <v>1500</v>
      </c>
      <c r="M15" s="14" t="n">
        <v>0.4</v>
      </c>
      <c r="N15" s="14" t="n">
        <v>0.6</v>
      </c>
      <c r="O15" s="101" t="n">
        <v>0</v>
      </c>
      <c r="P15" s="101" t="inlineStr">
        <is>
          <t>Avery Churchwell</t>
        </is>
      </c>
      <c r="Q15" s="101" t="inlineStr">
        <is>
          <t>Ashlee Strete</t>
        </is>
      </c>
      <c r="R15" s="101" t="inlineStr">
        <is>
          <t>Melissa Douglas</t>
        </is>
      </c>
      <c r="S15" s="101" t="inlineStr">
        <is>
          <t>Anne-Marie Cloutier</t>
        </is>
      </c>
      <c r="T15" s="101" t="inlineStr">
        <is>
          <t>Int'l stores, not with WP</t>
        </is>
      </c>
      <c r="U15" s="101" t="inlineStr">
        <is>
          <t>Par, Verifone SCA, Olo</t>
        </is>
      </c>
      <c r="V15" s="101" t="inlineStr">
        <is>
          <t>PAR</t>
        </is>
      </c>
      <c r="W15" s="101" t="inlineStr">
        <is>
          <t>M400s</t>
        </is>
      </c>
      <c r="X15" s="101" t="inlineStr">
        <is>
          <t>LineTen</t>
        </is>
      </c>
      <c r="Y15" s="101" t="inlineStr">
        <is>
          <t>Olo</t>
        </is>
      </c>
      <c r="Z15" s="101" t="n"/>
      <c r="AA15" s="101" t="n"/>
      <c r="AB15" s="101" t="n"/>
      <c r="AC15" s="101" t="n"/>
      <c r="AD15" s="101" t="n"/>
      <c r="AE15" s="101" t="n"/>
      <c r="AF15" s="101" t="n"/>
      <c r="AG15" s="101" t="n"/>
      <c r="AH15" s="101" t="n"/>
      <c r="AI15" s="101" t="n"/>
      <c r="AJ15" s="101" t="n"/>
      <c r="AK15" s="101" t="n"/>
      <c r="AL15" s="101" t="n"/>
      <c r="AM15" s="101" t="n"/>
      <c r="AN15" s="101" t="n"/>
      <c r="AO15" s="101" t="n"/>
      <c r="AP15" s="101" t="n"/>
      <c r="AQ15" s="101" t="n"/>
      <c r="AR15" s="101" t="n"/>
      <c r="AS15" s="104" t="n"/>
    </row>
    <row r="16" ht="169" customHeight="1" s="59">
      <c r="A16" s="100" t="inlineStr">
        <is>
          <t>Focus Brands (GoTo Foods)</t>
        </is>
      </c>
      <c r="B16" s="101" t="n"/>
      <c r="C16" s="101" t="n"/>
      <c r="D16" s="101" t="inlineStr">
        <is>
          <t>ANTANN - Auntie Anne's
CARVEL - Carvel
CINBON – Cinnabon
CSWIRL – Cinnabon Swirl
JAMBA - Jamba
MCADEL - McAlister's
MOESSW - Moe's
SCHLKY - Schlotzsky's</t>
        </is>
      </c>
      <c r="E16" s="101" t="inlineStr">
        <is>
          <t>NCARVEL - Carvel
NANTANN - Auntie Anne's
NCINBON - Cinnabon
CCSWIRL - Cinnabon Swirl
N0JAMBA - Jamba
NMCADEL - McAlister's
NMOESSW - Moe's
NSCHLKY - Schlotzsky's</t>
        </is>
      </c>
      <c r="F16" s="101" t="inlineStr">
        <is>
          <t>CP</t>
        </is>
      </c>
      <c r="G16" s="101" t="inlineStr">
        <is>
          <t>Susan</t>
        </is>
      </c>
      <c r="H16" s="101" t="inlineStr">
        <is>
          <t>Hospitality</t>
        </is>
      </c>
      <c r="I16" s="34" t="n">
        <v>493273.2181129481</v>
      </c>
      <c r="J16" s="34" t="n">
        <v>657697.6241505975</v>
      </c>
      <c r="K16" s="101" t="inlineStr">
        <is>
          <t>Tier 2</t>
        </is>
      </c>
      <c r="L16" s="101" t="n">
        <v>2600</v>
      </c>
      <c r="M16" s="14" t="n"/>
      <c r="N16" s="14" t="inlineStr">
        <is>
          <t>YES</t>
        </is>
      </c>
      <c r="O16" s="101" t="inlineStr">
        <is>
          <t>No</t>
        </is>
      </c>
      <c r="P16" s="101" t="inlineStr">
        <is>
          <t>Brian Wood</t>
        </is>
      </c>
      <c r="Q16" s="101" t="inlineStr">
        <is>
          <t>Ashlee Strete</t>
        </is>
      </c>
      <c r="R16" s="101" t="inlineStr">
        <is>
          <t>Melissa Douglas</t>
        </is>
      </c>
      <c r="S16" s="101" t="inlineStr">
        <is>
          <t>Anne-Marie Cloutier</t>
        </is>
      </c>
      <c r="T16" s="101" t="inlineStr">
        <is>
          <t>FreedomPay</t>
        </is>
      </c>
      <c r="U16" s="101" t="inlineStr">
        <is>
          <t>FreedomPay (in-store), OLO (online), Monkey Media (catering), moving all to Qu</t>
        </is>
      </c>
      <c r="V16" s="101" t="inlineStr">
        <is>
          <t>FreedomPay</t>
        </is>
      </c>
      <c r="W16" s="101" t="n"/>
      <c r="X16" s="101" t="inlineStr">
        <is>
          <t>8 MIDs have Verifone</t>
        </is>
      </c>
      <c r="Y16" s="101" t="inlineStr">
        <is>
          <t>Yes</t>
        </is>
      </c>
      <c r="Z16" s="101" t="inlineStr">
        <is>
          <t>No</t>
        </is>
      </c>
      <c r="AA16" s="101" t="n"/>
      <c r="AB16" s="101" t="n"/>
      <c r="AC16" s="101" t="n"/>
      <c r="AD16" s="101" t="n"/>
      <c r="AE16" s="101" t="n"/>
      <c r="AF16" s="101" t="n"/>
      <c r="AG16" s="101" t="n"/>
      <c r="AH16" s="101" t="n"/>
      <c r="AI16" s="101" t="n"/>
      <c r="AJ16" s="101" t="n"/>
      <c r="AK16" s="101" t="n"/>
      <c r="AL16" s="101" t="n"/>
      <c r="AM16" s="101" t="n"/>
      <c r="AN16" s="101" t="n"/>
      <c r="AO16" s="101" t="n"/>
      <c r="AP16" s="101" t="n"/>
      <c r="AQ16" s="101" t="n"/>
      <c r="AR16" s="101" t="n"/>
      <c r="AS16" s="104" t="n">
        <v>110000000</v>
      </c>
    </row>
    <row r="17" ht="26" customHeight="1" s="59">
      <c r="A17" s="100" t="inlineStr">
        <is>
          <t>FREDDY'S FROZEN CUSTARD LLC</t>
        </is>
      </c>
      <c r="B17" s="101" t="inlineStr">
        <is>
          <t>DRCT - 001867- VREL</t>
        </is>
      </c>
      <c r="C17" s="101" t="inlineStr">
        <is>
          <t>S000000027</t>
        </is>
      </c>
      <c r="D17" s="101" t="inlineStr">
        <is>
          <t>FREFRO</t>
        </is>
      </c>
      <c r="E17" s="101" t="inlineStr">
        <is>
          <t>N001420</t>
        </is>
      </c>
      <c r="F17" s="101" t="inlineStr">
        <is>
          <t>CP</t>
        </is>
      </c>
      <c r="G17" s="101" t="inlineStr">
        <is>
          <t>Susan</t>
        </is>
      </c>
      <c r="H17" s="101" t="inlineStr">
        <is>
          <t>Hospitality</t>
        </is>
      </c>
      <c r="I17" s="34" t="n">
        <v>261286.7743999996</v>
      </c>
      <c r="J17" s="34" t="n">
        <v>348382.3658666662</v>
      </c>
      <c r="K17" s="101" t="inlineStr">
        <is>
          <t>Tier 2</t>
        </is>
      </c>
      <c r="L17" s="101" t="n">
        <v>500</v>
      </c>
      <c r="M17" s="14" t="n">
        <v>0.1</v>
      </c>
      <c r="N17" s="14" t="n">
        <v>0.9</v>
      </c>
      <c r="O17" s="101" t="n">
        <v>0</v>
      </c>
      <c r="P17" s="101" t="inlineStr">
        <is>
          <t>Avery Churchwell</t>
        </is>
      </c>
      <c r="Q17" s="101" t="inlineStr">
        <is>
          <t>Deb Cunningham</t>
        </is>
      </c>
      <c r="R17" s="101" t="inlineStr">
        <is>
          <t>Melissa Douglas</t>
        </is>
      </c>
      <c r="S17" s="101" t="n"/>
      <c r="T17" s="101" t="inlineStr">
        <is>
          <t>Beginning to move to franchise pod</t>
        </is>
      </c>
      <c r="U17" s="101" t="inlineStr">
        <is>
          <t>PAR Brink (VAR -Verifone Classic)</t>
        </is>
      </c>
      <c r="V17" s="101" t="inlineStr">
        <is>
          <t>PAR Brink</t>
        </is>
      </c>
      <c r="W17" s="101" t="inlineStr">
        <is>
          <t>P400s and E285</t>
        </is>
      </c>
      <c r="X17" s="101" t="n"/>
      <c r="Y17" s="101" t="n"/>
      <c r="Z17" s="101" t="inlineStr">
        <is>
          <t>OloPay</t>
        </is>
      </c>
      <c r="AA17" s="101" t="n"/>
      <c r="AB17" s="101" t="n"/>
      <c r="AC17" s="101" t="n"/>
      <c r="AD17" s="101" t="n"/>
      <c r="AE17" s="101" t="n"/>
      <c r="AF17" s="101" t="n"/>
      <c r="AG17" s="101" t="n"/>
      <c r="AH17" s="101" t="n"/>
      <c r="AI17" s="101" t="n"/>
      <c r="AJ17" s="101" t="n"/>
      <c r="AK17" s="101" t="n"/>
      <c r="AL17" s="101" t="n"/>
      <c r="AM17" s="101" t="n"/>
      <c r="AN17" s="101" t="n"/>
      <c r="AO17" s="101" t="n"/>
      <c r="AP17" s="101" t="n"/>
      <c r="AQ17" s="101" t="n"/>
      <c r="AR17" s="101" t="n"/>
      <c r="AS17" s="104" t="n"/>
    </row>
    <row r="18" ht="39" customHeight="1" s="59">
      <c r="A18" s="100" t="inlineStr">
        <is>
          <t>GOLDEN CORRAL</t>
        </is>
      </c>
      <c r="B18" s="101" t="inlineStr">
        <is>
          <t>DRCT - 006011- VREL</t>
        </is>
      </c>
      <c r="C18" s="101" t="inlineStr">
        <is>
          <t>SCGDCRFRAN, SCGOLDENCR, SCGDCRHOME</t>
        </is>
      </c>
      <c r="D18" s="101" t="inlineStr">
        <is>
          <t>GOLCOR</t>
        </is>
      </c>
      <c r="E18" s="101" t="inlineStr">
        <is>
          <t>NGOLCOR</t>
        </is>
      </c>
      <c r="F18" s="101" t="inlineStr">
        <is>
          <t>CP</t>
        </is>
      </c>
      <c r="G18" s="101" t="inlineStr">
        <is>
          <t>Susan</t>
        </is>
      </c>
      <c r="H18" s="101" t="inlineStr">
        <is>
          <t>Hospitality</t>
        </is>
      </c>
      <c r="I18" s="34" t="n">
        <v>752621.4497</v>
      </c>
      <c r="J18" s="34" t="n">
        <v>1003495.266266667</v>
      </c>
      <c r="K18" s="101" t="inlineStr">
        <is>
          <t>Tier 2</t>
        </is>
      </c>
      <c r="L18" s="101" t="n">
        <v>640</v>
      </c>
      <c r="M18" s="14" t="n">
        <v>0.01</v>
      </c>
      <c r="N18" s="14" t="n">
        <v>0.99</v>
      </c>
      <c r="O18" s="101" t="n"/>
      <c r="P18" s="101" t="inlineStr">
        <is>
          <t>Maggie Lenhart</t>
        </is>
      </c>
      <c r="Q18" s="101" t="inlineStr">
        <is>
          <t>Michelle Weddington</t>
        </is>
      </c>
      <c r="R18" s="101" t="inlineStr">
        <is>
          <t>Melissa Douglas</t>
        </is>
      </c>
      <c r="S18" s="101" t="inlineStr">
        <is>
          <t>Gaynor Baker</t>
        </is>
      </c>
      <c r="T18" s="101" t="n"/>
      <c r="U18" s="101" t="inlineStr">
        <is>
          <t>QuPOS</t>
        </is>
      </c>
      <c r="V18" s="101" t="inlineStr">
        <is>
          <t>Aurus</t>
        </is>
      </c>
      <c r="W18" s="101" t="n"/>
      <c r="X18" s="101" t="n"/>
      <c r="Y18" s="101" t="inlineStr">
        <is>
          <t>Olo</t>
        </is>
      </c>
      <c r="Z18" s="101" t="n"/>
      <c r="AA18" s="101" t="n"/>
      <c r="AB18" s="101" t="n"/>
      <c r="AC18" s="101" t="n"/>
      <c r="AD18" s="101" t="n"/>
      <c r="AE18" s="101" t="n"/>
      <c r="AF18" s="101" t="n"/>
      <c r="AG18" s="101" t="n"/>
      <c r="AH18" s="101" t="n"/>
      <c r="AI18" s="101" t="n"/>
      <c r="AJ18" s="101" t="n"/>
      <c r="AK18" s="101" t="n"/>
      <c r="AL18" s="101" t="n"/>
      <c r="AM18" s="101" t="n"/>
      <c r="AN18" s="101" t="n"/>
      <c r="AO18" s="101" t="n"/>
      <c r="AP18" s="101" t="n"/>
      <c r="AQ18" s="101" t="n"/>
      <c r="AR18" s="101" t="n"/>
      <c r="AS18" s="104" t="n"/>
    </row>
    <row r="19" ht="26" customHeight="1" s="59">
      <c r="A19" s="100" t="inlineStr">
        <is>
          <t>GRAETERS</t>
        </is>
      </c>
      <c r="B19" s="101" t="inlineStr">
        <is>
          <t>DRCT - 002101- VREL</t>
        </is>
      </c>
      <c r="C19" s="101" t="inlineStr">
        <is>
          <t>S000006768</t>
        </is>
      </c>
      <c r="D19" s="101" t="n"/>
      <c r="E19" s="101" t="n"/>
      <c r="F19" s="101" t="inlineStr">
        <is>
          <t>CP</t>
        </is>
      </c>
      <c r="G19" s="101" t="inlineStr">
        <is>
          <t>Susan</t>
        </is>
      </c>
      <c r="H19" s="101" t="inlineStr">
        <is>
          <t>Hospitality</t>
        </is>
      </c>
      <c r="I19" s="34" t="n">
        <v>283860.713798</v>
      </c>
      <c r="J19" s="34" t="n">
        <v>378480.9517306666</v>
      </c>
      <c r="K19" s="101" t="inlineStr">
        <is>
          <t>Tier 2</t>
        </is>
      </c>
      <c r="L19" s="101" t="n">
        <v>67</v>
      </c>
      <c r="M19" s="14" t="n">
        <v>1</v>
      </c>
      <c r="N19" s="14" t="n">
        <v>0</v>
      </c>
      <c r="O19" s="101" t="n"/>
      <c r="P19" s="101" t="inlineStr">
        <is>
          <t>Maggie Lenhart</t>
        </is>
      </c>
      <c r="Q19" s="101" t="inlineStr">
        <is>
          <t>Ashlee Strete</t>
        </is>
      </c>
      <c r="R19" s="101" t="inlineStr">
        <is>
          <t>Melissa Douglas</t>
        </is>
      </c>
      <c r="S19" s="101" t="n"/>
      <c r="T19" s="101" t="n"/>
      <c r="U19" s="101" t="inlineStr">
        <is>
          <t>Brink</t>
        </is>
      </c>
      <c r="V19" s="101" t="inlineStr">
        <is>
          <t>Brink Software</t>
        </is>
      </c>
      <c r="W19" s="101" t="n"/>
      <c r="X19" s="101" t="n"/>
      <c r="Y19" s="101" t="inlineStr">
        <is>
          <t>Olo</t>
        </is>
      </c>
      <c r="Z19" s="101" t="n"/>
      <c r="AA19" s="101" t="n"/>
      <c r="AB19" s="101" t="n"/>
      <c r="AC19" s="101" t="n"/>
      <c r="AD19" s="101" t="n"/>
      <c r="AE19" s="101" t="n"/>
      <c r="AF19" s="101" t="n"/>
      <c r="AG19" s="101" t="n"/>
      <c r="AH19" s="101" t="n"/>
      <c r="AI19" s="101" t="n"/>
      <c r="AJ19" s="101" t="n"/>
      <c r="AK19" s="101" t="n"/>
      <c r="AL19" s="101" t="n"/>
      <c r="AM19" s="101" t="n"/>
      <c r="AN19" s="101" t="n"/>
      <c r="AO19" s="101" t="n"/>
      <c r="AP19" s="101" t="n"/>
      <c r="AQ19" s="101" t="n"/>
      <c r="AR19" s="101" t="n"/>
      <c r="AS19" s="104" t="n"/>
    </row>
    <row r="20" ht="26" customHeight="1" s="59">
      <c r="A20" s="100" t="inlineStr">
        <is>
          <t>LAROSA'S INC</t>
        </is>
      </c>
      <c r="B20" s="101" t="inlineStr">
        <is>
          <t>DRCT - 002844- VREL</t>
        </is>
      </c>
      <c r="C20" s="101" t="inlineStr">
        <is>
          <t>SCLAROSAZZ</t>
        </is>
      </c>
      <c r="D20" s="101" t="n"/>
      <c r="E20" s="101" t="n"/>
      <c r="F20" s="101" t="inlineStr">
        <is>
          <t>CP</t>
        </is>
      </c>
      <c r="G20" s="101" t="inlineStr">
        <is>
          <t>Susan</t>
        </is>
      </c>
      <c r="H20" s="101" t="inlineStr">
        <is>
          <t>Hospitality</t>
        </is>
      </c>
      <c r="I20" s="34" t="n">
        <v>364928.6947299999</v>
      </c>
      <c r="J20" s="34" t="n">
        <v>486571.5929733332</v>
      </c>
      <c r="K20" s="101" t="inlineStr">
        <is>
          <t>Tier 2</t>
        </is>
      </c>
      <c r="L20" s="101" t="n">
        <v>76</v>
      </c>
      <c r="M20" s="14" t="n">
        <v>0.26</v>
      </c>
      <c r="N20" s="14" t="n">
        <v>0.74</v>
      </c>
      <c r="O20" s="101" t="n"/>
      <c r="P20" s="101" t="inlineStr">
        <is>
          <t>Maggie Lenhart</t>
        </is>
      </c>
      <c r="Q20" s="101" t="inlineStr">
        <is>
          <t>Ashlee Strete</t>
        </is>
      </c>
      <c r="R20" s="101" t="inlineStr">
        <is>
          <t>Melissa Douglas</t>
        </is>
      </c>
      <c r="S20" s="101" t="n"/>
      <c r="T20" s="101" t="n"/>
      <c r="U20" s="101" t="inlineStr">
        <is>
          <t>Point of Sale.Cloud</t>
        </is>
      </c>
      <c r="V20" s="101" t="inlineStr">
        <is>
          <t>Mainstreet Monetray, TriPOS</t>
        </is>
      </c>
      <c r="W20" s="101" t="inlineStr">
        <is>
          <t>Varies-majority are non-EMV through Montera</t>
        </is>
      </c>
      <c r="X20" s="101" t="n"/>
      <c r="Y20" s="101" t="inlineStr">
        <is>
          <t>Same as instore</t>
        </is>
      </c>
      <c r="Z20" s="101" t="n"/>
      <c r="AA20" s="101" t="n"/>
      <c r="AB20" s="101" t="n"/>
      <c r="AC20" s="101" t="n"/>
      <c r="AD20" s="101" t="n"/>
      <c r="AE20" s="101" t="n"/>
      <c r="AF20" s="101" t="n"/>
      <c r="AG20" s="101" t="n"/>
      <c r="AH20" s="101" t="n"/>
      <c r="AI20" s="101" t="n"/>
      <c r="AJ20" s="101" t="n"/>
      <c r="AK20" s="101" t="n"/>
      <c r="AL20" s="101" t="n"/>
      <c r="AM20" s="101" t="n"/>
      <c r="AN20" s="101" t="n"/>
      <c r="AO20" s="101" t="n"/>
      <c r="AP20" s="101" t="n"/>
      <c r="AQ20" s="101" t="n"/>
      <c r="AR20" s="101" t="n"/>
      <c r="AS20" s="104" t="n"/>
    </row>
    <row r="21" ht="26" customHeight="1" s="59">
      <c r="A21" s="100" t="inlineStr">
        <is>
          <t>LATRELLES MANAGEMENT CORP (Bullritos)</t>
        </is>
      </c>
      <c r="B21" s="101" t="inlineStr">
        <is>
          <t>DRCT - 010312- VREL</t>
        </is>
      </c>
      <c r="C21" s="101" t="inlineStr">
        <is>
          <t>S0LATRELLE</t>
        </is>
      </c>
      <c r="D21" s="101" t="n"/>
      <c r="E21" s="101" t="n"/>
      <c r="F21" s="101" t="inlineStr">
        <is>
          <t>CP</t>
        </is>
      </c>
      <c r="G21" s="101" t="inlineStr">
        <is>
          <t>Susan</t>
        </is>
      </c>
      <c r="H21" s="101" t="inlineStr">
        <is>
          <t>Hospitality</t>
        </is>
      </c>
      <c r="I21" s="34" t="n">
        <v>241138.569088</v>
      </c>
      <c r="J21" s="34" t="n">
        <v>321518.0921173333</v>
      </c>
      <c r="K21" s="101" t="inlineStr">
        <is>
          <t>Tier 2</t>
        </is>
      </c>
      <c r="L21" s="101" t="n">
        <v>35</v>
      </c>
      <c r="M21" s="14" t="n">
        <v>1</v>
      </c>
      <c r="N21" s="14" t="n">
        <v>0</v>
      </c>
      <c r="O21" s="101" t="n">
        <v>0</v>
      </c>
      <c r="P21" s="101" t="inlineStr">
        <is>
          <t>Avery Churchwell</t>
        </is>
      </c>
      <c r="Q21" s="101" t="inlineStr">
        <is>
          <t>Michelle Weddington</t>
        </is>
      </c>
      <c r="R21" s="101" t="inlineStr">
        <is>
          <t>Melissa Douglas</t>
        </is>
      </c>
      <c r="S21" s="101" t="n"/>
      <c r="T21" s="101" t="n"/>
      <c r="U21" s="101" t="inlineStr">
        <is>
          <t>NCR Aloha/Connected Payments</t>
        </is>
      </c>
      <c r="V21" s="101" t="inlineStr">
        <is>
          <t>NCR Aloha</t>
        </is>
      </c>
      <c r="W21" s="101" t="n"/>
      <c r="X21" s="101" t="n"/>
      <c r="Y21" s="101" t="n"/>
      <c r="Z21" s="101" t="n"/>
      <c r="AA21" s="101" t="n"/>
      <c r="AB21" s="101" t="n"/>
      <c r="AC21" s="101" t="n"/>
      <c r="AD21" s="101" t="n"/>
      <c r="AE21" s="101" t="n"/>
      <c r="AF21" s="101" t="n"/>
      <c r="AG21" s="101" t="n"/>
      <c r="AH21" s="101" t="n"/>
      <c r="AI21" s="101" t="n"/>
      <c r="AJ21" s="101" t="n"/>
      <c r="AK21" s="101" t="n"/>
      <c r="AL21" s="101" t="n"/>
      <c r="AM21" s="101" t="n"/>
      <c r="AN21" s="101" t="n"/>
      <c r="AO21" s="101" t="n"/>
      <c r="AP21" s="101" t="n"/>
      <c r="AQ21" s="101" t="n"/>
      <c r="AR21" s="101" t="n"/>
      <c r="AS21" s="104" t="n"/>
    </row>
    <row r="22" ht="26" customHeight="1" s="59">
      <c r="A22" s="100" t="inlineStr">
        <is>
          <t>LITTLE CAESARS ENTERPRISE INC</t>
        </is>
      </c>
      <c r="B22" s="101" t="inlineStr">
        <is>
          <t>DRCT - 002926- VREL</t>
        </is>
      </c>
      <c r="C22" s="101" t="inlineStr">
        <is>
          <t>SCLITCSARS/ 071106</t>
        </is>
      </c>
      <c r="D22" s="101" t="inlineStr">
        <is>
          <t>LCEI</t>
        </is>
      </c>
      <c r="E22" s="101" t="inlineStr">
        <is>
          <t>NLITCSR</t>
        </is>
      </c>
      <c r="F22" s="101" t="inlineStr">
        <is>
          <t>CP</t>
        </is>
      </c>
      <c r="G22" s="101" t="inlineStr">
        <is>
          <t>Susan</t>
        </is>
      </c>
      <c r="H22" s="101" t="inlineStr">
        <is>
          <t>Hospitality</t>
        </is>
      </c>
      <c r="I22" s="34" t="n">
        <v>4946098.475699998</v>
      </c>
      <c r="J22" s="34" t="n">
        <v>6594797.967599997</v>
      </c>
      <c r="K22" s="101" t="inlineStr">
        <is>
          <t>Tier 1</t>
        </is>
      </c>
      <c r="L22" s="101" t="n">
        <v>4200</v>
      </c>
      <c r="M22" s="14" t="n">
        <v>0.1</v>
      </c>
      <c r="N22" s="14" t="n">
        <v>0.9</v>
      </c>
      <c r="O22" s="101" t="n">
        <v>0</v>
      </c>
      <c r="P22" s="101" t="inlineStr">
        <is>
          <t>Avery Churchwell</t>
        </is>
      </c>
      <c r="Q22" s="101" t="inlineStr">
        <is>
          <t>Ashlee Strete</t>
        </is>
      </c>
      <c r="R22" s="101" t="inlineStr">
        <is>
          <t>Sam Merkle</t>
        </is>
      </c>
      <c r="S22" s="101" t="inlineStr">
        <is>
          <t>Anne-Marie Cloutier</t>
        </is>
      </c>
      <c r="T22" s="101" t="inlineStr">
        <is>
          <t>Int'l stores, not with WP</t>
        </is>
      </c>
      <c r="U22" s="101" t="inlineStr">
        <is>
          <t>CaesarVision</t>
        </is>
      </c>
      <c r="V22" s="101" t="inlineStr">
        <is>
          <t>CaesarVision (via Verifone SCA)</t>
        </is>
      </c>
      <c r="W22" s="101" t="inlineStr">
        <is>
          <t>M400s and P400s</t>
        </is>
      </c>
      <c r="X22" s="101" t="inlineStr">
        <is>
          <t>Mashgin</t>
        </is>
      </c>
      <c r="Y22" s="101" t="inlineStr">
        <is>
          <t>CaesarVision (via eProtect)</t>
        </is>
      </c>
      <c r="Z22" s="101" t="n"/>
      <c r="AA22" s="101" t="n"/>
      <c r="AB22" s="101" t="n"/>
      <c r="AC22" s="101" t="n"/>
      <c r="AD22" s="101" t="n"/>
      <c r="AE22" s="101" t="n"/>
      <c r="AF22" s="101" t="n"/>
      <c r="AG22" s="101" t="n"/>
      <c r="AH22" s="101" t="n"/>
      <c r="AI22" s="101" t="n"/>
      <c r="AJ22" s="101" t="n"/>
      <c r="AK22" s="101" t="n"/>
      <c r="AL22" s="101" t="n"/>
      <c r="AM22" s="101" t="n"/>
      <c r="AN22" s="101" t="n"/>
      <c r="AO22" s="101" t="n"/>
      <c r="AP22" s="101" t="n"/>
      <c r="AQ22" s="101" t="n"/>
      <c r="AR22" s="101" t="n"/>
      <c r="AS22" s="104" t="n"/>
    </row>
    <row r="23">
      <c r="A23" s="100" t="inlineStr">
        <is>
          <t>MILLLER'S ALE HOUSE</t>
        </is>
      </c>
      <c r="B23" s="101" t="inlineStr">
        <is>
          <t>DRCT - 00235448</t>
        </is>
      </c>
      <c r="C23" s="101" t="inlineStr">
        <is>
          <t>02131A</t>
        </is>
      </c>
      <c r="D23" s="101" t="n"/>
      <c r="E23" s="101" t="n"/>
      <c r="F23" s="101" t="inlineStr">
        <is>
          <t>CP</t>
        </is>
      </c>
      <c r="G23" s="101" t="inlineStr">
        <is>
          <t>Susan</t>
        </is>
      </c>
      <c r="H23" s="101" t="inlineStr">
        <is>
          <t>Hospitality</t>
        </is>
      </c>
      <c r="I23" s="34" t="n">
        <v>182432</v>
      </c>
      <c r="J23" s="34" t="n">
        <v>243243</v>
      </c>
      <c r="K23" s="101" t="inlineStr">
        <is>
          <t>Tier 2</t>
        </is>
      </c>
      <c r="L23" s="101" t="n">
        <v>112</v>
      </c>
      <c r="M23" s="14" t="n">
        <v>1</v>
      </c>
      <c r="N23" s="14" t="n">
        <v>0</v>
      </c>
      <c r="O23" s="101" t="n">
        <v>0</v>
      </c>
      <c r="P23" s="101" t="inlineStr">
        <is>
          <t>Avery Churchwell</t>
        </is>
      </c>
      <c r="Q23" s="101" t="inlineStr">
        <is>
          <t>Michelle Weddington</t>
        </is>
      </c>
      <c r="R23" s="101" t="inlineStr">
        <is>
          <t>Melissa Douglas</t>
        </is>
      </c>
      <c r="S23" s="101" t="n"/>
      <c r="T23" s="101" t="inlineStr">
        <is>
          <t>CNP has moved to Olo direct</t>
        </is>
      </c>
      <c r="U23" s="101" t="inlineStr">
        <is>
          <t>NCR Connected Payments, Ziosk</t>
        </is>
      </c>
      <c r="V23" s="101" t="inlineStr">
        <is>
          <t>NCR, Ziosk</t>
        </is>
      </c>
      <c r="W23" s="101" t="inlineStr">
        <is>
          <t>Swipe Simple B250 &amp; NCR Terminals</t>
        </is>
      </c>
      <c r="X23" s="101" t="n"/>
      <c r="Y23" s="101" t="n"/>
      <c r="Z23" s="101" t="inlineStr">
        <is>
          <t>OloPay</t>
        </is>
      </c>
      <c r="AA23" s="101" t="n"/>
      <c r="AB23" s="101" t="n"/>
      <c r="AC23" s="101" t="n"/>
      <c r="AD23" s="101" t="n"/>
      <c r="AE23" s="101" t="n"/>
      <c r="AF23" s="101" t="n"/>
      <c r="AG23" s="101" t="n"/>
      <c r="AH23" s="101" t="n"/>
      <c r="AI23" s="101" t="n"/>
      <c r="AJ23" s="101" t="n"/>
      <c r="AK23" s="101" t="n"/>
      <c r="AL23" s="101" t="n"/>
      <c r="AM23" s="101" t="n"/>
      <c r="AN23" s="101" t="n"/>
      <c r="AO23" s="101" t="n"/>
      <c r="AP23" s="101" t="n"/>
      <c r="AQ23" s="101" t="n"/>
      <c r="AR23" s="101" t="n"/>
      <c r="AS23" s="104" t="n"/>
    </row>
    <row r="24" ht="26" customHeight="1" s="59">
      <c r="A24" s="100" t="inlineStr">
        <is>
          <t>PAPA JOHN'S USA, INC.</t>
        </is>
      </c>
      <c r="B24" s="101" t="n"/>
      <c r="C24" s="101" t="inlineStr">
        <is>
          <t>SCPAPACORP/0T3849</t>
        </is>
      </c>
      <c r="D24" s="101" t="inlineStr">
        <is>
          <t>PAPAJN &amp; PAPCAD</t>
        </is>
      </c>
      <c r="E24" s="101" t="inlineStr">
        <is>
          <t>NPAPASJ, NPAPCAD</t>
        </is>
      </c>
      <c r="F24" s="101" t="inlineStr">
        <is>
          <t>CP</t>
        </is>
      </c>
      <c r="G24" s="101" t="inlineStr">
        <is>
          <t>Susan</t>
        </is>
      </c>
      <c r="H24" s="101" t="inlineStr">
        <is>
          <t>Hospitality</t>
        </is>
      </c>
      <c r="I24" s="34" t="n">
        <v>2382458.324000003</v>
      </c>
      <c r="J24" s="34" t="n">
        <v>3176611.098666671</v>
      </c>
      <c r="K24" s="101" t="inlineStr">
        <is>
          <t>Tier 1</t>
        </is>
      </c>
      <c r="L24" s="101" t="n">
        <v>3300</v>
      </c>
      <c r="M24" s="14" t="n">
        <v>0.15</v>
      </c>
      <c r="N24" s="14" t="n">
        <v>0.85</v>
      </c>
      <c r="O24" s="101" t="inlineStr">
        <is>
          <t>Yes</t>
        </is>
      </c>
      <c r="P24" s="101" t="inlineStr">
        <is>
          <t>Brian Wood</t>
        </is>
      </c>
      <c r="Q24" s="101" t="inlineStr">
        <is>
          <t>Ashlee Strete</t>
        </is>
      </c>
      <c r="R24" s="101" t="inlineStr">
        <is>
          <t>Melissa Douglas</t>
        </is>
      </c>
      <c r="S24" s="101" t="inlineStr">
        <is>
          <t>Anne-Marie Cloutier</t>
        </is>
      </c>
      <c r="T24" s="101" t="inlineStr">
        <is>
          <t>Evaluating Gateway/POS options</t>
        </is>
      </c>
      <c r="U24" s="101" t="inlineStr">
        <is>
          <t>Mainstreet Monetra</t>
        </is>
      </c>
      <c r="V24" s="101" t="inlineStr">
        <is>
          <t>Mainstreet Monetra</t>
        </is>
      </c>
      <c r="W24" s="101" t="inlineStr">
        <is>
          <t>Ingenico Lane 3000/ipp320/Lane 3600</t>
        </is>
      </c>
      <c r="X24" s="101" t="n"/>
      <c r="Y24" s="101" t="inlineStr">
        <is>
          <t>Yes</t>
        </is>
      </c>
      <c r="Z24" s="101" t="inlineStr">
        <is>
          <t>No</t>
        </is>
      </c>
      <c r="AA24" s="101" t="n"/>
      <c r="AB24" s="101" t="n"/>
      <c r="AC24" s="101" t="n"/>
      <c r="AD24" s="101" t="n"/>
      <c r="AE24" s="101" t="n"/>
      <c r="AF24" s="101" t="n"/>
      <c r="AG24" s="101" t="n"/>
      <c r="AH24" s="101" t="n"/>
      <c r="AI24" s="101" t="n"/>
      <c r="AJ24" s="101" t="n"/>
      <c r="AK24" s="101" t="n"/>
      <c r="AL24" s="101" t="n"/>
      <c r="AM24" s="101" t="n"/>
      <c r="AN24" s="101" t="n"/>
      <c r="AO24" s="101" t="n"/>
      <c r="AP24" s="101" t="n"/>
      <c r="AQ24" s="101" t="n"/>
      <c r="AR24" s="101" t="n"/>
      <c r="AS24" s="104" t="n"/>
    </row>
    <row r="25" ht="52" customHeight="1" s="59">
      <c r="A25" s="100" t="inlineStr">
        <is>
          <t>Red Robin</t>
        </is>
      </c>
      <c r="B25" s="101" t="inlineStr">
        <is>
          <t>IPP - 004107- VREL, IPP - 007950- IPREL, DRCT - 006112- VREL</t>
        </is>
      </c>
      <c r="C25" s="101" t="inlineStr">
        <is>
          <t>SCREDROBIN/0N1781</t>
        </is>
      </c>
      <c r="D25" s="101" t="inlineStr">
        <is>
          <t>RRGB</t>
        </is>
      </c>
      <c r="E25" s="101" t="n"/>
      <c r="F25" s="101" t="inlineStr">
        <is>
          <t>CP</t>
        </is>
      </c>
      <c r="G25" s="101" t="inlineStr">
        <is>
          <t>Susan</t>
        </is>
      </c>
      <c r="H25" s="101" t="inlineStr">
        <is>
          <t>Hospitality</t>
        </is>
      </c>
      <c r="I25" s="34" t="n"/>
      <c r="J25" s="34" t="n">
        <v>315000</v>
      </c>
      <c r="K25" s="101" t="inlineStr">
        <is>
          <t>Tier 2</t>
        </is>
      </c>
      <c r="L25" s="101" t="n">
        <v>500</v>
      </c>
      <c r="M25" s="14" t="n">
        <v>0.9</v>
      </c>
      <c r="N25" s="14" t="n">
        <v>0.1</v>
      </c>
      <c r="O25" s="101" t="n">
        <v>0</v>
      </c>
      <c r="P25" s="101" t="inlineStr">
        <is>
          <t>Avery Churchwell</t>
        </is>
      </c>
      <c r="Q25" s="101" t="inlineStr">
        <is>
          <t>Ashlee Strete</t>
        </is>
      </c>
      <c r="R25" s="101" t="inlineStr">
        <is>
          <t>Melissa Douglas</t>
        </is>
      </c>
      <c r="S25" s="101" t="n"/>
      <c r="T25" s="101" t="n"/>
      <c r="U25" s="101" t="inlineStr">
        <is>
          <t>Ziosk, NCR Aloha and Olo for eCom</t>
        </is>
      </c>
      <c r="V25" s="101" t="inlineStr">
        <is>
          <t>NCR, Ziosk</t>
        </is>
      </c>
      <c r="W25" s="101" t="n"/>
      <c r="X25" s="101" t="n"/>
      <c r="Y25" s="101" t="inlineStr">
        <is>
          <t>Monkey Media, Olo, Bounteous (wallet)</t>
        </is>
      </c>
      <c r="Z25" s="101" t="n"/>
      <c r="AA25" s="101" t="n"/>
      <c r="AB25" s="101" t="n"/>
      <c r="AC25" s="101" t="n"/>
      <c r="AD25" s="101" t="n"/>
      <c r="AE25" s="101" t="n"/>
      <c r="AF25" s="101" t="n"/>
      <c r="AG25" s="101" t="n"/>
      <c r="AH25" s="101" t="n"/>
      <c r="AI25" s="101" t="n"/>
      <c r="AJ25" s="101" t="n"/>
      <c r="AK25" s="101" t="n"/>
      <c r="AL25" s="101" t="n"/>
      <c r="AM25" s="101" t="n"/>
      <c r="AN25" s="101" t="n"/>
      <c r="AO25" s="101" t="n"/>
      <c r="AP25" s="101" t="n"/>
      <c r="AQ25" s="101" t="n"/>
      <c r="AR25" s="101" t="n"/>
      <c r="AS25" s="104" t="n"/>
    </row>
    <row r="26" ht="26" customHeight="1" s="59">
      <c r="A26" s="100" t="inlineStr">
        <is>
          <t>SLIM CHICKENS</t>
        </is>
      </c>
      <c r="B26" s="101" t="inlineStr">
        <is>
          <t>DRCT - 007749- VREL</t>
        </is>
      </c>
      <c r="C26" s="101" t="inlineStr">
        <is>
          <t>S000004054</t>
        </is>
      </c>
      <c r="D26" s="101" t="inlineStr">
        <is>
          <t>SLMCKN</t>
        </is>
      </c>
      <c r="E26" s="101" t="inlineStr">
        <is>
          <t>N001421</t>
        </is>
      </c>
      <c r="F26" s="101" t="inlineStr">
        <is>
          <t>CP</t>
        </is>
      </c>
      <c r="G26" s="101" t="inlineStr">
        <is>
          <t>Susan</t>
        </is>
      </c>
      <c r="H26" s="101" t="inlineStr">
        <is>
          <t>Hospitality</t>
        </is>
      </c>
      <c r="I26" s="34" t="n"/>
      <c r="J26" s="34" t="n"/>
      <c r="K26" s="101" t="inlineStr">
        <is>
          <t>Tier 2</t>
        </is>
      </c>
      <c r="L26" s="101" t="n">
        <v>250</v>
      </c>
      <c r="M26" s="14" t="n">
        <v>0.8</v>
      </c>
      <c r="N26" s="14" t="n">
        <v>0.2</v>
      </c>
      <c r="O26" s="101" t="n">
        <v>0</v>
      </c>
      <c r="P26" s="101" t="inlineStr">
        <is>
          <t>Avery Churchwell</t>
        </is>
      </c>
      <c r="Q26" s="101" t="inlineStr">
        <is>
          <t>Deb Cunningham</t>
        </is>
      </c>
      <c r="R26" s="101" t="inlineStr">
        <is>
          <t>Melissa Douglas</t>
        </is>
      </c>
      <c r="S26" s="101" t="n"/>
      <c r="T26" s="101" t="n"/>
      <c r="U26" s="101" t="inlineStr">
        <is>
          <t>PAR Brink (VAR - Verifone Classic) and Olo</t>
        </is>
      </c>
      <c r="V26" s="101" t="inlineStr">
        <is>
          <t>PAR Brink</t>
        </is>
      </c>
      <c r="W26" s="101" t="inlineStr">
        <is>
          <t>P400 and E285</t>
        </is>
      </c>
      <c r="X26" s="101" t="inlineStr">
        <is>
          <t>PAR - Lane 300s</t>
        </is>
      </c>
      <c r="Y26" s="101" t="inlineStr">
        <is>
          <t>Olo</t>
        </is>
      </c>
      <c r="Z26" s="101" t="n"/>
      <c r="AA26" s="101" t="n"/>
      <c r="AB26" s="101" t="n"/>
      <c r="AC26" s="101" t="n"/>
      <c r="AD26" s="101" t="n"/>
      <c r="AE26" s="101" t="n"/>
      <c r="AF26" s="101" t="n"/>
      <c r="AG26" s="101" t="n"/>
      <c r="AH26" s="101" t="n"/>
      <c r="AI26" s="101" t="n"/>
      <c r="AJ26" s="101" t="n"/>
      <c r="AK26" s="101" t="n"/>
      <c r="AL26" s="101" t="n"/>
      <c r="AM26" s="101" t="n"/>
      <c r="AN26" s="101" t="n"/>
      <c r="AO26" s="101" t="n"/>
      <c r="AP26" s="101" t="n"/>
      <c r="AQ26" s="101" t="n"/>
      <c r="AR26" s="101" t="n"/>
      <c r="AS26" s="104" t="n"/>
    </row>
    <row r="27">
      <c r="A27" s="100" t="inlineStr">
        <is>
          <t>STARBUCKS CORPORATION</t>
        </is>
      </c>
      <c r="B27" s="101" t="inlineStr">
        <is>
          <t>DRCT - 02432125</t>
        </is>
      </c>
      <c r="C27" s="101" t="inlineStr">
        <is>
          <t>NSTBKUS</t>
        </is>
      </c>
      <c r="D27" s="101" t="n"/>
      <c r="E27" s="101" t="inlineStr">
        <is>
          <t>NSTBKUS</t>
        </is>
      </c>
      <c r="F27" s="101" t="inlineStr">
        <is>
          <t>CP</t>
        </is>
      </c>
      <c r="G27" s="101" t="inlineStr">
        <is>
          <t>Susan</t>
        </is>
      </c>
      <c r="H27" s="101" t="inlineStr">
        <is>
          <t>Hospitality</t>
        </is>
      </c>
      <c r="I27" s="34" t="n">
        <v>28197.93468896606</v>
      </c>
      <c r="J27" s="34" t="n">
        <v>4000000</v>
      </c>
      <c r="K27" s="101" t="inlineStr">
        <is>
          <t>Tier 1</t>
        </is>
      </c>
      <c r="L27" s="101" t="n">
        <v>10000</v>
      </c>
      <c r="M27" s="14" t="n">
        <v>1</v>
      </c>
      <c r="N27" s="14" t="inlineStr">
        <is>
          <t>Licensed</t>
        </is>
      </c>
      <c r="O27" s="101" t="inlineStr">
        <is>
          <t>yes</t>
        </is>
      </c>
      <c r="P27" s="101" t="inlineStr">
        <is>
          <t>Stacie Davis</t>
        </is>
      </c>
      <c r="Q27" s="101" t="inlineStr">
        <is>
          <t>Greg Cappel</t>
        </is>
      </c>
      <c r="R27" s="101" t="inlineStr">
        <is>
          <t>Melissa Douglas</t>
        </is>
      </c>
      <c r="S27" s="101" t="n"/>
      <c r="T27" s="101" t="inlineStr">
        <is>
          <t>only 20% volume comes to WP</t>
        </is>
      </c>
      <c r="U27" s="101" t="inlineStr">
        <is>
          <t>VF PWC</t>
        </is>
      </c>
      <c r="V27" s="101" t="n"/>
      <c r="W27" s="101" t="inlineStr">
        <is>
          <t>Verifone, Variable</t>
        </is>
      </c>
      <c r="X27" s="101" t="inlineStr">
        <is>
          <t>Yes</t>
        </is>
      </c>
      <c r="Y27" s="101" t="inlineStr">
        <is>
          <t>Yes</t>
        </is>
      </c>
      <c r="Z27" s="101" t="n"/>
      <c r="AA27" s="101" t="n"/>
      <c r="AB27" s="101" t="n"/>
      <c r="AC27" s="101" t="n"/>
      <c r="AD27" s="101" t="n"/>
      <c r="AE27" s="101" t="n"/>
      <c r="AF27" s="101" t="n"/>
      <c r="AG27" s="101" t="n"/>
      <c r="AH27" s="101" t="n"/>
      <c r="AI27" s="101" t="n"/>
      <c r="AJ27" s="101" t="n"/>
      <c r="AK27" s="101" t="n"/>
      <c r="AL27" s="101" t="n"/>
      <c r="AM27" s="101" t="n"/>
      <c r="AN27" s="101" t="n"/>
      <c r="AO27" s="101" t="n"/>
      <c r="AP27" s="101" t="n"/>
      <c r="AQ27" s="101" t="n"/>
      <c r="AR27" s="101" t="n"/>
      <c r="AS27" s="104" t="n"/>
    </row>
    <row r="28" ht="26" customHeight="1" s="59">
      <c r="A28" s="100" t="inlineStr">
        <is>
          <t>STATION CASINO</t>
        </is>
      </c>
      <c r="B28" s="101" t="inlineStr">
        <is>
          <t>DRCT - 010469- VREL</t>
        </is>
      </c>
      <c r="C28" s="101" t="inlineStr">
        <is>
          <t xml:space="preserve">S000008464 </t>
        </is>
      </c>
      <c r="D28" s="101" t="n"/>
      <c r="E28" s="101" t="n"/>
      <c r="F28" s="101" t="inlineStr">
        <is>
          <t>CP</t>
        </is>
      </c>
      <c r="G28" s="101" t="inlineStr">
        <is>
          <t>Susan</t>
        </is>
      </c>
      <c r="H28" s="101" t="inlineStr">
        <is>
          <t>Hospitality</t>
        </is>
      </c>
      <c r="I28" s="34" t="n"/>
      <c r="J28" s="34" t="n"/>
      <c r="K28" s="101" t="inlineStr">
        <is>
          <t>Tier 2</t>
        </is>
      </c>
      <c r="L28" s="101" t="n">
        <v>18</v>
      </c>
      <c r="M28" s="14" t="n">
        <v>1</v>
      </c>
      <c r="N28" s="14" t="n">
        <v>0</v>
      </c>
      <c r="O28" s="101" t="n">
        <v>0</v>
      </c>
      <c r="P28" s="101" t="inlineStr">
        <is>
          <t>Avery Churchwell</t>
        </is>
      </c>
      <c r="Q28" s="101" t="inlineStr">
        <is>
          <t>Kat Briggs</t>
        </is>
      </c>
      <c r="R28" s="101" t="inlineStr">
        <is>
          <t>Melissa Douglas</t>
        </is>
      </c>
      <c r="S28" s="101" t="n"/>
      <c r="T28" s="101" t="n"/>
      <c r="U28" s="101" t="inlineStr">
        <is>
          <t>FreedomPay</t>
        </is>
      </c>
      <c r="V28" s="101" t="inlineStr">
        <is>
          <t>Agilysys</t>
        </is>
      </c>
      <c r="W28" s="101" t="inlineStr">
        <is>
          <t>FP Terminals</t>
        </is>
      </c>
      <c r="X28" s="101" t="n"/>
      <c r="Y28" s="101" t="inlineStr">
        <is>
          <t>OnDemand</t>
        </is>
      </c>
      <c r="Z28" s="101" t="n"/>
      <c r="AA28" s="101" t="n"/>
      <c r="AB28" s="101" t="n"/>
      <c r="AC28" s="101" t="n"/>
      <c r="AD28" s="101" t="n"/>
      <c r="AE28" s="101" t="n"/>
      <c r="AF28" s="101" t="n"/>
      <c r="AG28" s="101" t="n"/>
      <c r="AH28" s="101" t="n"/>
      <c r="AI28" s="101" t="n"/>
      <c r="AJ28" s="101" t="n"/>
      <c r="AK28" s="101" t="n"/>
      <c r="AL28" s="101" t="n"/>
      <c r="AM28" s="101" t="n"/>
      <c r="AN28" s="101" t="n"/>
      <c r="AO28" s="101" t="n"/>
      <c r="AP28" s="101" t="n"/>
      <c r="AQ28" s="101" t="n"/>
      <c r="AR28" s="101" t="n"/>
      <c r="AS28" s="104" t="n"/>
    </row>
    <row r="29" ht="26" customHeight="1" s="59">
      <c r="A29" s="100" t="inlineStr">
        <is>
          <t>SUBWAY</t>
        </is>
      </c>
      <c r="B29" s="101" t="n"/>
      <c r="C29" s="101" t="inlineStr">
        <is>
          <t>NSUBWAY</t>
        </is>
      </c>
      <c r="D29" s="101" t="inlineStr">
        <is>
          <t>SBWYFR/SUBCAN</t>
        </is>
      </c>
      <c r="E29" s="101" t="inlineStr">
        <is>
          <t>NSUBUSA/NSUBCAN</t>
        </is>
      </c>
      <c r="F29" s="101" t="inlineStr">
        <is>
          <t>CP</t>
        </is>
      </c>
      <c r="G29" s="101" t="n"/>
      <c r="H29" s="101" t="inlineStr">
        <is>
          <t>Hospitality</t>
        </is>
      </c>
      <c r="I29" s="34" t="n"/>
      <c r="J29" s="34" t="n"/>
      <c r="K29" s="101" t="inlineStr">
        <is>
          <t>Tier 1</t>
        </is>
      </c>
      <c r="L29" s="101" t="n">
        <v>20000</v>
      </c>
      <c r="M29" s="14" t="n">
        <v>0</v>
      </c>
      <c r="N29" s="14" t="n">
        <v>1</v>
      </c>
      <c r="O29" s="101" t="inlineStr">
        <is>
          <t>Yes</t>
        </is>
      </c>
      <c r="P29" s="101" t="inlineStr">
        <is>
          <t>Stacie Davis</t>
        </is>
      </c>
      <c r="Q29" s="101" t="inlineStr">
        <is>
          <t>Greg Cappel</t>
        </is>
      </c>
      <c r="R29" s="101" t="inlineStr">
        <is>
          <t>TBD</t>
        </is>
      </c>
      <c r="S29" s="101" t="inlineStr">
        <is>
          <t>Gaynor Baker</t>
        </is>
      </c>
      <c r="T29" s="101" t="inlineStr">
        <is>
          <t>Dual acquirers via FreedomPay</t>
        </is>
      </c>
      <c r="U29" s="101" t="inlineStr">
        <is>
          <t>Proprietary</t>
        </is>
      </c>
      <c r="V29" s="101" t="inlineStr">
        <is>
          <t>FreedomPay</t>
        </is>
      </c>
      <c r="W29" s="101" t="inlineStr">
        <is>
          <t>Ingenico Desk 3500</t>
        </is>
      </c>
      <c r="X29" s="101" t="inlineStr">
        <is>
          <t>Yes</t>
        </is>
      </c>
      <c r="Y29" s="101" t="inlineStr">
        <is>
          <t>Yes</t>
        </is>
      </c>
      <c r="Z29" s="101" t="n"/>
      <c r="AA29" s="101" t="n"/>
      <c r="AB29" s="101" t="n"/>
      <c r="AC29" s="101" t="n"/>
      <c r="AD29" s="101" t="n"/>
      <c r="AE29" s="101" t="n"/>
      <c r="AF29" s="101" t="n"/>
      <c r="AG29" s="101" t="n"/>
      <c r="AH29" s="101" t="n"/>
      <c r="AI29" s="101" t="n"/>
      <c r="AJ29" s="101" t="n"/>
      <c r="AK29" s="101" t="n"/>
      <c r="AL29" s="101" t="n"/>
      <c r="AM29" s="101" t="n"/>
      <c r="AN29" s="101" t="n"/>
      <c r="AO29" s="101" t="n"/>
      <c r="AP29" s="101" t="n"/>
      <c r="AQ29" s="101" t="n"/>
      <c r="AR29" s="101" t="n"/>
      <c r="AS29" s="104" t="n"/>
    </row>
    <row r="30" ht="26" customHeight="1" s="59">
      <c r="A30" s="100" t="inlineStr">
        <is>
          <t>THE STEAK N SHAKE CO</t>
        </is>
      </c>
      <c r="B30" s="101" t="inlineStr">
        <is>
          <t>DRCT - 004673- VREL</t>
        </is>
      </c>
      <c r="C30" s="101" t="inlineStr">
        <is>
          <t>SCSTKNSHKE</t>
        </is>
      </c>
      <c r="D30" s="101" t="inlineStr">
        <is>
          <t>SKNK</t>
        </is>
      </c>
      <c r="E30" s="101" t="inlineStr">
        <is>
          <t>NSTKSHK</t>
        </is>
      </c>
      <c r="F30" s="101" t="inlineStr">
        <is>
          <t>CP</t>
        </is>
      </c>
      <c r="G30" s="101" t="inlineStr">
        <is>
          <t>Susan</t>
        </is>
      </c>
      <c r="H30" s="101" t="inlineStr">
        <is>
          <t>Hospitality</t>
        </is>
      </c>
      <c r="I30" s="34" t="n">
        <v>514334.9602400001</v>
      </c>
      <c r="J30" s="34" t="n">
        <v>685779.9469866669</v>
      </c>
      <c r="K30" s="101" t="inlineStr">
        <is>
          <t>Tier 2</t>
        </is>
      </c>
      <c r="L30" s="101" t="n">
        <v>550</v>
      </c>
      <c r="M30" s="14" t="n">
        <v>0.83</v>
      </c>
      <c r="N30" s="14" t="n">
        <v>0.17</v>
      </c>
      <c r="O30" s="101" t="n"/>
      <c r="P30" s="101" t="inlineStr">
        <is>
          <t>Maggie Lenhart</t>
        </is>
      </c>
      <c r="Q30" s="101" t="inlineStr">
        <is>
          <t>Michelle Weddington</t>
        </is>
      </c>
      <c r="R30" s="101" t="inlineStr">
        <is>
          <t>Melissa Douglas</t>
        </is>
      </c>
      <c r="S30" s="101" t="inlineStr">
        <is>
          <t>Gaynor Baker</t>
        </is>
      </c>
      <c r="T30" s="101" t="n"/>
      <c r="U30" s="101" t="inlineStr">
        <is>
          <t>NCR</t>
        </is>
      </c>
      <c r="V30" s="101" t="inlineStr">
        <is>
          <t>NCR Connected Payments</t>
        </is>
      </c>
      <c r="W30" s="101" t="n"/>
      <c r="X30" s="101" t="inlineStr">
        <is>
          <t>NCR-Moving to QikServe (FreedomPay)</t>
        </is>
      </c>
      <c r="Y30" s="101" t="inlineStr">
        <is>
          <t>Olo- moving to direct Express cert with NovaTab</t>
        </is>
      </c>
      <c r="Z30" s="101" t="inlineStr">
        <is>
          <t>Moving mobile app to Direct Express Cert with NovaTab</t>
        </is>
      </c>
      <c r="AA30" s="101" t="n"/>
      <c r="AB30" s="101" t="n"/>
      <c r="AC30" s="101" t="n"/>
      <c r="AD30" s="101" t="n"/>
      <c r="AE30" s="101" t="n"/>
      <c r="AF30" s="101" t="n"/>
      <c r="AG30" s="101" t="n"/>
      <c r="AH30" s="101" t="n"/>
      <c r="AI30" s="101" t="n"/>
      <c r="AJ30" s="101" t="n"/>
      <c r="AK30" s="101" t="n"/>
      <c r="AL30" s="101" t="n"/>
      <c r="AM30" s="101" t="n"/>
      <c r="AN30" s="101" t="n"/>
      <c r="AO30" s="101" t="n"/>
      <c r="AP30" s="101" t="n"/>
      <c r="AQ30" s="101" t="n"/>
      <c r="AR30" s="101" t="n"/>
      <c r="AS30" s="104" t="n"/>
    </row>
    <row r="31" ht="26" customHeight="1" s="59">
      <c r="A31" s="105" t="inlineStr">
        <is>
          <t>WENDY'S INTERNATIONAL INC</t>
        </is>
      </c>
      <c r="B31" s="106" t="inlineStr">
        <is>
          <t>DRCT - 005449- VREL</t>
        </is>
      </c>
      <c r="C31" s="106" t="inlineStr">
        <is>
          <t>NWENDYS</t>
        </is>
      </c>
      <c r="D31" s="106" t="inlineStr">
        <is>
          <t>WENDYS</t>
        </is>
      </c>
      <c r="E31" s="106" t="inlineStr">
        <is>
          <t>NWENDYS</t>
        </is>
      </c>
      <c r="F31" s="106" t="inlineStr">
        <is>
          <t>CP</t>
        </is>
      </c>
      <c r="G31" s="106" t="inlineStr">
        <is>
          <t>Susan</t>
        </is>
      </c>
      <c r="H31" s="106" t="inlineStr">
        <is>
          <t>Hospitality</t>
        </is>
      </c>
      <c r="I31" s="35" t="n">
        <v>3462603.688000003</v>
      </c>
      <c r="J31" s="35" t="n">
        <v>4616804.917333337</v>
      </c>
      <c r="K31" s="106" t="inlineStr">
        <is>
          <t>Tier 1</t>
        </is>
      </c>
      <c r="L31" s="106" t="n">
        <v>6000</v>
      </c>
      <c r="M31" s="15" t="n">
        <v>0.05</v>
      </c>
      <c r="N31" s="15" t="n">
        <v>0.95</v>
      </c>
      <c r="O31" s="106" t="inlineStr">
        <is>
          <t>Yes</t>
        </is>
      </c>
      <c r="P31" s="106" t="inlineStr">
        <is>
          <t>Stacie Davis</t>
        </is>
      </c>
      <c r="Q31" s="106" t="inlineStr">
        <is>
          <t>Greg Cappel</t>
        </is>
      </c>
      <c r="R31" s="106" t="inlineStr">
        <is>
          <t>Stacey Johnson</t>
        </is>
      </c>
      <c r="S31" s="106" t="inlineStr">
        <is>
          <t>Gaynor Baker</t>
        </is>
      </c>
      <c r="T31" s="106" t="inlineStr">
        <is>
          <t>~10% of stores are on Fiserv</t>
        </is>
      </c>
      <c r="U31" s="106" t="inlineStr">
        <is>
          <t>NCR Aloha</t>
        </is>
      </c>
      <c r="V31" s="106" t="inlineStr">
        <is>
          <t>ACI</t>
        </is>
      </c>
      <c r="W31" s="106" t="inlineStr">
        <is>
          <t>Ingenico, Variable</t>
        </is>
      </c>
      <c r="X31" s="106" t="inlineStr">
        <is>
          <t>Yes</t>
        </is>
      </c>
      <c r="Y31" s="106" t="inlineStr">
        <is>
          <t>Yes</t>
        </is>
      </c>
      <c r="Z31" s="106" t="n"/>
      <c r="AA31" s="106" t="n"/>
      <c r="AB31" s="106" t="n"/>
      <c r="AC31" s="106" t="n"/>
      <c r="AD31" s="106" t="n"/>
      <c r="AE31" s="106" t="n"/>
      <c r="AF31" s="106" t="n"/>
      <c r="AG31" s="106" t="n"/>
      <c r="AH31" s="106" t="n"/>
      <c r="AI31" s="106" t="n"/>
      <c r="AJ31" s="106" t="n"/>
      <c r="AK31" s="106" t="n"/>
      <c r="AL31" s="106" t="n"/>
      <c r="AM31" s="106" t="n"/>
      <c r="AN31" s="106" t="n"/>
      <c r="AO31" s="106" t="n"/>
      <c r="AP31" s="106" t="n"/>
      <c r="AQ31" s="106" t="n"/>
      <c r="AR31" s="106" t="n"/>
      <c r="AS31" s="10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10" defaultColWidth="8.83203125" defaultRowHeight="14"/>
  <cols>
    <col width="12" customWidth="1" style="59" min="1" max="1"/>
    <col width="24" customWidth="1" style="59" min="2" max="2"/>
    <col width="42" customWidth="1" style="59" min="3" max="3"/>
    <col width="26" customWidth="1" style="59" min="4" max="4"/>
    <col width="25" customWidth="1" style="59" min="5" max="5"/>
    <col width="48" customWidth="1" style="59" min="6" max="6"/>
    <col width="22" customWidth="1" style="59" min="7" max="7"/>
    <col width="14" customWidth="1" style="59" min="8" max="8"/>
  </cols>
  <sheetData>
    <row r="1" ht="37.25" customHeight="1" s="59">
      <c r="A1" s="136" t="inlineStr">
        <is>
          <t>Worldpay Master Account Plan — 2026-09-04 Change Log</t>
        </is>
      </c>
    </row>
    <row r="2" ht="40" customHeight="1" s="59">
      <c r="A2" s="137" t="inlineStr">
        <is>
          <t>Material changes through 2026-09-04. Validation items remain explicit; scores and tiers require human approval to change.</t>
        </is>
      </c>
    </row>
    <row r="3">
      <c r="A3" s="111" t="n"/>
      <c r="B3" s="111" t="n"/>
      <c r="C3" s="111" t="n"/>
      <c r="D3" s="111" t="n"/>
      <c r="E3" s="111" t="n"/>
      <c r="F3" s="111" t="n"/>
      <c r="G3" s="111" t="n"/>
      <c r="H3" s="111" t="n"/>
    </row>
    <row r="4" ht="40" customHeight="1" s="59">
      <c r="A4" s="138" t="inlineStr">
        <is>
          <t>Priority</t>
        </is>
      </c>
      <c r="B4" s="138" t="inlineStr">
        <is>
          <t>Account / Theme</t>
        </is>
      </c>
      <c r="C4" s="138" t="inlineStr">
        <is>
          <t>Change</t>
        </is>
      </c>
      <c r="D4" s="138" t="inlineStr">
        <is>
          <t>New Status</t>
        </is>
      </c>
      <c r="E4" s="138" t="inlineStr">
        <is>
          <t>Confidence</t>
        </is>
      </c>
      <c r="F4" s="138" t="inlineStr">
        <is>
          <t>Immediate Next Action</t>
        </is>
      </c>
      <c r="G4" s="138" t="inlineStr">
        <is>
          <t>Owner / Route</t>
        </is>
      </c>
      <c r="H4" s="138" t="inlineStr">
        <is>
          <t>Review By</t>
        </is>
      </c>
    </row>
    <row r="5" ht="69.25" customHeight="1" s="59">
      <c r="A5" s="128" t="inlineStr">
        <is>
          <t>P1</t>
        </is>
      </c>
      <c r="B5" s="128" t="inlineStr">
        <is>
          <t>Del Taco</t>
        </is>
      </c>
      <c r="C5" s="128" t="inlineStr">
        <is>
          <t>Added verified Yadav ownership event; sourcing remains a hypothesis</t>
        </is>
      </c>
      <c r="D5" s="128" t="inlineStr">
        <is>
          <t>Active / validate event</t>
        </is>
      </c>
      <c r="E5" s="128" t="inlineStr">
        <is>
          <t>High ownership; event unverified</t>
        </is>
      </c>
      <c r="F5" s="128" t="inlineStr">
        <is>
          <t>Finish extension, merge GP leads and map Yadav governance</t>
        </is>
      </c>
      <c r="G5" s="128" t="inlineStr">
        <is>
          <t>Maggie Lenhart</t>
        </is>
      </c>
      <c r="H5" s="129" t="n">
        <v>46255</v>
      </c>
    </row>
    <row r="6" ht="69.25" customHeight="1" s="59">
      <c r="A6" s="130" t="inlineStr">
        <is>
          <t>P1</t>
        </is>
      </c>
      <c r="B6" s="130" t="inlineStr">
        <is>
          <t>Five Guys</t>
        </is>
      </c>
      <c r="C6" s="130" t="inlineStr">
        <is>
          <t>Removed certainty around formal spring 2027 RFP; added internal pricing feasibility gate</t>
        </is>
      </c>
      <c r="D6" s="130" t="inlineStr">
        <is>
          <t>Account shaping / validate</t>
        </is>
      </c>
      <c r="E6" s="130" t="inlineStr">
        <is>
          <t>Mixed</t>
        </is>
      </c>
      <c r="F6" s="130" t="inlineStr">
        <is>
          <t>Confirm evaluation, sponsor, renewal/notice dates and internal approval</t>
        </is>
      </c>
      <c r="G6" s="130" t="inlineStr">
        <is>
          <t>Avery Churchwell</t>
        </is>
      </c>
      <c r="H6" s="131" t="n">
        <v>46255</v>
      </c>
    </row>
    <row r="7" ht="69.25" customHeight="1" s="59">
      <c r="A7" s="132" t="inlineStr">
        <is>
          <t>P1</t>
        </is>
      </c>
      <c r="B7" s="132" t="inlineStr">
        <is>
          <t>Subway</t>
        </is>
      </c>
      <c r="C7" s="132" t="inlineStr">
        <is>
          <t>Changed reported Genius scope from DMB to KDS</t>
        </is>
      </c>
      <c r="D7" s="132" t="inlineStr">
        <is>
          <t>Urgent scope verification</t>
        </is>
      </c>
      <c r="E7" s="132" t="inlineStr">
        <is>
          <t>High internal / scope unverified</t>
        </is>
      </c>
      <c r="F7" s="132" t="inlineStr">
        <is>
          <t>Confirm product owner, sites, status, commitments and sponsor</t>
        </is>
      </c>
      <c r="G7" s="132" t="inlineStr">
        <is>
          <t>Stacie Davis</t>
        </is>
      </c>
      <c r="H7" s="133" t="n">
        <v>46252</v>
      </c>
    </row>
    <row r="8" ht="69.25" customHeight="1" s="59">
      <c r="A8" s="130" t="inlineStr">
        <is>
          <t>P2</t>
        </is>
      </c>
      <c r="B8" s="130" t="inlineStr">
        <is>
          <t>RDS five-unit rebrand</t>
        </is>
      </c>
      <c r="C8" s="130" t="inlineStr">
        <is>
          <t>Added clean-slate reseller pilot</t>
        </is>
      </c>
      <c r="D8" s="130" t="inlineStr">
        <is>
          <t>Qualify pilot</t>
        </is>
      </c>
      <c r="E8" s="130" t="inlineStr">
        <is>
          <t>High field / customer facts unverified</t>
        </is>
      </c>
      <c r="F8" s="130" t="inlineStr">
        <is>
          <t>Document entity, authority, scope, economics, support and protections</t>
        </is>
      </c>
      <c r="G8" s="130" t="inlineStr">
        <is>
          <t>RDS / Darren Heinze</t>
        </is>
      </c>
      <c r="H8" s="131" t="n">
        <v>46255</v>
      </c>
    </row>
    <row r="9" ht="69.25" customHeight="1" s="59">
      <c r="A9" s="132" t="inlineStr">
        <is>
          <t>P2</t>
        </is>
      </c>
      <c r="B9" s="132" t="inlineStr">
        <is>
          <t>Pollo Campero</t>
        </is>
      </c>
      <c r="C9" s="132" t="inlineStr">
        <is>
          <t>Added emerging RFI/international platform opportunity</t>
        </is>
      </c>
      <c r="D9" s="132" t="inlineStr">
        <is>
          <t>Qualification / bid-no-bid</t>
        </is>
      </c>
      <c r="E9" s="132" t="inlineStr">
        <is>
          <t>Strong internal / procurement unconfirmed</t>
        </is>
      </c>
      <c r="F9" s="132" t="inlineStr">
        <is>
          <t>Obtain NDA/RFI, assign owner and confirm Oracle/Worldpay scope</t>
        </is>
      </c>
      <c r="G9" s="132" t="inlineStr">
        <is>
          <t>Unassigned / Worldpay</t>
        </is>
      </c>
      <c r="H9" s="133" t="n">
        <v>46255</v>
      </c>
    </row>
    <row r="10" ht="69.25" customHeight="1" s="59">
      <c r="A10" s="130" t="inlineStr">
        <is>
          <t>P3</t>
        </is>
      </c>
      <c r="B10" s="130" t="inlineStr">
        <is>
          <t>Freddy's</t>
        </is>
      </c>
      <c r="C10" s="130" t="inlineStr">
        <is>
          <t>Downgraded from active P2 to protected RDS watchlist</t>
        </is>
      </c>
      <c r="D10" s="130" t="inlineStr">
        <is>
          <t>RDS-led / no direct outreach</t>
        </is>
      </c>
      <c r="E10" s="130" t="inlineStr">
        <is>
          <t>High field</t>
        </is>
      </c>
      <c r="F10" s="130" t="inlineStr">
        <is>
          <t>Prove pilot and protection model before CFO value discussion</t>
        </is>
      </c>
      <c r="G10" s="130" t="inlineStr">
        <is>
          <t>RDS</t>
        </is>
      </c>
      <c r="H10" s="131" t="n">
        <v>46269</v>
      </c>
    </row>
    <row r="11" ht="69.25" customHeight="1" s="59">
      <c r="A11" s="132" t="inlineStr">
        <is>
          <t>P3</t>
        </is>
      </c>
      <c r="B11" s="132" t="inlineStr">
        <is>
          <t>Papa John's</t>
        </is>
      </c>
      <c r="C11" s="132" t="inlineStr">
        <is>
          <t>Corrected rank; added implementation milestones and Linux-risk lead</t>
        </is>
      </c>
      <c r="D11" s="132" t="inlineStr">
        <is>
          <t>Deployment/adjacency watch</t>
        </is>
      </c>
      <c r="E11" s="132" t="inlineStr">
        <is>
          <t>High public; technical claim unverified</t>
        </is>
      </c>
      <c r="F11" s="132" t="inlineStr">
        <is>
          <t>Monitor rollout and validate technical dependency</t>
        </is>
      </c>
      <c r="G11" s="132" t="inlineStr">
        <is>
          <t>Brian Wood</t>
        </is>
      </c>
      <c r="H11" s="133" t="n">
        <v>46262</v>
      </c>
    </row>
    <row r="12" ht="69.25" customHeight="1" s="59">
      <c r="A12" s="130" t="inlineStr">
        <is>
          <t>P3</t>
        </is>
      </c>
      <c r="B12" s="130" t="inlineStr">
        <is>
          <t>Slim Chickens</t>
        </is>
      </c>
      <c r="C12" s="130" t="inlineStr">
        <is>
          <t>Codified RDS-led/no-direct-outreach rule; no new trigger</t>
        </is>
      </c>
      <c r="D12" s="130" t="inlineStr">
        <is>
          <t>Relationship map</t>
        </is>
      </c>
      <c r="E12" s="130" t="inlineStr">
        <is>
          <t>High field</t>
        </is>
      </c>
      <c r="F12" s="130" t="inlineStr">
        <is>
          <t>Wait for RDS-validated customer problem</t>
        </is>
      </c>
      <c r="G12" s="130" t="inlineStr">
        <is>
          <t>RDS / Avery</t>
        </is>
      </c>
      <c r="H12" s="131" t="n">
        <v>46269</v>
      </c>
    </row>
    <row r="13" ht="69.25" customHeight="1" s="59">
      <c r="A13" s="132" t="inlineStr">
        <is>
          <t>Portfolio</t>
        </is>
      </c>
      <c r="B13" s="132" t="inlineStr">
        <is>
          <t>PAR competitive signal</t>
        </is>
      </c>
      <c r="C13" s="132" t="inlineStr">
        <is>
          <t>Added POS/loyalty beachhead, multi-product bundling and payments-attachment pattern</t>
        </is>
      </c>
      <c r="D13" s="132" t="inlineStr">
        <is>
          <t>Portfolio-wide threat</t>
        </is>
      </c>
      <c r="E13" s="132" t="inlineStr">
        <is>
          <t>High company-reported</t>
        </is>
      </c>
      <c r="F13" s="132" t="inlineStr">
        <is>
          <t>Update discovery and battlecards; counter with modularity and proof</t>
        </is>
      </c>
      <c r="G13" s="132" t="inlineStr">
        <is>
          <t>Todd / Genius</t>
        </is>
      </c>
      <c r="H13" s="133" t="n">
        <v>46262</v>
      </c>
    </row>
    <row r="14" ht="69.25" customHeight="1" s="59">
      <c r="A14" s="134" t="inlineStr">
        <is>
          <t>Data quality</t>
        </is>
      </c>
      <c r="B14" s="134" t="inlineStr">
        <is>
          <t>Dashboard and rankings</t>
        </is>
      </c>
      <c r="C14" s="134" t="inlineStr">
        <is>
          <t>Corrected P1 count, RM mapping, Papa Johns rank and stack verification wording</t>
        </is>
      </c>
      <c r="D14" s="134" t="inlineStr">
        <is>
          <t>Resolved</t>
        </is>
      </c>
      <c r="E14" s="134" t="inlineStr">
        <is>
          <t>Verified workbook issue</t>
        </is>
      </c>
      <c r="F14" s="134" t="inlineStr">
        <is>
          <t>Use Ranked Portfolio as the source of truth</t>
        </is>
      </c>
      <c r="G14" s="134" t="inlineStr">
        <is>
          <t>Todd</t>
        </is>
      </c>
      <c r="H14" s="135" t="n">
        <v>46248</v>
      </c>
    </row>
    <row r="15">
      <c r="A15" s="111" t="inlineStr">
        <is>
          <t>P1</t>
        </is>
      </c>
      <c r="B15" s="111" t="inlineStr">
        <is>
          <t>Five Guys</t>
        </is>
      </c>
      <c r="C15" s="111" t="inlineStr">
        <is>
          <t>Added outreach-governance risk, FSTEC status and internal funding-model guardrail</t>
        </is>
      </c>
      <c r="D15" s="111" t="inlineStr">
        <is>
          <t>Account shaping / coordinated access</t>
        </is>
      </c>
      <c r="E15" s="111" t="inlineStr">
        <is>
          <t>High RM; buying event unverified</t>
        </is>
      </c>
      <c r="F15" s="111" t="inlineStr">
        <is>
          <t>Centralize outreach through Todd and Avery; validate event and scope</t>
        </is>
      </c>
      <c r="G15" s="111" t="inlineStr">
        <is>
          <t>Todd / Avery Churchwell</t>
        </is>
      </c>
      <c r="H15" s="139" t="n">
        <v>46276.5</v>
      </c>
    </row>
    <row r="16">
      <c r="A16" s="111" t="inlineStr">
        <is>
          <t>P3</t>
        </is>
      </c>
      <c r="B16" s="111" t="inlineStr">
        <is>
          <t>Slim Chickens</t>
        </is>
      </c>
      <c r="C16" s="111" t="inlineStr">
        <is>
          <t>Added confirmed FSTEC relationship opening</t>
        </is>
      </c>
      <c r="D16" s="111" t="inlineStr">
        <is>
          <t>RDS-led relationship mapping</t>
        </is>
      </c>
      <c r="E16" s="111" t="inlineStr">
        <is>
          <t>High RM</t>
        </is>
      </c>
      <c r="F16" s="111" t="inlineStr">
        <is>
          <t>Connect attendee with Genius team and coordinate through RDS</t>
        </is>
      </c>
      <c r="G16" s="111" t="inlineStr">
        <is>
          <t>Avery / Todd / RDS</t>
        </is>
      </c>
      <c r="H16" s="139" t="n">
        <v>46276.5</v>
      </c>
    </row>
    <row r="17">
      <c r="A17" s="111" t="inlineStr">
        <is>
          <t>P3</t>
        </is>
      </c>
      <c r="B17" s="111" t="inlineStr">
        <is>
          <t>Freddy's</t>
        </is>
      </c>
      <c r="C17" s="111" t="inlineStr">
        <is>
          <t>Added no-response status and Genius World follow-through gap</t>
        </is>
      </c>
      <c r="D17" s="111" t="inlineStr">
        <is>
          <t>RDS-led watchlist</t>
        </is>
      </c>
      <c r="E17" s="111" t="inlineStr">
        <is>
          <t>High RM; no trigger</t>
        </is>
      </c>
      <c r="F17" s="111" t="inlineStr">
        <is>
          <t>Confirm RDS-to-Ryan follow-through and FSTEC attendance</t>
        </is>
      </c>
      <c r="G17" s="111" t="inlineStr">
        <is>
          <t>Avery / Todd / RDS</t>
        </is>
      </c>
      <c r="H17" s="139" t="n">
        <v>46276.5</v>
      </c>
    </row>
    <row r="18">
      <c r="A18" s="111" t="inlineStr">
        <is>
          <t>P3</t>
        </is>
      </c>
      <c r="B18" s="111" t="inlineStr">
        <is>
          <t>Red Robin</t>
        </is>
      </c>
      <c r="C18" s="111" t="inlineStr">
        <is>
          <t>Added improving-condition assessment</t>
        </is>
      </c>
      <c r="D18" s="111" t="inlineStr">
        <is>
          <t>Requalify timing</t>
        </is>
      </c>
      <c r="E18" s="111" t="inlineStr">
        <is>
          <t>Medium RM assessment</t>
        </is>
      </c>
      <c r="F18" s="111" t="inlineStr">
        <is>
          <t>Validate operating signal and customer trigger</t>
        </is>
      </c>
      <c r="G18" s="111" t="inlineStr">
        <is>
          <t>Avery Churchwell</t>
        </is>
      </c>
      <c r="H18" s="139" t="n">
        <v>46276.5</v>
      </c>
    </row>
    <row r="19">
      <c r="A19" s="111" t="inlineStr">
        <is>
          <t>P3</t>
        </is>
      </c>
      <c r="B19" s="111" t="inlineStr">
        <is>
          <t>Little Caesars</t>
        </is>
      </c>
      <c r="C19" s="111" t="inlineStr">
        <is>
          <t>Added stalled follow-up and active support-contact signal</t>
        </is>
      </c>
      <c r="D19" s="111" t="inlineStr">
        <is>
          <t>Relationship recovery</t>
        </is>
      </c>
      <c r="E19" s="111" t="inlineStr">
        <is>
          <t>High RM interaction</t>
        </is>
      </c>
      <c r="F19" s="111" t="inlineStr">
        <is>
          <t>Consolidate three open items and use support channel to re-engage</t>
        </is>
      </c>
      <c r="G19" s="111" t="inlineStr">
        <is>
          <t>Avery Churchwell</t>
        </is>
      </c>
      <c r="H19" s="139" t="n">
        <v>46276.5</v>
      </c>
    </row>
  </sheetData>
  <mergeCells count="2">
    <mergeCell ref="A2:H2"/>
    <mergeCell ref="A1:H1"/>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2026-09-04T19:35:55Z</dcterms:created>
  <dcterms:modified xmlns:dcterms="http://purl.org/dc/terms/" xmlns:xsi="http://www.w3.org/2001/XMLSchema-instance" xsi:type="dcterms:W3CDTF">2026-09-30T12:28:31Z</dcterms:modified>
</cp:coreProperties>
</file>