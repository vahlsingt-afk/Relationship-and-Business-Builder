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anked Portfolio" sheetId="3" state="visible" r:id="rId3"/>
    <sheet xmlns:r="http://schemas.openxmlformats.org/officeDocument/2006/relationships" name="Stack Intelligence" sheetId="4" state="visible" r:id="rId4"/>
    <sheet xmlns:r="http://schemas.openxmlformats.org/officeDocument/2006/relationships" name="Evidence Ledger" sheetId="5" state="visible" r:id="rId5"/>
    <sheet xmlns:r="http://schemas.openxmlformats.org/officeDocument/2006/relationships" name="Conflict Register" sheetId="6" state="visible" r:id="rId6"/>
    <sheet xmlns:r="http://schemas.openxmlformats.org/officeDocument/2006/relationships" name="RM Portfolio" sheetId="7" state="visible" r:id="rId7"/>
    <sheet xmlns:r="http://schemas.openxmlformats.org/officeDocument/2006/relationships" name="Scoring Model" sheetId="8" state="visible" r:id="rId8"/>
    <sheet xmlns:r="http://schemas.openxmlformats.org/officeDocument/2006/relationships" name="Worldpay Source Snapshot" sheetId="9" state="visible" r:id="rId9"/>
    <sheet xmlns:r="http://schemas.openxmlformats.org/officeDocument/2006/relationships" name="2026-08-14 Change Log" sheetId="10" state="visible" r:id="rId10"/>
  </sheets>
  <definedNames/>
</workbook>
</file>

<file path=xl/styles.xml><?xml version="1.0" encoding="utf-8"?>
<styleSheet xmlns="http://schemas.openxmlformats.org/spreadsheetml/2006/main">
  <numFmts count="3">
    <numFmt numFmtId="164" formatCode="0.0"/>
    <numFmt numFmtId="165" formatCode="yyyy\-mm\-dd"/>
    <numFmt numFmtId="166" formatCode="yyyy-mm-dd"/>
  </numFmts>
  <fonts count="13">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b val="1"/>
      <color rgb="FF6B7785"/>
      <sz val="10"/>
    </font>
    <font>
      <name val="Carlito"/>
      <b val="1"/>
      <color rgb="FF17324D"/>
      <sz val="20"/>
    </font>
    <font>
      <name val="Carlito"/>
      <b val="1"/>
      <color rgb="FFFFFFFF"/>
      <sz val="12"/>
    </font>
    <font>
      <name val="Carlito"/>
      <color rgb="FF24323D"/>
      <sz val="10"/>
    </font>
    <font>
      <name val="Carlito"/>
      <b val="1"/>
      <color rgb="FFFFFFFF"/>
      <sz val="20"/>
    </font>
    <font>
      <name val="Carlito"/>
      <i val="1"/>
      <color rgb="FF23313F"/>
      <sz val="10"/>
    </font>
    <font>
      <name val="Carlito"/>
      <i val="1"/>
      <color rgb="FF334155"/>
      <sz val="11"/>
    </font>
  </fonts>
  <fills count="14">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E8F1F5"/>
      </patternFill>
    </fill>
    <fill>
      <patternFill patternType="solid">
        <fgColor rgb="FFFCE0DC"/>
      </patternFill>
    </fill>
    <fill>
      <patternFill patternType="solid">
        <fgColor rgb="FF193854"/>
      </patternFill>
    </fill>
    <fill>
      <patternFill patternType="solid">
        <fgColor rgb="FFDCEAF3"/>
      </patternFill>
    </fill>
    <fill>
      <patternFill patternType="solid">
        <fgColor rgb="FF17324D"/>
      </patternFill>
    </fill>
    <fill>
      <patternFill patternType="solid">
        <fgColor rgb="FFDCEAF3"/>
      </patternFill>
    </fill>
    <fill>
      <patternFill patternType="solid">
        <fgColor rgb="FF247A96"/>
      </patternFill>
    </fill>
    <fill>
      <patternFill patternType="solid">
        <fgColor rgb="FFEAF5FA"/>
      </patternFill>
    </fill>
  </fills>
  <borders count="37">
    <border/>
    <border>
      <right style="thin">
        <color rgb="FFC7D3DD"/>
      </right>
    </border>
    <border>
      <left style="thin">
        <color rgb="FFC7D3DD"/>
      </left>
      <right style="thin">
        <color rgb="FFC7D3DD"/>
      </right>
    </border>
    <border>
      <left style="thin">
        <color rgb="FFC7D3DD"/>
      </left>
    </border>
    <border>
      <right style="thin">
        <color rgb="FFE1E7EC"/>
      </right>
      <bottom style="thin">
        <color rgb="FFE1E7EC"/>
      </bottom>
    </border>
    <border>
      <left style="thin">
        <color rgb="FFE1E7EC"/>
      </left>
      <right style="thin">
        <color rgb="FFE1E7EC"/>
      </right>
      <bottom style="thin">
        <color rgb="FFE1E7EC"/>
      </bottom>
    </border>
    <border>
      <left style="thin">
        <color rgb="FFE1E7EC"/>
      </left>
      <bottom style="thin">
        <color rgb="FFE1E7EC"/>
      </bottom>
    </border>
    <border>
      <right style="thin">
        <color rgb="FFE1E7EC"/>
      </right>
      <top style="thin">
        <color rgb="FFE1E7EC"/>
      </top>
      <bottom style="thin">
        <color rgb="FFE1E7EC"/>
      </bottom>
    </border>
    <border>
      <left style="thin">
        <color rgb="FFE1E7EC"/>
      </left>
      <right style="thin">
        <color rgb="FFE1E7EC"/>
      </right>
      <top style="thin">
        <color rgb="FFE1E7EC"/>
      </top>
      <bottom style="thin">
        <color rgb="FFE1E7EC"/>
      </bottom>
    </border>
    <border>
      <left style="thin">
        <color rgb="FFE1E7EC"/>
      </left>
      <top style="thin">
        <color rgb="FFE1E7EC"/>
      </top>
      <bottom style="thin">
        <color rgb="FFE1E7EC"/>
      </bottom>
    </border>
    <border>
      <right style="thin">
        <color rgb="FFE1E7EC"/>
      </right>
      <top style="thin">
        <color rgb="FFE1E7EC"/>
      </top>
    </border>
    <border>
      <left style="thin">
        <color rgb="FFE1E7EC"/>
      </left>
      <right style="thin">
        <color rgb="FFE1E7EC"/>
      </right>
      <top style="thin">
        <color rgb="FFE1E7EC"/>
      </top>
    </border>
    <border>
      <left style="thin">
        <color rgb="FFE1E7EC"/>
      </left>
      <top style="thin">
        <color rgb="FFE1E7EC"/>
      </top>
    </border>
    <border>
      <left style="thin">
        <color rgb="FFB8C8D3"/>
      </left>
      <top style="thin">
        <color rgb="FFB8C8D3"/>
      </top>
    </border>
    <border>
      <right style="thin">
        <color rgb="FFB8C8D3"/>
      </right>
      <top style="thin">
        <color rgb="FFB8C8D3"/>
      </top>
    </border>
    <border>
      <left style="thin">
        <color rgb="FFB8C8D3"/>
      </left>
      <bottom style="thin">
        <color rgb="FFB8C8D3"/>
      </bottom>
    </border>
    <border>
      <right style="thin">
        <color rgb="FFB8C8D3"/>
      </right>
      <bottom style="thin">
        <color rgb="FFB8C8D3"/>
      </bottom>
    </border>
    <border>
      <right style="thin">
        <color rgb="FFD8E0E6"/>
      </right>
      <bottom style="thin">
        <color rgb="FFD8E0E6"/>
      </bottom>
    </border>
    <border>
      <left style="thin">
        <color rgb="FFD8E0E6"/>
      </left>
      <right style="thin">
        <color rgb="FFD8E0E6"/>
      </right>
      <bottom style="thin">
        <color rgb="FFD8E0E6"/>
      </bottom>
    </border>
    <border>
      <left style="thin">
        <color rgb="FFD8E0E6"/>
      </left>
      <bottom style="thin">
        <color rgb="FFD8E0E6"/>
      </bottom>
    </border>
    <border>
      <right style="thin">
        <color rgb="FFD8E0E6"/>
      </right>
      <top style="thin">
        <color rgb="FFD8E0E6"/>
      </top>
      <bottom style="thin">
        <color rgb="FFD8E0E6"/>
      </bottom>
    </border>
    <border>
      <left style="thin">
        <color rgb="FFD8E0E6"/>
      </left>
      <right style="thin">
        <color rgb="FFD8E0E6"/>
      </right>
      <top style="thin">
        <color rgb="FFD8E0E6"/>
      </top>
      <bottom style="thin">
        <color rgb="FFD8E0E6"/>
      </bottom>
    </border>
    <border>
      <left style="thin">
        <color rgb="FFD8E0E6"/>
      </left>
      <top style="thin">
        <color rgb="FFD8E0E6"/>
      </top>
      <bottom style="thin">
        <color rgb="FFD8E0E6"/>
      </bottom>
    </border>
    <border>
      <right style="thin">
        <color rgb="FFD8E0E6"/>
      </right>
      <top style="thin">
        <color rgb="FFD8E0E6"/>
      </top>
    </border>
    <border>
      <left style="thin">
        <color rgb="FFD8E0E6"/>
      </left>
      <right style="thin">
        <color rgb="FFD8E0E6"/>
      </right>
      <top style="thin">
        <color rgb="FFD8E0E6"/>
      </top>
    </border>
    <border>
      <left style="thin">
        <color rgb="FFD8E0E6"/>
      </left>
      <top style="thin">
        <color rgb="FFD8E0E6"/>
      </top>
    </border>
    <border>
      <bottom style="thin">
        <color rgb="FFD9E2E8"/>
      </bottom>
    </border>
    <border>
      <top style="thin">
        <color rgb="FFD9E2E8"/>
      </top>
      <bottom style="thin">
        <color rgb="FFD9E2E8"/>
      </bottom>
    </border>
    <border>
      <top style="thin">
        <color rgb="FFD9E2E8"/>
      </top>
    </border>
    <border>
      <top style="thin">
        <color rgb="FFD8E0E6"/>
      </top>
    </border>
    <border>
      <right style="thin">
        <color rgb="FFD8E0E6"/>
      </right>
    </border>
    <border>
      <bottom style="thin">
        <color rgb="FFD8E0E6"/>
      </bottom>
    </border>
    <border>
      <top style="thin">
        <color rgb="FFD8E0E6"/>
      </top>
      <bottom style="thin">
        <color rgb="FFD8E0E6"/>
      </bottom>
    </border>
    <border>
      <left style="thin">
        <color rgb="FFB8C8D3"/>
      </left>
      <right style="thin">
        <color rgb="FFB8C8D3"/>
      </right>
      <top style="thin">
        <color rgb="FFB8C8D3"/>
      </top>
    </border>
    <border>
      <top style="thin">
        <color rgb="FFB8C8D3"/>
      </top>
    </border>
    <border>
      <left style="thin">
        <color rgb="FFB8C8D3"/>
      </left>
      <right style="thin">
        <color rgb="FFB8C8D3"/>
      </right>
      <bottom style="thin">
        <color rgb="FFB8C8D3"/>
      </bottom>
    </border>
    <border>
      <right style="thin">
        <color rgb="FFB8C8D3"/>
      </right>
    </border>
  </borders>
  <cellStyleXfs count="1">
    <xf numFmtId="0" fontId="0" fillId="0" borderId="0"/>
  </cellStyleXfs>
  <cellXfs count="140">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 fontId="4" fillId="0" borderId="5" applyAlignment="1" pivotButton="0" quotePrefix="0" xfId="0">
      <alignment vertical="top" wrapText="1"/>
    </xf>
    <xf numFmtId="1" fontId="4" fillId="0" borderId="8" applyAlignment="1" pivotButton="0" quotePrefix="0" xfId="0">
      <alignment vertical="top" wrapText="1"/>
    </xf>
    <xf numFmtId="1"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164" fontId="4" fillId="0" borderId="6" applyAlignment="1" pivotButton="0" quotePrefix="0" xfId="0">
      <alignment vertical="top" wrapText="1"/>
    </xf>
    <xf numFmtId="164" fontId="4" fillId="0" borderId="9" applyAlignment="1" pivotButton="0" quotePrefix="0" xfId="0">
      <alignment vertical="top" wrapText="1"/>
    </xf>
    <xf numFmtId="164"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wrapText="1"/>
    </xf>
    <xf numFmtId="165" fontId="0" fillId="0" borderId="0" applyAlignment="1" pivotButton="0" quotePrefix="0" xfId="0">
      <alignment wrapText="1"/>
    </xf>
    <xf numFmtId="0" fontId="3" fillId="12" borderId="0" applyAlignment="1" pivotButton="0" quotePrefix="0" xfId="0">
      <alignment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9" fontId="0" fillId="0" borderId="0" applyAlignment="1" pivotButton="0" quotePrefix="0" xfId="0">
      <alignment wrapText="1"/>
    </xf>
    <xf numFmtId="0" fontId="10" fillId="8" borderId="0" applyAlignment="1" pivotButton="0" quotePrefix="0" xfId="0">
      <alignment horizontal="left" vertical="center"/>
    </xf>
    <xf numFmtId="0" fontId="11" fillId="9" borderId="0" applyAlignment="1" pivotButton="0" quotePrefix="0" xfId="0">
      <alignment vertical="center" wrapText="1"/>
    </xf>
    <xf numFmtId="0" fontId="11" fillId="9" borderId="0" applyAlignment="1" pivotButton="0" quotePrefix="0" xfId="0">
      <alignment vertical="center"/>
    </xf>
    <xf numFmtId="0" fontId="9" fillId="5" borderId="20" applyAlignment="1" pivotButton="0" quotePrefix="0" xfId="0">
      <alignment vertical="top" wrapText="1"/>
    </xf>
    <xf numFmtId="0" fontId="9" fillId="5" borderId="21" applyAlignment="1" pivotButton="0" quotePrefix="0" xfId="0">
      <alignment vertical="top" wrapText="1"/>
    </xf>
    <xf numFmtId="0" fontId="9" fillId="5" borderId="22" applyAlignment="1" pivotButton="0" quotePrefix="0" xfId="0">
      <alignment vertical="top" wrapText="1"/>
    </xf>
    <xf numFmtId="0" fontId="9" fillId="5" borderId="23" applyAlignment="1" pivotButton="0" quotePrefix="0" xfId="0">
      <alignment vertical="top" wrapText="1"/>
    </xf>
    <xf numFmtId="0" fontId="9" fillId="5" borderId="24" applyAlignment="1" pivotButton="0" quotePrefix="0" xfId="0">
      <alignment vertical="top" wrapText="1"/>
    </xf>
    <xf numFmtId="0" fontId="9" fillId="5" borderId="25" applyAlignment="1" pivotButton="0" quotePrefix="0" xfId="0">
      <alignment vertical="top" wrapText="1"/>
    </xf>
    <xf numFmtId="0" fontId="8" fillId="2" borderId="0" pivotButton="0" quotePrefix="0" xfId="0"/>
    <xf numFmtId="0" fontId="0" fillId="0" borderId="0" pivotButton="0" quotePrefix="0" xfId="0"/>
    <xf numFmtId="0" fontId="9" fillId="5" borderId="17" applyAlignment="1" pivotButton="0" quotePrefix="0" xfId="0">
      <alignment vertical="top" wrapText="1"/>
    </xf>
    <xf numFmtId="0" fontId="9" fillId="5" borderId="18" applyAlignment="1" pivotButton="0" quotePrefix="0" xfId="0">
      <alignment vertical="top" wrapText="1"/>
    </xf>
    <xf numFmtId="0" fontId="9" fillId="5" borderId="19"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6" fillId="6" borderId="13" applyAlignment="1" pivotButton="0" quotePrefix="0" xfId="0">
      <alignment horizontal="center" vertical="center"/>
    </xf>
    <xf numFmtId="0" fontId="0" fillId="6" borderId="14" applyAlignment="1" pivotButton="0" quotePrefix="0" xfId="0">
      <alignment horizontal="center" vertical="center"/>
    </xf>
    <xf numFmtId="0" fontId="7" fillId="6" borderId="15" applyAlignment="1" pivotButton="0" quotePrefix="0" xfId="0">
      <alignment horizontal="center" vertical="center"/>
    </xf>
    <xf numFmtId="0" fontId="0" fillId="6" borderId="16" applyAlignment="1" pivotButton="0" quotePrefix="0" xfId="0">
      <alignment horizontal="center" vertical="center"/>
    </xf>
    <xf numFmtId="0" fontId="6" fillId="7" borderId="13" applyAlignment="1" pivotButton="0" quotePrefix="0" xfId="0">
      <alignment horizontal="center" vertical="center"/>
    </xf>
    <xf numFmtId="0" fontId="0" fillId="7" borderId="14" applyAlignment="1" pivotButton="0" quotePrefix="0" xfId="0">
      <alignment horizontal="center" vertical="center"/>
    </xf>
    <xf numFmtId="0" fontId="7" fillId="7" borderId="15" applyAlignment="1" pivotButton="0" quotePrefix="0" xfId="0">
      <alignment horizontal="center" vertical="center"/>
    </xf>
    <xf numFmtId="0" fontId="0" fillId="7" borderId="16" applyAlignment="1" pivotButton="0" quotePrefix="0" xfId="0">
      <alignment horizontal="center" vertical="center"/>
    </xf>
    <xf numFmtId="0" fontId="3" fillId="10" borderId="0" pivotButton="0" quotePrefix="0" xfId="0"/>
    <xf numFmtId="0" fontId="12" fillId="11" borderId="0" applyAlignment="1" pivotButton="0" quotePrefix="0" xfId="0">
      <alignment wrapText="1"/>
    </xf>
    <xf numFmtId="0" fontId="0" fillId="0" borderId="31" pivotButton="0" quotePrefix="0" xfId="0"/>
    <xf numFmtId="0" fontId="0" fillId="0" borderId="17" pivotButton="0" quotePrefix="0" xfId="0"/>
    <xf numFmtId="0" fontId="0" fillId="0" borderId="32" pivotButton="0" quotePrefix="0" xfId="0"/>
    <xf numFmtId="0" fontId="0" fillId="0" borderId="20" pivotButton="0" quotePrefix="0" xfId="0"/>
    <xf numFmtId="0" fontId="0" fillId="0" borderId="29" pivotButton="0" quotePrefix="0" xfId="0"/>
    <xf numFmtId="0" fontId="0" fillId="0" borderId="23" pivotButton="0" quotePrefix="0" xfId="0"/>
    <xf numFmtId="0" fontId="6" fillId="6" borderId="33" applyAlignment="1" pivotButton="0" quotePrefix="0" xfId="0">
      <alignment horizontal="center" vertical="center"/>
    </xf>
    <xf numFmtId="0" fontId="0" fillId="0" borderId="14" pivotButton="0" quotePrefix="0" xfId="0"/>
    <xf numFmtId="0" fontId="6" fillId="7" borderId="33" applyAlignment="1" pivotButton="0" quotePrefix="0" xfId="0">
      <alignment horizontal="center" vertical="center"/>
    </xf>
    <xf numFmtId="0" fontId="7" fillId="6" borderId="35" applyAlignment="1" pivotButton="0" quotePrefix="0" xfId="0">
      <alignment horizontal="center" vertical="center"/>
    </xf>
    <xf numFmtId="0" fontId="0" fillId="0" borderId="16" pivotButton="0" quotePrefix="0" xfId="0"/>
    <xf numFmtId="0" fontId="7" fillId="7" borderId="35" applyAlignment="1" pivotButton="0" quotePrefix="0" xfId="0">
      <alignment horizontal="center" vertical="center"/>
    </xf>
    <xf numFmtId="166" fontId="0" fillId="0" borderId="0" applyAlignment="1" pivotButton="0" quotePrefix="0" xfId="0">
      <alignment wrapText="1"/>
    </xf>
    <xf numFmtId="166"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1"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164" fontId="4" fillId="0" borderId="8" applyAlignment="1" pivotButton="0" quotePrefix="0" xfId="0">
      <alignment vertical="top" wrapText="1"/>
    </xf>
    <xf numFmtId="1"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164" fontId="4" fillId="0" borderId="11" applyAlignment="1" pivotButton="0" quotePrefix="0" xfId="0">
      <alignment vertical="top" wrapText="1"/>
    </xf>
    <xf numFmtId="1" fontId="4" fillId="0" borderId="11" applyAlignment="1" pivotButton="0" quotePrefix="0" xfId="0">
      <alignment vertical="top" wrapText="1"/>
    </xf>
    <xf numFmtId="0" fontId="4" fillId="0" borderId="12"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4" fillId="0" borderId="5" applyAlignment="1" pivotButton="0" quotePrefix="0" xfId="0">
      <alignment vertical="top" wrapText="1"/>
    </xf>
    <xf numFmtId="165" fontId="4" fillId="0" borderId="6" applyAlignment="1" pivotButton="0" quotePrefix="0" xfId="0">
      <alignment vertical="top" wrapText="1"/>
    </xf>
    <xf numFmtId="165" fontId="4" fillId="0" borderId="8" applyAlignment="1" pivotButton="0" quotePrefix="0" xfId="0">
      <alignment vertical="top" wrapText="1"/>
    </xf>
    <xf numFmtId="165" fontId="4" fillId="0" borderId="9" applyAlignment="1" pivotButton="0" quotePrefix="0" xfId="0">
      <alignment vertical="top" wrapText="1"/>
    </xf>
    <xf numFmtId="165" fontId="4" fillId="0" borderId="11" applyAlignment="1" pivotButton="0" quotePrefix="0" xfId="0">
      <alignment vertical="top" wrapText="1"/>
    </xf>
    <xf numFmtId="165" fontId="4" fillId="0" borderId="12" applyAlignment="1" pivotButton="0" quotePrefix="0" xfId="0">
      <alignment vertical="top" wrapText="1"/>
    </xf>
    <xf numFmtId="165" fontId="0" fillId="0" borderId="0" applyAlignment="1" pivotButton="0" quotePrefix="0" xfId="0">
      <alignment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wrapText="1"/>
    </xf>
    <xf numFmtId="0" fontId="12" fillId="9" borderId="0" applyAlignment="1" pivotButton="0" quotePrefix="0" xfId="0">
      <alignment wrapText="1"/>
    </xf>
    <xf numFmtId="0" fontId="3" fillId="12" borderId="0" applyAlignment="1" pivotButton="0" quotePrefix="0" xfId="0">
      <alignment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3" fillId="2" borderId="0" applyAlignment="1" pivotButton="0" quotePrefix="0" xfId="0">
      <alignment vertical="top" wrapText="1"/>
    </xf>
    <xf numFmtId="0" fontId="12" fillId="9" borderId="0" applyAlignment="1" pivotButton="0" quotePrefix="0" xfId="0">
      <alignment vertical="top" wrapText="1"/>
    </xf>
    <xf numFmtId="0" fontId="3" fillId="12" borderId="0" applyAlignment="1" pivotButton="0" quotePrefix="0" xfId="0">
      <alignment vertical="top" wrapText="1"/>
    </xf>
    <xf numFmtId="166" fontId="0" fillId="0" borderId="0" applyAlignment="1" pivotButton="0" quotePrefix="0" xfId="0">
      <alignment vertical="top" wrapText="1"/>
    </xf>
  </cellXfs>
  <cellStyles count="1">
    <cellStyle name="Normal" xf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Highest-priority accounts</a:t>
            </a:r>
          </a:p>
        </rich>
      </tx>
      <overlay val="0"/>
    </title>
    <plotArea>
      <barChart>
        <barDir val="col"/>
        <grouping val="clustered"/>
        <varyColors val="0"/>
        <ser>
          <idx val="0"/>
          <order val="0"/>
          <tx>
            <v>Score</v>
          </tx>
          <spPr>
            <a:ln xmlns:a="http://schemas.openxmlformats.org/drawingml/2006/main">
              <a:prstDash val="solid"/>
            </a:ln>
          </spPr>
          <cat>
            <strRef>
              <f>Dashboard!$A$10:$A$21</f>
              <strCache>
                <ptCount val="12"/>
                <pt idx="0">
                  <v>DEL TACO LLC</v>
                </pt>
                <pt idx="1">
                  <v>FIVE GUYS</v>
                </pt>
                <pt idx="2">
                  <v>Focus Brands (GoTo Foods)</v>
                </pt>
                <pt idx="3">
                  <v>SUBWAY</v>
                </pt>
                <pt idx="4">
                  <v>THE STEAK N SHAKE CO</v>
                </pt>
                <pt idx="5">
                  <v>CHOICE HOTELS</v>
                </pt>
                <pt idx="6">
                  <v>RDS FIVE-UNIT REBRAND PILOT</v>
                </pt>
                <pt idx="7">
                  <v>POLLO CAMPERO</v>
                </pt>
                <pt idx="8">
                  <v>EAT'N PARK HOSPITALITY GRP INC</v>
                </pt>
                <pt idx="9">
                  <v>FREDDY'S FROZEN CUSTARD LLC</v>
                </pt>
                <pt idx="10">
                  <v>PAPA JOHN'S USA, INC.</v>
                </pt>
                <pt idx="11">
                  <v>CRACKER BARREL OLD COUNTRY STORE, INC.</v>
                </pt>
              </strCache>
            </strRef>
          </cat>
          <val>
            <numRef>
              <f>Dashboard!$B$10:$B$21</f>
              <numCache>
                <formatCode>0.0</formatCode>
                <ptCount val="12"/>
                <pt idx="0">
                  <v>83</v>
                </pt>
                <pt idx="1">
                  <v>82</v>
                </pt>
                <pt idx="2">
                  <v>81</v>
                </pt>
                <pt idx="3">
                  <v>79</v>
                </pt>
                <pt idx="4">
                  <v>76</v>
                </pt>
                <pt idx="5">
                  <v>75</v>
                </pt>
                <pt idx="6">
                  <v>74</v>
                </pt>
                <pt idx="7">
                  <v>72</v>
                </pt>
                <pt idx="8">
                  <v>64</v>
                </pt>
                <pt idx="9">
                  <v>63</v>
                </pt>
                <pt idx="10">
                  <v>62</v>
                </pt>
                <pt idx="11">
                  <v>61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0.0"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Accounts by RM / route</a:t>
            </a:r>
          </a:p>
        </rich>
      </tx>
      <overlay val="0"/>
    </title>
    <plotArea>
      <barChart>
        <barDir val="col"/>
        <grouping val="clustered"/>
        <varyColors val="0"/>
        <ser>
          <idx val="0"/>
          <order val="0"/>
          <tx>
            <v>Opportunities</v>
          </tx>
          <spPr>
            <a:ln xmlns:a="http://schemas.openxmlformats.org/drawingml/2006/main">
              <a:prstDash val="solid"/>
            </a:ln>
          </spPr>
          <cat>
            <strRef>
              <f>Dashboard!$D$10:$D$15</f>
              <strCache>
                <ptCount val="6"/>
                <pt idx="0">
                  <v>Avery Churchwell</v>
                </pt>
                <pt idx="1">
                  <v>Brian Wood</v>
                </pt>
                <pt idx="2">
                  <v>Maggie Lenhart</v>
                </pt>
                <pt idx="3">
                  <v>Stacie Davis</v>
                </pt>
                <pt idx="4">
                  <v>RDS / Darren Heinze</v>
                </pt>
                <pt idx="5">
                  <v>Unassigned / Worldpay</v>
                </pt>
              </strCache>
            </strRef>
          </cat>
          <val>
            <numRef>
              <f>Dashboard!$E$10:$E$15</f>
              <numCache>
                <formatCode>General</formatCode>
                <ptCount val="6"/>
                <pt idx="0">
                  <v>11</v>
                </pt>
                <pt idx="1">
                  <v>8</v>
                </pt>
                <pt idx="2">
                  <v>6</v>
                </pt>
                <pt idx="3">
                  <v>3</v>
                </pt>
                <pt idx="4">
                  <v>1</v>
                </pt>
                <pt idx="5">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Incumbent lifecycle posture</a:t>
            </a:r>
          </a:p>
        </rich>
      </tx>
      <overlay val="0"/>
    </title>
    <plotArea>
      <pieChart>
        <varyColors val="1"/>
        <ser>
          <idx val="0"/>
          <order val="0"/>
          <tx>
            <v>Opportunities</v>
          </tx>
          <spPr>
            <a:ln xmlns:a="http://schemas.openxmlformats.org/drawingml/2006/main">
              <a:prstDash val="solid"/>
            </a:ln>
          </spPr>
          <cat>
            <strRef>
              <f>Dashboard!$G$10:$G$14</f>
              <strCache>
                <ptCount val="5"/>
                <pt idx="0">
                  <v>Mature/Aging</v>
                </pt>
                <pt idx="1">
                  <v>Deploying/New</v>
                </pt>
                <pt idx="2">
                  <v>Other/Mixed</v>
                </pt>
                <pt idx="3">
                  <v>Established</v>
                </pt>
                <pt idx="4">
                  <v>Proprietary</v>
                </pt>
              </strCache>
            </strRef>
          </cat>
          <val>
            <numRef>
              <f>Dashboard!$H$10:$H$14</f>
              <numCache>
                <formatCode>General</formatCode>
                <ptCount val="5"/>
                <pt idx="0">
                  <v>4</v>
                </pt>
                <pt idx="1">
                  <v>6</v>
                </pt>
                <pt idx="2">
                  <v>6</v>
                </pt>
                <pt idx="3">
                  <v>11</v>
                </pt>
                <pt idx="4">
                  <v>3</v>
                </pt>
              </numCache>
            </numRef>
          </val>
        </ser>
        <dLbls>
          <showLegendKey val="0"/>
          <showVal val="0"/>
          <showCatName val="0"/>
          <showSerName val="0"/>
          <showPercent val="0"/>
          <showBubbleSize val="0"/>
          <showLeaderLines val="1"/>
        </dLbls>
        <firstSliceAng val="0"/>
      </pieChart>
    </plotArea>
    <legend>
      <legendPos val="b"/>
      <overlay val="0"/>
    </legend>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Opportunity motion</a:t>
            </a:r>
          </a:p>
        </rich>
      </tx>
      <overlay val="0"/>
    </title>
    <plotArea>
      <barChart>
        <barDir val="col"/>
        <grouping val="clustered"/>
        <varyColors val="0"/>
        <ser>
          <idx val="0"/>
          <order val="0"/>
          <tx>
            <v>Opportunities</v>
          </tx>
          <spPr>
            <a:ln xmlns:a="http://schemas.openxmlformats.org/drawingml/2006/main">
              <a:prstDash val="solid"/>
            </a:ln>
          </spPr>
          <cat>
            <strRef>
              <f>Dashboard!$J$10:$J$13</f>
              <strCache>
                <ptCount val="4"/>
                <pt idx="0">
                  <v>POS-led</v>
                </pt>
                <pt idx="1">
                  <v>Adjacent-led</v>
                </pt>
                <pt idx="2">
                  <v>Discovery/other</v>
                </pt>
                <pt idx="3">
                  <v>Win-back</v>
                </pt>
              </strCache>
            </strRef>
          </cat>
          <val>
            <numRef>
              <f>Dashboard!$K$10:$K$13</f>
              <numCache>
                <formatCode>General</formatCode>
                <ptCount val="4"/>
                <pt idx="0">
                  <v>7</v>
                </pt>
                <pt idx="1">
                  <v>8</v>
                </pt>
                <pt idx="2">
                  <v>14</v>
                </pt>
                <pt idx="3">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Technology-stack verification coverage</a:t>
            </a:r>
          </a:p>
        </rich>
      </tx>
      <overlay val="0"/>
    </title>
    <plotArea>
      <barChart>
        <barDir val="col"/>
        <grouping val="clustered"/>
        <varyColors val="0"/>
        <ser>
          <idx val="0"/>
          <order val="0"/>
          <tx>
            <v>Named vendor / scope</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Dashboard!$B$26:$B$34</f>
              <numCache>
                <formatCode>General</formatCode>
                <ptCount val="9"/>
                <pt idx="0">
                  <v>31</v>
                </pt>
                <pt idx="1">
                  <v>30</v>
                </pt>
                <pt idx="2">
                  <v>30</v>
                </pt>
                <pt idx="3">
                  <v>2</v>
                </pt>
                <pt idx="4">
                  <v>3</v>
                </pt>
                <pt idx="5">
                  <v>13</v>
                </pt>
                <pt idx="6">
                  <v>1</v>
                </pt>
                <pt idx="7">
                  <v>1</v>
                </pt>
                <pt idx="8">
                  <v>20</v>
                </pt>
              </numCache>
            </numRef>
          </val>
        </ser>
        <ser>
          <idx val="1"/>
          <order val="1"/>
          <tx>
            <v>Unverified / gap</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Dashboard!$C$26:$C$34</f>
              <numCache>
                <formatCode>General</formatCode>
                <ptCount val="9"/>
                <pt idx="0">
                  <v>1</v>
                </pt>
                <pt idx="1">
                  <v>2</v>
                </pt>
                <pt idx="2">
                  <v>2</v>
                </pt>
                <pt idx="3">
                  <v>30</v>
                </pt>
                <pt idx="4">
                  <v>29</v>
                </pt>
                <pt idx="5">
                  <v>19</v>
                </pt>
                <pt idx="6">
                  <v>31</v>
                </pt>
                <pt idx="7">
                  <v>31</v>
                </pt>
                <pt idx="8">
                  <v>12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omments/comment1.xml><?xml version="1.0" encoding="utf-8"?>
<comments xmlns="http://schemas.openxmlformats.org/spreadsheetml/2006/main">
  <authors>
    <author>tc={C63431F5-303C-9D75-A670-6BDB6561D22E}</author>
    <author>tc={F809DE46-53FD-A48E-0876-F2DF04598070}</author>
    <author>tc={DCD780D1-0589-CEE6-16A6-797F02588972}</author>
    <author>tc={806A4198-2E03-BB35-60FE-4967B5BB57B3}</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6" authorId="1"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8" authorId="2"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23" authorId="3"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0</col>
      <colOff>0</colOff>
      <row>36</row>
      <rowOff>0</rowOff>
    </from>
    <to>
      <col>7</col>
      <colOff>0</colOff>
      <row>55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36</row>
      <rowOff>0</rowOff>
    </from>
    <to>
      <col>14</col>
      <colOff>0</colOff>
      <row>55</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56</row>
      <rowOff>0</rowOff>
    </from>
    <to>
      <col>7</col>
      <colOff>0</colOff>
      <row>75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56</row>
      <rowOff>0</rowOff>
    </from>
    <to>
      <col>14</col>
      <colOff>0</colOff>
      <row>75</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76</row>
      <rowOff>0</rowOff>
    </from>
    <to>
      <col>14</col>
      <colOff>0</colOff>
      <row>97</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ables/table1.xml><?xml version="1.0" encoding="utf-8"?>
<table xmlns="http://schemas.openxmlformats.org/spreadsheetml/2006/main" id="1" name="RankedPortfolioTable" displayName="RankedPortfolioTable" ref="A4:V34" headerRowCount="1" totalsRowShown="0">
  <tableColumns count="22">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s>
  <tableStyleInfo name="TableStyleMedium2" showFirstColumn="0" showLastColumn="0" showRowStripes="1" showColumnStripes="0"/>
</table>
</file>

<file path=xl/tables/table2.xml><?xml version="1.0" encoding="utf-8"?>
<table xmlns="http://schemas.openxmlformats.org/spreadsheetml/2006/main" id="2"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3.xml><?xml version="1.0" encoding="utf-8"?>
<table xmlns="http://schemas.openxmlformats.org/spreadsheetml/2006/main" id="3" name="EvidenceTable" displayName="EvidenceTable" ref="A4:J74" headerRowCount="1" totalsRowCount="0"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4.xml><?xml version="1.0" encoding="utf-8"?>
<table xmlns="http://schemas.openxmlformats.org/spreadsheetml/2006/main" id="4"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5.xml><?xml version="1.0" encoding="utf-8"?>
<table xmlns="http://schemas.openxmlformats.org/spreadsheetml/2006/main" id="5"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6.xml><?xml version="1.0" encoding="utf-8"?>
<table xmlns="http://schemas.openxmlformats.org/spreadsheetml/2006/main" id="6"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7.xml><?xml version="1.0" encoding="utf-8"?>
<table xmlns="http://schemas.openxmlformats.org/spreadsheetml/2006/main" id="7" name="WorldpayChangeLogTable" displayName="WorldpayChangeLogTable" ref="A4:H19" headerRowCount="1" totalsRowCount="0"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10" defaultColWidth="8.83203125" defaultRowHeight="14"/>
  <cols>
    <col width="22" customWidth="1" style="59" min="1" max="1"/>
    <col width="45" customWidth="1" style="59" min="2" max="2"/>
    <col width="10" customWidth="1" style="59" min="3" max="3"/>
    <col width="18" customWidth="1" style="59" min="4" max="4"/>
    <col width="30" customWidth="1" style="59" min="5" max="5"/>
    <col width="70" customWidth="1" style="59" min="6" max="6"/>
  </cols>
  <sheetData>
    <row r="1" ht="34" customHeight="1" s="59">
      <c r="A1" s="49" t="inlineStr">
        <is>
          <t>Executive Summary — Worldpay Master Account Plan | 2026-09-04</t>
        </is>
      </c>
      <c r="G1" s="63" t="n"/>
      <c r="H1" s="63" t="n"/>
    </row>
    <row r="2" ht="24" customHeight="1" s="59">
      <c r="A2" s="50" t="inlineStr">
        <is>
          <t>Research and account intelligence refreshed through 2026-09-04 | 30 opportunity accounts plus 2 managed/excluded accounts | Scores and tiers unchanged pending human review</t>
        </is>
      </c>
    </row>
    <row r="4" ht="28" customHeight="1" s="59">
      <c r="A4" s="92" t="inlineStr">
        <is>
          <t>Portfolio Signal</t>
        </is>
      </c>
      <c r="B4" s="94" t="inlineStr">
        <is>
          <t>Current Read</t>
        </is>
      </c>
    </row>
    <row r="5" ht="26" customHeight="1" s="59">
      <c r="A5" s="95" t="inlineStr">
        <is>
          <t>#1 priority</t>
        </is>
      </c>
      <c r="B5" s="99" t="inlineStr">
        <is>
          <t>Del Taco — complete extension, consolidate GP leads and validate the post-Yadav technology/consolidation event</t>
        </is>
      </c>
    </row>
    <row r="6" ht="26" customHeight="1" s="59">
      <c r="A6" s="100" t="inlineStr">
        <is>
          <t>#2 priority</t>
        </is>
      </c>
      <c r="B6" s="104" t="inlineStr">
        <is>
          <t>Five Guys — centralize outreach through Todd and Avery, use FSTEC for relationship-led access, and validate the buying event before presenting any funding model</t>
        </is>
      </c>
    </row>
    <row r="7" ht="26" customHeight="1" s="59">
      <c r="A7" s="100" t="inlineStr">
        <is>
          <t>Channel pilot</t>
        </is>
      </c>
      <c r="B7" s="104" t="inlineStr">
        <is>
          <t>RDS five-unit rebrand — qualify the clean-slate pilot, protection rules and reseller operating model before Genius World</t>
        </is>
      </c>
    </row>
    <row r="8" ht="26" customHeight="1" s="59">
      <c r="A8" s="100" t="inlineStr">
        <is>
          <t>Scope verification</t>
        </is>
      </c>
      <c r="B8" s="104" t="inlineStr">
        <is>
          <t>Subway — replace the prior DMB assumption with reported global Genius KDS; verify product, sites, owner and commitments</t>
        </is>
      </c>
    </row>
    <row r="9" ht="26" customHeight="1" s="59">
      <c r="A9" s="105" t="inlineStr">
        <is>
          <t>Watchlist guardrail</t>
        </is>
      </c>
      <c r="B9" s="109" t="inlineStr">
        <is>
          <t>Freddy's and Slim Chickens are RDS-led/no-direct-outreach; Papa Johns is deployment/adjacency watch, not POS displacement</t>
        </is>
      </c>
    </row>
    <row r="12" ht="28" customHeight="1" s="59">
      <c r="A12" s="92" t="inlineStr">
        <is>
          <t>Rank</t>
        </is>
      </c>
      <c r="B12" s="93" t="inlineStr">
        <is>
          <t>Account</t>
        </is>
      </c>
      <c r="C12" s="93" t="inlineStr">
        <is>
          <t>Score</t>
        </is>
      </c>
      <c r="D12" s="93" t="inlineStr">
        <is>
          <t>RM</t>
        </is>
      </c>
      <c r="E12" s="93" t="inlineStr">
        <is>
          <t>Opportunity Motion</t>
        </is>
      </c>
      <c r="F12" s="94" t="inlineStr">
        <is>
          <t>Immediate Action</t>
        </is>
      </c>
    </row>
    <row r="13" ht="26" customHeight="1" s="59">
      <c r="A13" s="95" t="n">
        <v>1</v>
      </c>
      <c r="B13" s="96" t="inlineStr">
        <is>
          <t>DEL TACO LLC</t>
        </is>
      </c>
      <c r="C13" s="97" t="n">
        <v>83</v>
      </c>
      <c r="D13" s="96" t="inlineStr">
        <is>
          <t>Maggie Lenhart</t>
        </is>
      </c>
      <c r="E13" s="96" t="inlineStr">
        <is>
          <t>POS/payments + multi-brand consolidation</t>
        </is>
      </c>
      <c r="F13" s="99" t="inlineStr">
        <is>
          <t>Complete the extension, consolidate all GP leads, map Yadav technology governance and confirm any sourcing or vendor-consolidation event.</t>
        </is>
      </c>
    </row>
    <row r="14" ht="26" customHeight="1" s="59">
      <c r="A14" s="100" t="n">
        <v>2</v>
      </c>
      <c r="B14" s="101" t="inlineStr">
        <is>
          <t>FIVE GUYS</t>
        </is>
      </c>
      <c r="C14" s="102" t="n">
        <v>82</v>
      </c>
      <c r="D14" s="101" t="inlineStr">
        <is>
          <t>Avery Churchwell</t>
        </is>
      </c>
      <c r="E14" s="101" t="inlineStr">
        <is>
          <t>Pre-RFP shaping + transaction-metered POS feasibility</t>
        </is>
      </c>
      <c r="F14" s="104"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row>
    <row r="15" ht="26" customHeight="1" s="59">
      <c r="A15" s="100" t="n">
        <v>3</v>
      </c>
      <c r="B15" s="101" t="inlineStr">
        <is>
          <t>Focus Brands (GoTo Foods)</t>
        </is>
      </c>
      <c r="C15" s="102" t="n">
        <v>81</v>
      </c>
      <c r="D15" s="101" t="inlineStr">
        <is>
          <t>Brian Wood</t>
        </is>
      </c>
      <c r="E15" s="101" t="inlineStr">
        <is>
          <t>DMB-led adjacency + payments defense</t>
        </is>
      </c>
      <c r="F15" s="104" t="inlineStr">
        <is>
          <t>Map DMB/CMS and buying center; quantify uncovered adjacencies and defend payments without positioning a near-term POS displacement.</t>
        </is>
      </c>
    </row>
    <row r="16" ht="26" customHeight="1" s="59">
      <c r="A16" s="100" t="n">
        <v>4</v>
      </c>
      <c r="B16" s="101" t="inlineStr">
        <is>
          <t>SUBWAY</t>
        </is>
      </c>
      <c r="C16" s="102" t="n">
        <v>79</v>
      </c>
      <c r="D16" s="101" t="inlineStr">
        <is>
          <t>Stacie Davis</t>
        </is>
      </c>
      <c r="E16" s="101" t="inlineStr">
        <is>
          <t>Existing Genius KDS scope verification + relationship map</t>
        </is>
      </c>
      <c r="F16" s="104" t="inlineStr">
        <is>
          <t>Confirm the Genius product owner, KDS sites, deployment status, commitments and customer sponsor before proposing any additional adjacency.</t>
        </is>
      </c>
    </row>
    <row r="17" ht="26" customHeight="1" s="59">
      <c r="A17" s="100" t="n">
        <v>5</v>
      </c>
      <c r="B17" s="101" t="inlineStr">
        <is>
          <t>THE STEAK N SHAKE CO</t>
        </is>
      </c>
      <c r="C17" s="102" t="n">
        <v>76</v>
      </c>
      <c r="D17" s="101" t="inlineStr">
        <is>
          <t>Maggie Lenhart</t>
        </is>
      </c>
      <c r="E17" s="101" t="inlineStr">
        <is>
          <t>Kiosk integration recovery + digital adjacency</t>
        </is>
      </c>
      <c r="F17" s="104" t="inlineStr">
        <is>
          <t>Name the kiosk vendor and owners; document certification, NCR reporting and mobile-app issues with dated remediation milestones.</t>
        </is>
      </c>
    </row>
    <row r="18" ht="26" customHeight="1" s="59">
      <c r="A18" s="100" t="n">
        <v>6</v>
      </c>
      <c r="B18" s="101" t="inlineStr">
        <is>
          <t>CHOICE HOTELS</t>
        </is>
      </c>
      <c r="C18" s="102" t="n">
        <v>75</v>
      </c>
      <c r="D18" s="101" t="inlineStr">
        <is>
          <t>Brian Wood</t>
        </is>
      </c>
      <c r="E18" s="101" t="inlineStr">
        <is>
          <t>Payments win-back + hospitality adjacency</t>
        </is>
      </c>
      <c r="F18" s="104" t="inlineStr">
        <is>
          <t>Confirm whether the RFP remains active, current stage, decision dates, retained Worldpay estate, sponsor and restaurant/DMB scope.</t>
        </is>
      </c>
    </row>
    <row r="19" ht="26" customHeight="1" s="59">
      <c r="A19" s="100" t="n">
        <v>7</v>
      </c>
      <c r="B19" s="101" t="inlineStr">
        <is>
          <t>RDS FIVE-UNIT REBRAND PILOT</t>
        </is>
      </c>
      <c r="C19" s="102" t="n">
        <v>74</v>
      </c>
      <c r="D19" s="101" t="inlineStr">
        <is>
          <t>RDS / Darren Heinze</t>
        </is>
      </c>
      <c r="E19" s="101" t="inlineStr">
        <is>
          <t>RDS-led Genius pilot and reseller proof</t>
        </is>
      </c>
      <c r="F19" s="104" t="inlineStr">
        <is>
          <t>Confirm entity/concept, authority, dates, budget and incumbent contracts; define scope, economics, support, success metrics and case-study rights before Genius World.</t>
        </is>
      </c>
    </row>
    <row r="20" ht="26" customHeight="1" s="59">
      <c r="A20" s="105" t="n">
        <v>8</v>
      </c>
      <c r="B20" s="106" t="inlineStr">
        <is>
          <t>POLLO CAMPERO</t>
        </is>
      </c>
      <c r="C20" s="107" t="n">
        <v>72</v>
      </c>
      <c r="D20" s="106" t="inlineStr">
        <is>
          <t>Unassigned / Worldpay</t>
        </is>
      </c>
      <c r="E20" s="106" t="inlineStr">
        <is>
          <t>RFI qualification + international platform/payments/DMB</t>
        </is>
      </c>
      <c r="F20" s="109" t="inlineStr">
        <is>
          <t>Obtain NDA/RFI, confirm sponsor and deadlines, separate the stalled referral from the procurement stream, and apply country-by-country bid/no-bid gates.</t>
        </is>
      </c>
    </row>
    <row r="23" ht="24" customHeight="1" s="59">
      <c r="A23" s="58" t="inlineStr">
        <is>
          <t>Executive conclusions</t>
        </is>
      </c>
    </row>
    <row r="24" ht="42" customHeight="1" s="59">
      <c r="A24" s="60" t="inlineStr">
        <is>
          <t>1. Del Taco remains #1. The Yadav acquisition is verified, but an active sourcing event is not; finish the extension, merge GP leads and validate post-acquisition governance.</t>
        </is>
      </c>
      <c r="B24" s="75" t="n"/>
      <c r="C24" s="75" t="n"/>
      <c r="D24" s="75" t="n"/>
      <c r="E24" s="75" t="n"/>
      <c r="F24" s="75" t="n"/>
      <c r="G24" s="75" t="n"/>
      <c r="H24" s="76" t="n"/>
    </row>
    <row r="25" ht="42" customHeight="1" s="59">
      <c r="A25" s="52" t="inlineStr">
        <is>
          <t>2. Five Guys remains #2 for account shaping. Uncoordinated outreach has created relationship risk; centralize activity through Todd and Avery, use FSTEC carefully, and keep the transaction-metered concept internal until approved.</t>
        </is>
      </c>
      <c r="B25" s="77" t="n"/>
      <c r="C25" s="77" t="n"/>
      <c r="D25" s="77" t="n"/>
      <c r="E25" s="77" t="n"/>
      <c r="F25" s="77" t="n"/>
      <c r="G25" s="77" t="n"/>
      <c r="H25" s="78" t="n"/>
    </row>
    <row r="26" ht="42" customHeight="1" s="59">
      <c r="A26" s="52" t="inlineStr">
        <is>
          <t>3. The RDS five-unit rebrand is the preferred near-term channel proof. Define entity, authority, stack, economics, support, protections and success metrics before expanding into protected accounts.</t>
        </is>
      </c>
      <c r="B26" s="77" t="n"/>
      <c r="C26" s="77" t="n"/>
      <c r="D26" s="77" t="n"/>
      <c r="E26" s="77" t="n"/>
      <c r="F26" s="77" t="n"/>
      <c r="G26" s="77" t="n"/>
      <c r="H26" s="78" t="n"/>
    </row>
    <row r="27" ht="42" customHeight="1" s="59">
      <c r="A27" s="52" t="inlineStr">
        <is>
          <t>4. Subway requires urgent scope correction: current internal intelligence indicates proprietary POS plus a global Genius KDS deployment, not DMB.</t>
        </is>
      </c>
      <c r="B27" s="77" t="n"/>
      <c r="C27" s="77" t="n"/>
      <c r="D27" s="77" t="n"/>
      <c r="E27" s="77" t="n"/>
      <c r="F27" s="77" t="n"/>
      <c r="G27" s="77" t="n"/>
      <c r="H27" s="78" t="n"/>
    </row>
    <row r="28" ht="42" customHeight="1" s="59">
      <c r="A28" s="52" t="inlineStr">
        <is>
          <t>5. Freddy's and Slim Chickens remain RDS-led. Slim Chickens now has an FSTEC relationship opening; Freddy's remains unresponsive. Little Caesars has active support contact but stalled commercial follow-up, and Red Robin warrants renewed qualification.</t>
        </is>
      </c>
      <c r="B28" s="77" t="n"/>
      <c r="C28" s="77" t="n"/>
      <c r="D28" s="77" t="n"/>
      <c r="E28" s="77" t="n"/>
      <c r="F28" s="77" t="n"/>
      <c r="G28" s="77" t="n"/>
      <c r="H28" s="78" t="n"/>
    </row>
    <row r="29" ht="42" customHeight="1" s="59">
      <c r="A29" s="55" t="inlineStr">
        <is>
          <t>6. PAR's platform, ordering and payments-attachment strategy is the primary competitive pattern. Counter with modularity, integrations, payments economics and deployment proof.</t>
        </is>
      </c>
      <c r="B29" s="79" t="n"/>
      <c r="C29" s="79" t="n"/>
      <c r="D29" s="79" t="n"/>
      <c r="E29" s="79" t="n"/>
      <c r="F29" s="79" t="n"/>
      <c r="G29" s="79" t="n"/>
      <c r="H29" s="80" t="n"/>
    </row>
  </sheetData>
  <mergeCells count="9">
    <mergeCell ref="A2:F2"/>
    <mergeCell ref="A26:H26"/>
    <mergeCell ref="A29:H29"/>
    <mergeCell ref="A25:H25"/>
    <mergeCell ref="A24:H24"/>
    <mergeCell ref="A1:F1"/>
    <mergeCell ref="A28:H28"/>
    <mergeCell ref="A23:H23"/>
    <mergeCell ref="A27:H2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34"/>
  <sheetViews>
    <sheetView showGridLines="0" workbookViewId="0">
      <selection activeCell="A1" sqref="A1"/>
    </sheetView>
  </sheetViews>
  <sheetFormatPr baseColWidth="10" defaultColWidth="8.83203125" defaultRowHeight="14"/>
  <cols>
    <col width="29" customWidth="1" style="59" min="1" max="1"/>
    <col width="14" customWidth="1" style="59" min="2" max="3"/>
    <col width="21" customWidth="1" style="59" min="4" max="4"/>
    <col width="14" customWidth="1" style="59" min="5" max="6"/>
    <col width="20" customWidth="1" style="59" min="7" max="7"/>
    <col width="14" customWidth="1" style="59" min="8" max="9"/>
    <col width="23" customWidth="1" style="59" min="10" max="10"/>
    <col width="14" customWidth="1" style="59" min="11" max="14"/>
  </cols>
  <sheetData>
    <row r="1" ht="32" customHeight="1" s="59">
      <c r="A1" s="63" t="inlineStr">
        <is>
          <t>Worldpay Master Account Intelligence Dashboard — 2026-09-04</t>
        </is>
      </c>
    </row>
    <row r="2" ht="30" customHeight="1" s="59">
      <c r="A2" s="91" t="inlineStr">
        <is>
          <t>Portfolio refreshed through 2026-09-04. Avery's latest account updates are incorporated; rankings and tiers remain unchanged pending review.</t>
        </is>
      </c>
    </row>
    <row r="4">
      <c r="B4" s="81" t="inlineStr">
        <is>
          <t>Opportunities</t>
        </is>
      </c>
      <c r="C4" s="82" t="n"/>
      <c r="D4" s="81" t="inlineStr">
        <is>
          <t>P1 Targets</t>
        </is>
      </c>
      <c r="E4" s="82" t="n"/>
      <c r="F4" s="83" t="inlineStr">
        <is>
          <t>Excluded / Managed Elsewhere</t>
        </is>
      </c>
      <c r="G4" s="82" t="n"/>
      <c r="H4" s="81" t="inlineStr">
        <is>
          <t>RM / Field Updates</t>
        </is>
      </c>
      <c r="I4" s="82" t="n"/>
      <c r="J4" s="81" t="inlineStr">
        <is>
          <t>Evidence Events</t>
        </is>
      </c>
      <c r="K4" s="82" t="n"/>
      <c r="L4" s="81" t="inlineStr">
        <is>
          <t>Open Conflicts</t>
        </is>
      </c>
      <c r="M4" s="82" t="n"/>
    </row>
    <row r="5" ht="26" customHeight="1" s="59">
      <c r="B5" s="84" t="n">
        <v>30</v>
      </c>
      <c r="C5" s="85" t="n"/>
      <c r="D5" s="84" t="n">
        <v>4</v>
      </c>
      <c r="E5" s="85" t="n"/>
      <c r="F5" s="86" t="n">
        <v>2</v>
      </c>
      <c r="G5" s="85" t="n"/>
      <c r="H5" s="84" t="n">
        <v>28</v>
      </c>
      <c r="I5" s="85" t="n"/>
      <c r="J5" s="84" t="n">
        <v>33</v>
      </c>
      <c r="K5" s="85" t="n"/>
      <c r="L5" s="84" t="n">
        <v>10</v>
      </c>
      <c r="M5" s="85" t="n"/>
    </row>
    <row r="9" ht="28" customHeight="1" s="59">
      <c r="A9" s="92" t="inlineStr">
        <is>
          <t>Top Opportunities</t>
        </is>
      </c>
      <c r="B9" s="94" t="inlineStr">
        <is>
          <t>Score</t>
        </is>
      </c>
      <c r="D9" s="92" t="inlineStr">
        <is>
          <t>RM / Route</t>
        </is>
      </c>
      <c r="E9" s="94" t="inlineStr">
        <is>
          <t>Opportunities</t>
        </is>
      </c>
      <c r="G9" s="92" t="inlineStr">
        <is>
          <t>Lifecycle</t>
        </is>
      </c>
      <c r="H9" s="94" t="inlineStr">
        <is>
          <t>Opportunities</t>
        </is>
      </c>
      <c r="J9" s="92" t="inlineStr">
        <is>
          <t>Opportunity Type</t>
        </is>
      </c>
      <c r="K9" s="94" t="inlineStr">
        <is>
          <t>Opportunities</t>
        </is>
      </c>
    </row>
    <row r="10">
      <c r="A10" s="95" t="inlineStr">
        <is>
          <t>DEL TACO LLC</t>
        </is>
      </c>
      <c r="B10" s="30" t="n">
        <v>83</v>
      </c>
      <c r="D10" s="95" t="inlineStr">
        <is>
          <t>Avery Churchwell</t>
        </is>
      </c>
      <c r="E10" s="99" t="n">
        <v>11</v>
      </c>
      <c r="G10" s="95" t="inlineStr">
        <is>
          <t>Mature/Aging</t>
        </is>
      </c>
      <c r="H10" s="99" t="n">
        <v>4</v>
      </c>
      <c r="J10" s="95" t="inlineStr">
        <is>
          <t>POS-led</t>
        </is>
      </c>
      <c r="K10" s="99" t="n">
        <v>7</v>
      </c>
    </row>
    <row r="11">
      <c r="A11" s="100" t="inlineStr">
        <is>
          <t>FIVE GUYS</t>
        </is>
      </c>
      <c r="B11" s="31" t="n">
        <v>82</v>
      </c>
      <c r="D11" s="100" t="inlineStr">
        <is>
          <t>Brian Wood</t>
        </is>
      </c>
      <c r="E11" s="104" t="n">
        <v>8</v>
      </c>
      <c r="G11" s="100" t="inlineStr">
        <is>
          <t>Deploying/New</t>
        </is>
      </c>
      <c r="H11" s="104" t="n">
        <v>6</v>
      </c>
      <c r="J11" s="100" t="inlineStr">
        <is>
          <t>Adjacent-led</t>
        </is>
      </c>
      <c r="K11" s="104" t="n">
        <v>8</v>
      </c>
    </row>
    <row r="12">
      <c r="A12" s="100" t="inlineStr">
        <is>
          <t>Focus Brands (GoTo Foods)</t>
        </is>
      </c>
      <c r="B12" s="31" t="n">
        <v>81</v>
      </c>
      <c r="D12" s="100" t="inlineStr">
        <is>
          <t>Maggie Lenhart</t>
        </is>
      </c>
      <c r="E12" s="104" t="n">
        <v>6</v>
      </c>
      <c r="G12" s="100" t="inlineStr">
        <is>
          <t>Other/Mixed</t>
        </is>
      </c>
      <c r="H12" s="104" t="n">
        <v>6</v>
      </c>
      <c r="J12" s="100" t="inlineStr">
        <is>
          <t>Discovery/other</t>
        </is>
      </c>
      <c r="K12" s="104" t="n">
        <v>14</v>
      </c>
    </row>
    <row r="13">
      <c r="A13" s="100" t="inlineStr">
        <is>
          <t>SUBWAY</t>
        </is>
      </c>
      <c r="B13" s="31" t="n">
        <v>79</v>
      </c>
      <c r="D13" s="105" t="inlineStr">
        <is>
          <t>Stacie Davis</t>
        </is>
      </c>
      <c r="E13" s="109" t="n">
        <v>3</v>
      </c>
      <c r="G13" s="100" t="inlineStr">
        <is>
          <t>Established</t>
        </is>
      </c>
      <c r="H13" s="104" t="n">
        <v>11</v>
      </c>
      <c r="J13" s="105" t="inlineStr">
        <is>
          <t>Win-back</t>
        </is>
      </c>
      <c r="K13" s="109" t="n">
        <v>1</v>
      </c>
    </row>
    <row r="14">
      <c r="A14" s="100" t="inlineStr">
        <is>
          <t>THE STEAK N SHAKE CO</t>
        </is>
      </c>
      <c r="B14" s="31" t="n">
        <v>76</v>
      </c>
      <c r="D14" t="inlineStr">
        <is>
          <t>RDS / Darren Heinze</t>
        </is>
      </c>
      <c r="E14" t="n">
        <v>1</v>
      </c>
      <c r="G14" s="105" t="inlineStr">
        <is>
          <t>Proprietary</t>
        </is>
      </c>
      <c r="H14" s="109" t="n">
        <v>3</v>
      </c>
    </row>
    <row r="15">
      <c r="A15" s="100" t="inlineStr">
        <is>
          <t>CHOICE HOTELS</t>
        </is>
      </c>
      <c r="B15" s="31" t="n">
        <v>75</v>
      </c>
      <c r="D15" t="inlineStr">
        <is>
          <t>Unassigned / Worldpay</t>
        </is>
      </c>
      <c r="E15" t="n">
        <v>1</v>
      </c>
    </row>
    <row r="16">
      <c r="A16" s="100" t="inlineStr">
        <is>
          <t>RDS FIVE-UNIT REBRAND PILOT</t>
        </is>
      </c>
      <c r="B16" s="31" t="n">
        <v>74</v>
      </c>
    </row>
    <row r="17">
      <c r="A17" s="100" t="inlineStr">
        <is>
          <t>POLLO CAMPERO</t>
        </is>
      </c>
      <c r="B17" s="31" t="n">
        <v>72</v>
      </c>
    </row>
    <row r="18">
      <c r="A18" s="100" t="inlineStr">
        <is>
          <t>EAT'N PARK HOSPITALITY GRP INC</t>
        </is>
      </c>
      <c r="B18" s="31" t="n">
        <v>64</v>
      </c>
    </row>
    <row r="19">
      <c r="A19" s="100" t="inlineStr">
        <is>
          <t>FREDDY'S FROZEN CUSTARD LLC</t>
        </is>
      </c>
      <c r="B19" s="31" t="n">
        <v>63</v>
      </c>
    </row>
    <row r="20">
      <c r="A20" s="100" t="inlineStr">
        <is>
          <t>PAPA JOHN'S USA, INC.</t>
        </is>
      </c>
      <c r="B20" s="31" t="n">
        <v>62</v>
      </c>
    </row>
    <row r="21" ht="26" customHeight="1" s="59">
      <c r="A21" s="105" t="inlineStr">
        <is>
          <t>CRACKER BARREL OLD COUNTRY STORE, INC.</t>
        </is>
      </c>
      <c r="B21" s="32" t="n">
        <v>61</v>
      </c>
    </row>
    <row r="25" ht="28" customHeight="1" s="59">
      <c r="A25" s="92" t="inlineStr">
        <is>
          <t>Layer</t>
        </is>
      </c>
      <c r="B25" s="93" t="inlineStr">
        <is>
          <t>Named vendor / scope</t>
        </is>
      </c>
      <c r="C25" s="94" t="inlineStr">
        <is>
          <t>Unverified / gap</t>
        </is>
      </c>
    </row>
    <row r="26">
      <c r="A26" s="95" t="inlineStr">
        <is>
          <t>POS</t>
        </is>
      </c>
      <c r="B26" s="96" t="n">
        <v>31</v>
      </c>
      <c r="C26" s="99" t="n">
        <v>1</v>
      </c>
    </row>
    <row r="27">
      <c r="A27" s="100" t="inlineStr">
        <is>
          <t>Payments</t>
        </is>
      </c>
      <c r="B27" s="101" t="n">
        <v>30</v>
      </c>
      <c r="C27" s="104" t="n">
        <v>2</v>
      </c>
    </row>
    <row r="28">
      <c r="A28" s="100" t="inlineStr">
        <is>
          <t>Digital</t>
        </is>
      </c>
      <c r="B28" s="101" t="n">
        <v>30</v>
      </c>
      <c r="C28" s="104" t="n">
        <v>2</v>
      </c>
    </row>
    <row r="29">
      <c r="A29" s="100" t="inlineStr">
        <is>
          <t>Loyalty/CRM</t>
        </is>
      </c>
      <c r="B29" s="101" t="n">
        <v>2</v>
      </c>
      <c r="C29" s="104" t="n">
        <v>30</v>
      </c>
    </row>
    <row r="30">
      <c r="A30" s="100" t="inlineStr">
        <is>
          <t>Back Office</t>
        </is>
      </c>
      <c r="B30" s="101" t="n">
        <v>3</v>
      </c>
      <c r="C30" s="104" t="n">
        <v>29</v>
      </c>
    </row>
    <row r="31">
      <c r="A31" s="100" t="inlineStr">
        <is>
          <t>Kiosk/DMB</t>
        </is>
      </c>
      <c r="B31" s="101" t="n">
        <v>13</v>
      </c>
      <c r="C31" s="104" t="n">
        <v>19</v>
      </c>
    </row>
    <row r="32">
      <c r="A32" s="100" t="inlineStr">
        <is>
          <t>KDS</t>
        </is>
      </c>
      <c r="B32" s="101" t="n">
        <v>1</v>
      </c>
      <c r="C32" s="104" t="n">
        <v>31</v>
      </c>
    </row>
    <row r="33">
      <c r="A33" s="100" t="inlineStr">
        <is>
          <t>Drive-Thru</t>
        </is>
      </c>
      <c r="B33" s="101" t="n">
        <v>1</v>
      </c>
      <c r="C33" s="104" t="n">
        <v>31</v>
      </c>
    </row>
    <row r="34">
      <c r="A34" s="105" t="inlineStr">
        <is>
          <t>Hardware</t>
        </is>
      </c>
      <c r="B34" s="106" t="n">
        <v>20</v>
      </c>
      <c r="C34" s="109" t="n">
        <v>12</v>
      </c>
    </row>
  </sheetData>
  <mergeCells count="14">
    <mergeCell ref="F4:G4"/>
    <mergeCell ref="J4:K4"/>
    <mergeCell ref="L4:M4"/>
    <mergeCell ref="J5:K5"/>
    <mergeCell ref="B5:C5"/>
    <mergeCell ref="A2:N2"/>
    <mergeCell ref="D5:E5"/>
    <mergeCell ref="F5:G5"/>
    <mergeCell ref="H5:I5"/>
    <mergeCell ref="D4:E4"/>
    <mergeCell ref="L5:M5"/>
    <mergeCell ref="H4:I4"/>
    <mergeCell ref="B4:C4"/>
    <mergeCell ref="A1:N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4"/>
  <sheetViews>
    <sheetView showGridLines="0" workbookViewId="0">
      <selection activeCell="A1" sqref="A1"/>
    </sheetView>
  </sheetViews>
  <sheetFormatPr baseColWidth="10" defaultColWidth="8.83203125" defaultRowHeight="14"/>
  <cols>
    <col width="7" customWidth="1" style="59" min="1" max="1"/>
    <col width="9" customWidth="1" style="59" min="2" max="2"/>
    <col width="31" customWidth="1" style="59" min="3" max="3"/>
    <col width="18" customWidth="1" style="59" min="4" max="4"/>
    <col width="10" customWidth="1" style="59" min="5" max="7"/>
    <col width="12" customWidth="1" style="59" min="8" max="9"/>
    <col width="10" customWidth="1" style="59" min="10" max="10"/>
    <col width="11" customWidth="1" style="59" min="11" max="11"/>
    <col width="12" customWidth="1" style="59" min="12" max="12"/>
    <col width="11" customWidth="1" style="59" min="13" max="13"/>
    <col width="12" customWidth="1" style="59" min="14" max="14"/>
    <col width="32" customWidth="1" style="59" min="15" max="15"/>
    <col width="24" customWidth="1" style="59" min="16" max="16"/>
    <col width="22" customWidth="1" style="59" min="17" max="17"/>
    <col width="28" customWidth="1" style="59" min="18" max="18"/>
    <col width="48" customWidth="1" style="59" min="19" max="19"/>
    <col width="32" customWidth="1" style="59" min="20" max="20"/>
    <col width="42" customWidth="1" style="59" min="21" max="21"/>
    <col width="20" customWidth="1" style="59" min="22" max="22"/>
  </cols>
  <sheetData>
    <row r="1" ht="32" customHeight="1" s="59">
      <c r="A1" s="110" t="inlineStr">
        <is>
          <t>Ranked Worldpay Opportunity Portfolio — 2026-09-04 Master Plan</t>
        </is>
      </c>
    </row>
    <row r="2" ht="30" customHeight="1" s="59">
      <c r="A2" s="112" t="inlineStr">
        <is>
          <t>Evidence and field intelligence refreshed through 2026-09-04. Scores and tiers remain judgment-based and unchanged pending human review.</t>
        </is>
      </c>
    </row>
    <row r="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row>
    <row r="4" ht="28" customHeight="1" s="59">
      <c r="A4" s="113" t="inlineStr">
        <is>
          <t>Rank</t>
        </is>
      </c>
      <c r="B4" s="114" t="inlineStr">
        <is>
          <t>Priority</t>
        </is>
      </c>
      <c r="C4" s="114" t="inlineStr">
        <is>
          <t>Account</t>
        </is>
      </c>
      <c r="D4" s="114" t="inlineStr">
        <is>
          <t>RM</t>
        </is>
      </c>
      <c r="E4" s="114" t="inlineStr">
        <is>
          <t>Tier</t>
        </is>
      </c>
      <c r="F4" s="114" t="inlineStr">
        <is>
          <t>Locations</t>
        </is>
      </c>
      <c r="G4" s="114" t="inlineStr">
        <is>
          <t>Score</t>
        </is>
      </c>
      <c r="H4" s="114" t="inlineStr">
        <is>
          <t>Strategic Value</t>
        </is>
      </c>
      <c r="I4" s="114" t="inlineStr">
        <is>
          <t>Active Trigger</t>
        </is>
      </c>
      <c r="J4" s="114" t="inlineStr">
        <is>
          <t>Access</t>
        </is>
      </c>
      <c r="K4" s="114" t="inlineStr">
        <is>
          <t>Lifecycle</t>
        </is>
      </c>
      <c r="L4" s="114" t="inlineStr">
        <is>
          <t>Deployment Health</t>
        </is>
      </c>
      <c r="M4" s="114" t="inlineStr">
        <is>
          <t>Whitespace</t>
        </is>
      </c>
      <c r="N4" s="114" t="inlineStr">
        <is>
          <t>Coordination</t>
        </is>
      </c>
      <c r="O4" s="114" t="inlineStr">
        <is>
          <t>Trigger / Current State</t>
        </is>
      </c>
      <c r="P4" s="114" t="inlineStr">
        <is>
          <t>Lifecycle Posture</t>
        </is>
      </c>
      <c r="Q4" s="114" t="inlineStr">
        <is>
          <t>Health</t>
        </is>
      </c>
      <c r="R4" s="114" t="inlineStr">
        <is>
          <t>Opportunity Type</t>
        </is>
      </c>
      <c r="S4" s="114" t="inlineStr">
        <is>
          <t>Immediate Next Action</t>
        </is>
      </c>
      <c r="T4" s="114" t="inlineStr">
        <is>
          <t>Key Vendors</t>
        </is>
      </c>
      <c r="U4" s="114" t="inlineStr">
        <is>
          <t>Field Intelligence</t>
        </is>
      </c>
      <c r="V4" s="115" t="inlineStr">
        <is>
          <t>Evidence Confidence</t>
        </is>
      </c>
    </row>
    <row r="5" ht="39" customHeight="1" s="59">
      <c r="A5" s="95" t="n">
        <v>1</v>
      </c>
      <c r="B5" s="96" t="inlineStr">
        <is>
          <t>P1</t>
        </is>
      </c>
      <c r="C5" s="96" t="inlineStr">
        <is>
          <t>DEL TACO LLC</t>
        </is>
      </c>
      <c r="D5" s="96" t="inlineStr">
        <is>
          <t>Maggie Lenhart</t>
        </is>
      </c>
      <c r="E5" s="96" t="inlineStr">
        <is>
          <t>Tier 2</t>
        </is>
      </c>
      <c r="F5" s="97" t="n">
        <v>537</v>
      </c>
      <c r="G5" s="97">
        <f>(H5/5*'Scoring Model'!$B$5+I5/5*'Scoring Model'!$B$6+J5/5*'Scoring Model'!$B$7+K5/5*'Scoring Model'!$B$8+L5/5*'Scoring Model'!$B$9+M5/5*'Scoring Model'!$B$10+N5/5*'Scoring Model'!$B$11)*100</f>
        <v/>
      </c>
      <c r="H5" s="98" t="n">
        <v>4</v>
      </c>
      <c r="I5" s="98" t="n">
        <v>5</v>
      </c>
      <c r="J5" s="98" t="n">
        <v>4</v>
      </c>
      <c r="K5" s="98" t="n">
        <v>4</v>
      </c>
      <c r="L5" s="98" t="n">
        <v>3</v>
      </c>
      <c r="M5" s="98" t="n">
        <v>4</v>
      </c>
      <c r="N5" s="98" t="n">
        <v>5</v>
      </c>
      <c r="O5" s="96" t="inlineStr">
        <is>
          <t>Worldpay extension active; Yadav acquisition creates a verified ownership-change window; sourcing event unconfirmed</t>
        </is>
      </c>
      <c r="P5" s="96" t="inlineStr">
        <is>
          <t>Aging NCR estate; post-acquisition multi-brand governance</t>
        </is>
      </c>
      <c r="Q5" s="96" t="inlineStr">
        <is>
          <t>Active relationship; technology and synergy timing to verify</t>
        </is>
      </c>
      <c r="R5" s="96" t="inlineStr">
        <is>
          <t>POS/payments + multi-brand consolidation</t>
        </is>
      </c>
      <c r="S5" s="96" t="inlineStr">
        <is>
          <t>Complete the extension, consolidate all GP leads, map Yadav technology governance and confirm any sourcing or vendor-consolidation event.</t>
        </is>
      </c>
      <c r="T5" s="96" t="inlineStr">
        <is>
          <t>NCR; NCR Connected Payments; Olo; Olo Pay; Bite</t>
        </is>
      </c>
      <c r="U5" s="96" t="inlineStr">
        <is>
          <t>Yadav Enterprises completed the acquisition in Dec. 2025. Direct CIO access and the extension remain strong; cost/stack review is a hypothesis pending customer confirmation.</t>
        </is>
      </c>
      <c r="V5" s="99" t="inlineStr">
        <is>
          <t>High RM intelligence + verified ownership event</t>
        </is>
      </c>
    </row>
    <row r="6" ht="39" customHeight="1" s="59">
      <c r="A6" s="100" t="n">
        <v>2</v>
      </c>
      <c r="B6" s="101" t="inlineStr">
        <is>
          <t>P1</t>
        </is>
      </c>
      <c r="C6" s="101" t="inlineStr">
        <is>
          <t>FIVE GUYS</t>
        </is>
      </c>
      <c r="D6" s="101" t="inlineStr">
        <is>
          <t>Avery Churchwell</t>
        </is>
      </c>
      <c r="E6" s="101" t="inlineStr">
        <is>
          <t>Tier 1</t>
        </is>
      </c>
      <c r="F6" s="102" t="n">
        <v>1500</v>
      </c>
      <c r="G6" s="102">
        <f>(H6/5*'Scoring Model'!$B$5+I6/5*'Scoring Model'!$B$6+J6/5*'Scoring Model'!$B$7+K6/5*'Scoring Model'!$B$8+L6/5*'Scoring Model'!$B$9+M6/5*'Scoring Model'!$B$10+N6/5*'Scoring Model'!$B$11)*100</f>
        <v/>
      </c>
      <c r="H6" s="103" t="n">
        <v>5</v>
      </c>
      <c r="I6" s="103" t="n">
        <v>5</v>
      </c>
      <c r="J6" s="103" t="n">
        <v>4</v>
      </c>
      <c r="K6" s="103" t="n">
        <v>5</v>
      </c>
      <c r="L6" s="103" t="n">
        <v>2</v>
      </c>
      <c r="M6" s="103" t="n">
        <v>2</v>
      </c>
      <c r="N6" s="103" t="n">
        <v>5</v>
      </c>
      <c r="O6" s="101"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101" t="inlineStr">
        <is>
          <t>Mature U.S. PAR estate; global support gaps and modularity hypothesis</t>
        </is>
      </c>
      <c r="Q6" s="101" t="inlineStr">
        <is>
          <t>No verified failure; renewal dates and evaluation type require confirmation</t>
        </is>
      </c>
      <c r="R6" s="101" t="inlineStr">
        <is>
          <t>Pre-RFP shaping + transaction-metered POS feasibility</t>
        </is>
      </c>
      <c r="S6" s="101"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101" t="inlineStr">
        <is>
          <t>PAR Brink; NCR (EMEA); CrunchTime; Olo; Worldpay/Global Payments; Verifone; LineTen</t>
        </is>
      </c>
      <c r="U6" s="101"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104" t="inlineStr">
        <is>
          <t>High RM intelligence dated 2026-09-04 / buying event, dates and commercial model remain unconfirmed</t>
        </is>
      </c>
    </row>
    <row r="7" ht="39" customHeight="1" s="59">
      <c r="A7" s="100" t="n">
        <v>3</v>
      </c>
      <c r="B7" s="101" t="inlineStr">
        <is>
          <t>P1</t>
        </is>
      </c>
      <c r="C7" s="101" t="inlineStr">
        <is>
          <t>Focus Brands (GoTo Foods)</t>
        </is>
      </c>
      <c r="D7" s="101" t="inlineStr">
        <is>
          <t>Brian Wood</t>
        </is>
      </c>
      <c r="E7" s="101" t="inlineStr">
        <is>
          <t>Tier 2</t>
        </is>
      </c>
      <c r="F7" s="102" t="n">
        <v>2600</v>
      </c>
      <c r="G7" s="102">
        <f>(H7/5*'Scoring Model'!$B$5+I7/5*'Scoring Model'!$B$6+J7/5*'Scoring Model'!$B$7+K7/5*'Scoring Model'!$B$8+L7/5*'Scoring Model'!$B$9+M7/5*'Scoring Model'!$B$10+N7/5*'Scoring Model'!$B$11)*100</f>
        <v/>
      </c>
      <c r="H7" s="103" t="n">
        <v>5</v>
      </c>
      <c r="I7" s="103" t="n">
        <v>5</v>
      </c>
      <c r="J7" s="103" t="n">
        <v>3</v>
      </c>
      <c r="K7" s="103" t="n">
        <v>2</v>
      </c>
      <c r="L7" s="103" t="n">
        <v>5</v>
      </c>
      <c r="M7" s="103" t="n">
        <v>4</v>
      </c>
      <c r="N7" s="103" t="n">
        <v>4</v>
      </c>
      <c r="O7" s="101" t="inlineStr">
        <is>
          <t>Qu established; DMB relationship development and defense against Qu Pay/platform expansion</t>
        </is>
      </c>
      <c r="P7" s="101" t="inlineStr">
        <is>
          <t>Deploying since 2024</t>
        </is>
      </c>
      <c r="Q7" s="101" t="inlineStr">
        <is>
          <t>Schedule risk reported</t>
        </is>
      </c>
      <c r="R7" s="101" t="inlineStr">
        <is>
          <t>DMB-led adjacency + payments defense</t>
        </is>
      </c>
      <c r="S7" s="101" t="inlineStr">
        <is>
          <t>Map DMB/CMS and buying center; quantify uncovered adjacencies and defend payments without positioning a near-term POS displacement.</t>
        </is>
      </c>
      <c r="T7" s="101" t="inlineStr">
        <is>
          <t>Qu; FreedomPay; Olo; Monkey Media</t>
        </is>
      </c>
      <c r="U7" s="101" t="inlineStr">
        <is>
          <t>Qu remains established. Treat PAR/Qu-style platform consolidation and native-payments attachment as the competitive pattern to counter.</t>
        </is>
      </c>
      <c r="V7" s="104" t="inlineStr">
        <is>
          <t>High RM intelligence + public evidence</t>
        </is>
      </c>
    </row>
    <row r="8" ht="39" customHeight="1" s="59">
      <c r="A8" s="100" t="n">
        <v>4</v>
      </c>
      <c r="B8" s="101" t="inlineStr">
        <is>
          <t>P1</t>
        </is>
      </c>
      <c r="C8" s="101" t="inlineStr">
        <is>
          <t>SUBWAY</t>
        </is>
      </c>
      <c r="D8" s="101" t="inlineStr">
        <is>
          <t>Stacie Davis</t>
        </is>
      </c>
      <c r="E8" s="101" t="inlineStr">
        <is>
          <t>Tier 1</t>
        </is>
      </c>
      <c r="F8" s="102" t="n">
        <v>20000</v>
      </c>
      <c r="G8" s="102">
        <f>(H8/5*'Scoring Model'!$B$5+I8/5*'Scoring Model'!$B$6+J8/5*'Scoring Model'!$B$7+K8/5*'Scoring Model'!$B$8+L8/5*'Scoring Model'!$B$9+M8/5*'Scoring Model'!$B$10+N8/5*'Scoring Model'!$B$11)*100</f>
        <v/>
      </c>
      <c r="H8" s="103" t="n">
        <v>5</v>
      </c>
      <c r="I8" s="103" t="n">
        <v>4</v>
      </c>
      <c r="J8" s="103" t="n">
        <v>4</v>
      </c>
      <c r="K8" s="103" t="n">
        <v>3</v>
      </c>
      <c r="L8" s="103" t="n">
        <v>3</v>
      </c>
      <c r="M8" s="103" t="n">
        <v>4</v>
      </c>
      <c r="N8" s="103" t="n">
        <v>4</v>
      </c>
      <c r="O8" s="101" t="inlineStr">
        <is>
          <t>Proprietary POS; internal report indicates a global Genius KDS deployment, replacing the prior DMB assumption</t>
        </is>
      </c>
      <c r="P8" s="101" t="inlineStr">
        <is>
          <t>Fragmented global/franchise estate; existing Genius relationship requires verification</t>
        </is>
      </c>
      <c r="Q8" s="101" t="inlineStr">
        <is>
          <t>Product, site coverage, ownership and commitments unresolved</t>
        </is>
      </c>
      <c r="R8" s="101" t="inlineStr">
        <is>
          <t>Existing Genius KDS scope verification + relationship map</t>
        </is>
      </c>
      <c r="S8" s="101" t="inlineStr">
        <is>
          <t>Confirm the Genius product owner, KDS sites, deployment status, commitments and customer sponsor before proposing any additional adjacency.</t>
        </is>
      </c>
      <c r="T8" s="101" t="inlineStr">
        <is>
          <t>Proprietary; FreedomPay; Ingenico; Genius KDS (reported internally, unverified)</t>
        </is>
      </c>
      <c r="U8" s="101" t="inlineStr">
        <is>
          <t>Ryan Hildebrand described proprietary POS plus a global Genius KDS deployment. Reconcile that internal view with prior DMB reporting.</t>
        </is>
      </c>
      <c r="V8" s="104" t="inlineStr">
        <is>
          <t>High internal intelligence / exact scope unresolved</t>
        </is>
      </c>
    </row>
    <row r="9" ht="26" customHeight="1" s="59">
      <c r="A9" s="100" t="n">
        <v>5</v>
      </c>
      <c r="B9" s="101" t="inlineStr">
        <is>
          <t>P2</t>
        </is>
      </c>
      <c r="C9" s="101" t="inlineStr">
        <is>
          <t>THE STEAK N SHAKE CO</t>
        </is>
      </c>
      <c r="D9" s="101" t="inlineStr">
        <is>
          <t>Maggie Lenhart</t>
        </is>
      </c>
      <c r="E9" s="101" t="inlineStr">
        <is>
          <t>Tier 2</t>
        </is>
      </c>
      <c r="F9" s="102" t="n">
        <v>550</v>
      </c>
      <c r="G9" s="102">
        <f>(H9/5*'Scoring Model'!$B$5+I9/5*'Scoring Model'!$B$6+J9/5*'Scoring Model'!$B$7+K9/5*'Scoring Model'!$B$8+L9/5*'Scoring Model'!$B$9+M9/5*'Scoring Model'!$B$10+N9/5*'Scoring Model'!$B$11)*100</f>
        <v/>
      </c>
      <c r="H9" s="103" t="n">
        <v>4</v>
      </c>
      <c r="I9" s="103" t="n">
        <v>4</v>
      </c>
      <c r="J9" s="103" t="n">
        <v>3</v>
      </c>
      <c r="K9" s="103" t="n">
        <v>4</v>
      </c>
      <c r="L9" s="103" t="n">
        <v>4</v>
      </c>
      <c r="M9" s="103" t="n">
        <v>4</v>
      </c>
      <c r="N9" s="103" t="n">
        <v>3</v>
      </c>
      <c r="O9" s="101" t="inlineStr">
        <is>
          <t>Kiosk transition and NCR reporting integration problems</t>
        </is>
      </c>
      <c r="P9" s="101" t="inlineStr">
        <is>
          <t>Transitioning adjacent stack</t>
        </is>
      </c>
      <c r="Q9" s="101" t="inlineStr">
        <is>
          <t>Current implementation pain</t>
        </is>
      </c>
      <c r="R9" s="101" t="inlineStr">
        <is>
          <t>Kiosk integration recovery + digital adjacency</t>
        </is>
      </c>
      <c r="S9" s="101" t="inlineStr">
        <is>
          <t>Name the kiosk vendor and owners; document certification, NCR reporting and mobile-app issues with dated remediation milestones.</t>
        </is>
      </c>
      <c r="T9" s="101" t="inlineStr">
        <is>
          <t>NCR; NCR Connected Payments; QikServe; Olo; NovaDine</t>
        </is>
      </c>
      <c r="U9" s="101" t="inlineStr">
        <is>
          <t>Maggie reports a difficult kiosk-vendor transition and integration/reporting issues with NCR.</t>
        </is>
      </c>
      <c r="V9" s="104" t="inlineStr">
        <is>
          <t>High RM intelligence</t>
        </is>
      </c>
    </row>
    <row r="10" ht="26" customHeight="1" s="59">
      <c r="A10" s="100" t="n">
        <v>6</v>
      </c>
      <c r="B10" s="101" t="inlineStr">
        <is>
          <t>P2</t>
        </is>
      </c>
      <c r="C10" s="101" t="inlineStr">
        <is>
          <t>CHOICE HOTELS</t>
        </is>
      </c>
      <c r="D10" s="101" t="inlineStr">
        <is>
          <t>Brian Wood</t>
        </is>
      </c>
      <c r="E10" s="101" t="inlineStr">
        <is>
          <t>Tier 2</t>
        </is>
      </c>
      <c r="F10" s="102" t="n"/>
      <c r="G10" s="102">
        <f>(H10/5*'Scoring Model'!$B$5+I10/5*'Scoring Model'!$B$6+J10/5*'Scoring Model'!$B$7+K10/5*'Scoring Model'!$B$8+L10/5*'Scoring Model'!$B$9+M10/5*'Scoring Model'!$B$10+N10/5*'Scoring Model'!$B$11)*100</f>
        <v/>
      </c>
      <c r="H10" s="103" t="n">
        <v>3</v>
      </c>
      <c r="I10" s="103" t="n">
        <v>5</v>
      </c>
      <c r="J10" s="103" t="n">
        <v>3</v>
      </c>
      <c r="K10" s="103" t="n">
        <v>4</v>
      </c>
      <c r="L10" s="103" t="n">
        <v>4</v>
      </c>
      <c r="M10" s="103" t="n">
        <v>3</v>
      </c>
      <c r="N10" s="103" t="n">
        <v>5</v>
      </c>
      <c r="O10" s="101" t="inlineStr">
        <is>
          <t>Gateway/acquiring RFP was active in July; current stage and deadlines now require refresh</t>
        </is>
      </c>
      <c r="P10" s="101" t="inlineStr">
        <is>
          <t>Deconverting</t>
        </is>
      </c>
      <c r="Q10" s="101" t="inlineStr">
        <is>
          <t>Shift4 performance concern reported</t>
        </is>
      </c>
      <c r="R10" s="101" t="inlineStr">
        <is>
          <t>Payments win-back + hospitality adjacency</t>
        </is>
      </c>
      <c r="S10" s="101" t="inlineStr">
        <is>
          <t>Confirm whether the RFP remains active, current stage, decision dates, retained Worldpay estate, sponsor and restaurant/DMB scope.</t>
        </is>
      </c>
      <c r="T10" s="101" t="inlineStr">
        <is>
          <t>Shift4</t>
        </is>
      </c>
      <c r="U10" s="101" t="inlineStr">
        <is>
          <t>Brian and Brendan report an active RFP, remaining Worldpay locations and a possible full win-back.</t>
        </is>
      </c>
      <c r="V10" s="104" t="inlineStr">
        <is>
          <t>High RM intelligence / status aging</t>
        </is>
      </c>
    </row>
    <row r="11" ht="52" customHeight="1" s="59">
      <c r="A11" s="100" t="n">
        <v>7</v>
      </c>
      <c r="B11" s="101" t="inlineStr">
        <is>
          <t>P2</t>
        </is>
      </c>
      <c r="C11" s="101" t="inlineStr">
        <is>
          <t>RDS FIVE-UNIT REBRAND PILOT</t>
        </is>
      </c>
      <c r="D11" s="101" t="inlineStr">
        <is>
          <t>RDS / Darren Heinze</t>
        </is>
      </c>
      <c r="E11" s="101" t="inlineStr">
        <is>
          <t>Channel pilot</t>
        </is>
      </c>
      <c r="F11" s="102" t="n">
        <v>5</v>
      </c>
      <c r="G11" s="102">
        <f>(H11/5*'Scoring Model'!$B$5+I11/5*'Scoring Model'!$B$6+J11/5*'Scoring Model'!$B$7+K11/5*'Scoring Model'!$B$8+L11/5*'Scoring Model'!$B$9+M11/5*'Scoring Model'!$B$10+N11/5*'Scoring Model'!$B$11)*100</f>
        <v/>
      </c>
      <c r="H11" s="103" t="n">
        <v>2</v>
      </c>
      <c r="I11" s="103" t="n">
        <v>4</v>
      </c>
      <c r="J11" s="103" t="n">
        <v>4</v>
      </c>
      <c r="K11" s="103" t="n">
        <v>4</v>
      </c>
      <c r="L11" s="103" t="n">
        <v>3</v>
      </c>
      <c r="M11" s="103" t="n">
        <v>5</v>
      </c>
      <c r="N11" s="103" t="n">
        <v>5</v>
      </c>
      <c r="O11" s="101" t="inlineStr">
        <is>
          <t>Five former Taco Cabana locations are rebranding and evaluating a clean-slate stack and digital menu boards</t>
        </is>
      </c>
      <c r="P11" s="101" t="inlineStr">
        <is>
          <t>Clean-slate conversion; opening and conversion dates unconfirmed</t>
        </is>
      </c>
      <c r="Q11" s="101" t="inlineStr">
        <is>
          <t>High channel access; commercial, support and account-protection model not yet defined</t>
        </is>
      </c>
      <c r="R11" s="101" t="inlineStr">
        <is>
          <t>RDS-led Genius pilot and reseller proof</t>
        </is>
      </c>
      <c r="S11" s="101" t="inlineStr">
        <is>
          <t>Confirm entity/concept, authority, dates, budget and incumbent contracts; define scope, economics, support, success metrics and case-study rights before Genius World.</t>
        </is>
      </c>
      <c r="T11" s="101" t="inlineStr">
        <is>
          <t>To be determined: Genius POS/payments; DMB; drive-thru; loyalty; back office; hardware</t>
        </is>
      </c>
      <c r="U11" s="101" t="inlineStr">
        <is>
          <t>RDS is authorized to resell Genius but lacks implementation experience. The pilot can create channel proof before any larger protected-account motion.</t>
        </is>
      </c>
      <c r="V11" s="104" t="inlineStr">
        <is>
          <t>High field confidence / customer facts require documentation</t>
        </is>
      </c>
    </row>
    <row r="12" ht="39" customHeight="1" s="59">
      <c r="A12" s="100" t="n">
        <v>8</v>
      </c>
      <c r="B12" s="101" t="inlineStr">
        <is>
          <t>P2</t>
        </is>
      </c>
      <c r="C12" s="101" t="inlineStr">
        <is>
          <t>POLLO CAMPERO</t>
        </is>
      </c>
      <c r="D12" s="101" t="inlineStr">
        <is>
          <t>Unassigned / Worldpay</t>
        </is>
      </c>
      <c r="E12" s="101" t="inlineStr">
        <is>
          <t>Emerging strategic</t>
        </is>
      </c>
      <c r="F12" s="102" t="n">
        <v>150</v>
      </c>
      <c r="G12" s="102">
        <f>(H12/5*'Scoring Model'!$B$5+I12/5*'Scoring Model'!$B$6+J12/5*'Scoring Model'!$B$7+K12/5*'Scoring Model'!$B$8+L12/5*'Scoring Model'!$B$9+M12/5*'Scoring Model'!$B$10+N12/5*'Scoring Model'!$B$11)*100</f>
        <v/>
      </c>
      <c r="H12" s="103" t="n">
        <v>4</v>
      </c>
      <c r="I12" s="103" t="n">
        <v>4</v>
      </c>
      <c r="J12" s="103" t="n">
        <v>3</v>
      </c>
      <c r="K12" s="103" t="n">
        <v>3</v>
      </c>
      <c r="L12" s="103" t="n">
        <v>3</v>
      </c>
      <c r="M12" s="103" t="n">
        <v>4</v>
      </c>
      <c r="N12" s="103" t="n">
        <v>4</v>
      </c>
      <c r="O12" s="101" t="inlineStr">
        <is>
          <t>Potential RFI and DMB dissatisfaction; Oracle migration and referral status require immediate qualification</t>
        </is>
      </c>
      <c r="P12" s="101" t="inlineStr">
        <is>
          <t>Mixed NCR/Oracle estate; international platform decision may be underway</t>
        </is>
      </c>
      <c r="Q12" s="101" t="inlineStr">
        <is>
          <t>Decision openness, scope, deadlines and sponsor unconfirmed</t>
        </is>
      </c>
      <c r="R12" s="101" t="inlineStr">
        <is>
          <t>RFI qualification + international platform/payments/DMB</t>
        </is>
      </c>
      <c r="S12" s="101" t="inlineStr">
        <is>
          <t>Obtain NDA/RFI, confirm sponsor and deadlines, separate the stalled referral from the procurement stream, and apply country-by-country bid/no-bid gates.</t>
        </is>
      </c>
      <c r="T12" s="101" t="inlineStr">
        <is>
          <t>Oracle Simphony; NCR Aloha; Fiserv; Olo Pay/Stripe; Valutec; DMB incumbent unverified</t>
        </is>
      </c>
      <c r="U12" s="101" t="inlineStr">
        <is>
          <t>Split estate, reported $200M+ card volume and international footprint create strategic fit, but the Oracle decision may already be advanced.</t>
        </is>
      </c>
      <c r="V12" s="104" t="inlineStr">
        <is>
          <t>Strong internal brief / customer procurement not confirmed</t>
        </is>
      </c>
    </row>
    <row r="13" ht="26" customHeight="1" s="59">
      <c r="A13" s="100" t="n">
        <v>9</v>
      </c>
      <c r="B13" s="101" t="inlineStr">
        <is>
          <t>P3</t>
        </is>
      </c>
      <c r="C13" s="101" t="inlineStr">
        <is>
          <t>EAT'N PARK HOSPITALITY GRP INC</t>
        </is>
      </c>
      <c r="D13" s="101" t="inlineStr">
        <is>
          <t>Avery Churchwell</t>
        </is>
      </c>
      <c r="E13" s="101" t="inlineStr">
        <is>
          <t>Tier 2</t>
        </is>
      </c>
      <c r="F13" s="102" t="n">
        <v>137</v>
      </c>
      <c r="G13" s="102">
        <f>(H13/5*'Scoring Model'!$B$5+I13/5*'Scoring Model'!$B$6+J13/5*'Scoring Model'!$B$7+K13/5*'Scoring Model'!$B$8+L13/5*'Scoring Model'!$B$9+M13/5*'Scoring Model'!$B$10+N13/5*'Scoring Model'!$B$11)*100</f>
        <v/>
      </c>
      <c r="H13" s="103" t="n">
        <v>3</v>
      </c>
      <c r="I13" s="103" t="n">
        <v>3</v>
      </c>
      <c r="J13" s="103" t="n">
        <v>2</v>
      </c>
      <c r="K13" s="103" t="n">
        <v>3</v>
      </c>
      <c r="L13" s="103" t="n">
        <v>3</v>
      </c>
      <c r="M13" s="103" t="n">
        <v>5</v>
      </c>
      <c r="N13" s="103" t="n">
        <v>4</v>
      </c>
      <c r="O13" s="101" t="inlineStr">
        <is>
          <t>Multi-concept conversion noted by Worldpay</t>
        </is>
      </c>
      <c r="P13" s="101" t="inlineStr">
        <is>
          <t>Mixed / transitioning</t>
        </is>
      </c>
      <c r="Q13" s="101" t="inlineStr">
        <is>
          <t>Unknown</t>
        </is>
      </c>
      <c r="R13" s="101" t="inlineStr">
        <is>
          <t>Consolidation and payments</t>
        </is>
      </c>
      <c r="S13" s="101" t="inlineStr">
        <is>
          <t>Separate stacks by concept and validate Oracle/FreedomPay/Tillster/Olo/Nextep ownership.</t>
        </is>
      </c>
      <c r="T13" s="101" t="inlineStr">
        <is>
          <t>Oracle Simphony; FreedomPay; Tillster; Olo; Nextep</t>
        </is>
      </c>
      <c r="U13" s="101" t="n"/>
      <c r="V13" s="104" t="inlineStr">
        <is>
          <t>Internal baseline only</t>
        </is>
      </c>
    </row>
    <row r="14" ht="39" customHeight="1" s="59">
      <c r="A14" s="100" t="n">
        <v>10</v>
      </c>
      <c r="B14" s="101" t="inlineStr">
        <is>
          <t>P3</t>
        </is>
      </c>
      <c r="C14" s="101" t="inlineStr">
        <is>
          <t>FREDDY'S FROZEN CUSTARD LLC</t>
        </is>
      </c>
      <c r="D14" s="101" t="inlineStr">
        <is>
          <t>Avery Churchwell</t>
        </is>
      </c>
      <c r="E14" s="101" t="inlineStr">
        <is>
          <t>Tier 2</t>
        </is>
      </c>
      <c r="F14" s="102" t="n">
        <v>500</v>
      </c>
      <c r="G14" s="102">
        <f>(H14/5*'Scoring Model'!$B$5+I14/5*'Scoring Model'!$B$6+J14/5*'Scoring Model'!$B$7+K14/5*'Scoring Model'!$B$8+L14/5*'Scoring Model'!$B$9+M14/5*'Scoring Model'!$B$10+N14/5*'Scoring Model'!$B$11)*100</f>
        <v/>
      </c>
      <c r="H14" s="103" t="n">
        <v>4</v>
      </c>
      <c r="I14" s="103" t="n">
        <v>3</v>
      </c>
      <c r="J14" s="103" t="n">
        <v>4</v>
      </c>
      <c r="K14" s="103" t="n">
        <v>1</v>
      </c>
      <c r="L14" s="103" t="n">
        <v>3</v>
      </c>
      <c r="M14" s="103" t="n">
        <v>3</v>
      </c>
      <c r="N14" s="103" t="n">
        <v>5</v>
      </c>
      <c r="O14" s="101" t="inlineStr">
        <is>
          <t>Protected RDS account with no verified displacement event. Avery invited Freddy's contacts to the FSTEC happy hour but had received no response as of September 4.</t>
        </is>
      </c>
      <c r="P14" s="101" t="inlineStr">
        <is>
          <t>Established PAR via RDS; protected channel relationship</t>
        </is>
      </c>
      <c r="Q14" s="101" t="inlineStr">
        <is>
          <t>No verified displacement event; RDS has deep operational and CFO access</t>
        </is>
      </c>
      <c r="R14" s="101" t="inlineStr">
        <is>
          <t>RDS-led value review and modular watchlist</t>
        </is>
      </c>
      <c r="S14" s="101" t="inlineStr">
        <is>
          <t>Keep all activity RDS-led. Confirm whether RDS connected with Ryan after Genius World, identify any FSTEC attendance, and wait for a customer-defined business problem before advancing a value case.</t>
        </is>
      </c>
      <c r="T14" s="101" t="inlineStr">
        <is>
          <t>PAR Brink via RDS; Olo Pay; Creative Realities DMB; Neon entry reported, unverified</t>
        </is>
      </c>
      <c r="U14" s="101" t="inlineStr">
        <is>
          <t>Avery and Todd agreed that RDS is the strongest coordinated route into Freddy's. Todd had previously discussed Genius with RDS at the Freddy's show; an RDS contact attended Genius World, but follow-through with Ryan still needed confirmation.</t>
        </is>
      </c>
      <c r="V14" s="104" t="inlineStr">
        <is>
          <t>High RM/channel intelligence dated 2026-09-04 / no active customer buying trigger verified</t>
        </is>
      </c>
    </row>
    <row r="15" ht="39" customHeight="1" s="59">
      <c r="A15" s="100" t="n">
        <v>11</v>
      </c>
      <c r="B15" s="101" t="inlineStr">
        <is>
          <t>P3</t>
        </is>
      </c>
      <c r="C15" s="101" t="inlineStr">
        <is>
          <t>PAPA JOHN'S USA, INC.</t>
        </is>
      </c>
      <c r="D15" s="101" t="inlineStr">
        <is>
          <t>Brian Wood</t>
        </is>
      </c>
      <c r="E15" s="101" t="inlineStr">
        <is>
          <t>Tier 1</t>
        </is>
      </c>
      <c r="F15" s="102" t="n">
        <v>3300</v>
      </c>
      <c r="G15" s="102">
        <f>(H15/5*'Scoring Model'!$B$5+I15/5*'Scoring Model'!$B$6+J15/5*'Scoring Model'!$B$7+K15/5*'Scoring Model'!$B$8+L15/5*'Scoring Model'!$B$9+M15/5*'Scoring Model'!$B$10+N15/5*'Scoring Model'!$B$11)*100</f>
        <v/>
      </c>
      <c r="H15" s="103" t="n">
        <v>5</v>
      </c>
      <c r="I15" s="103" t="n">
        <v>3</v>
      </c>
      <c r="J15" s="103" t="n">
        <v>3</v>
      </c>
      <c r="K15" s="103" t="n">
        <v>1</v>
      </c>
      <c r="L15" s="103" t="n">
        <v>2</v>
      </c>
      <c r="M15" s="103" t="n">
        <v>4</v>
      </c>
      <c r="N15" s="103" t="n">
        <v>2</v>
      </c>
      <c r="O15" s="101" t="inlineStr">
        <is>
          <t>PAR POS + OPS implementation begins in 2026; rollout through 2027; Linux-build dependency reported but unverified</t>
        </is>
      </c>
      <c r="P15" s="101" t="inlineStr">
        <is>
          <t>Newly selected / deploying</t>
        </is>
      </c>
      <c r="Q15" s="101" t="inlineStr">
        <is>
          <t>PAR reports milestones on track; watch implementation and technical dependencies</t>
        </is>
      </c>
      <c r="R15" s="101" t="inlineStr">
        <is>
          <t>DMB adjacency + implementation-risk watch</t>
        </is>
      </c>
      <c r="S15" s="101" t="inlineStr">
        <is>
          <t>Map DMB and adjacent owners; monitor implementation milestones and validate the reported Linux-build dependency without positioning POS displacement.</t>
        </is>
      </c>
      <c r="T15" s="101" t="inlineStr">
        <is>
          <t>PAR POS; PAR OPS; legacy Mainstreet Monetra; Ingenico</t>
        </is>
      </c>
      <c r="U15" s="101" t="inlineStr">
        <is>
          <t>PAR publicly reports development progress and implementation later in 2026. The Linux requirement is confidential field intelligence requiring technical validation.</t>
        </is>
      </c>
      <c r="V15" s="104" t="inlineStr">
        <is>
          <t>High public evidence + unverified technical-risk lead</t>
        </is>
      </c>
    </row>
    <row r="16" ht="26" customHeight="1" s="59">
      <c r="A16" s="100" t="n">
        <v>12</v>
      </c>
      <c r="B16" s="101" t="inlineStr">
        <is>
          <t>P3</t>
        </is>
      </c>
      <c r="C16" s="101" t="inlineStr">
        <is>
          <t>CRACKER BARREL OLD COUNTRY STORE, INC.</t>
        </is>
      </c>
      <c r="D16" s="101" t="inlineStr">
        <is>
          <t>Brian Wood</t>
        </is>
      </c>
      <c r="E16" s="101" t="inlineStr">
        <is>
          <t>Tier 2</t>
        </is>
      </c>
      <c r="F16" s="102" t="n">
        <v>600</v>
      </c>
      <c r="G16" s="102">
        <f>(H16/5*'Scoring Model'!$B$5+I16/5*'Scoring Model'!$B$6+J16/5*'Scoring Model'!$B$7+K16/5*'Scoring Model'!$B$8+L16/5*'Scoring Model'!$B$9+M16/5*'Scoring Model'!$B$10+N16/5*'Scoring Model'!$B$11)*100</f>
        <v/>
      </c>
      <c r="H16" s="103" t="n">
        <v>4</v>
      </c>
      <c r="I16" s="103" t="n">
        <v>3</v>
      </c>
      <c r="J16" s="103" t="n">
        <v>3</v>
      </c>
      <c r="K16" s="103" t="n">
        <v>2</v>
      </c>
      <c r="L16" s="103" t="n">
        <v>3</v>
      </c>
      <c r="M16" s="103" t="n">
        <v>3</v>
      </c>
      <c r="N16" s="103" t="n">
        <v>3</v>
      </c>
      <c r="O16" s="101" t="inlineStr">
        <is>
          <t>Oracle Simphony rollout continuing in 2026</t>
        </is>
      </c>
      <c r="P16" s="101" t="inlineStr">
        <is>
          <t>Deploying / transition</t>
        </is>
      </c>
      <c r="Q16" s="101" t="inlineStr">
        <is>
          <t>Early field adoption signals; verify</t>
        </is>
      </c>
      <c r="R16" s="101" t="inlineStr">
        <is>
          <t>Adjacent stack and deployment support</t>
        </is>
      </c>
      <c r="S16" s="101" t="inlineStr">
        <is>
          <t>Confirm rollout completion, FreedomPay scope, operational issues and remaining adjacent gaps.</t>
        </is>
      </c>
      <c r="T16" s="101" t="inlineStr">
        <is>
          <t>Oracle Simphony; FreedomPay; Olo</t>
        </is>
      </c>
      <c r="U16" s="101" t="n"/>
      <c r="V16" s="104" t="inlineStr">
        <is>
          <t>Mixed / see ledger</t>
        </is>
      </c>
    </row>
    <row r="17" ht="26" customHeight="1" s="59">
      <c r="A17" s="100" t="n">
        <v>13</v>
      </c>
      <c r="B17" s="101" t="inlineStr">
        <is>
          <t>P3</t>
        </is>
      </c>
      <c r="C17" s="101" t="inlineStr">
        <is>
          <t>MILLLER'S ALE HOUSE</t>
        </is>
      </c>
      <c r="D17" s="101" t="inlineStr">
        <is>
          <t>Avery Churchwell</t>
        </is>
      </c>
      <c r="E17" s="101" t="inlineStr">
        <is>
          <t>Tier 2</t>
        </is>
      </c>
      <c r="F17" s="102" t="n">
        <v>112</v>
      </c>
      <c r="G17" s="102">
        <f>(H17/5*'Scoring Model'!$B$5+I17/5*'Scoring Model'!$B$6+J17/5*'Scoring Model'!$B$7+K17/5*'Scoring Model'!$B$8+L17/5*'Scoring Model'!$B$9+M17/5*'Scoring Model'!$B$10+N17/5*'Scoring Model'!$B$11)*100</f>
        <v/>
      </c>
      <c r="H17" s="103" t="n">
        <v>3</v>
      </c>
      <c r="I17" s="103" t="n">
        <v>3</v>
      </c>
      <c r="J17" s="103" t="n">
        <v>2</v>
      </c>
      <c r="K17" s="103" t="n">
        <v>4</v>
      </c>
      <c r="L17" s="103" t="n">
        <v>3</v>
      </c>
      <c r="M17" s="103" t="n">
        <v>3</v>
      </c>
      <c r="N17" s="103" t="n">
        <v>4</v>
      </c>
      <c r="O17" s="101" t="inlineStr">
        <is>
          <t>Digital payments moved direct to Olo</t>
        </is>
      </c>
      <c r="P17" s="101" t="inlineStr">
        <is>
          <t>Established POS; recent digital payment change</t>
        </is>
      </c>
      <c r="Q17" s="101" t="inlineStr">
        <is>
          <t>Unknown</t>
        </is>
      </c>
      <c r="R17" s="101" t="inlineStr">
        <is>
          <t>In-store POS/payments and guest experience</t>
        </is>
      </c>
      <c r="S17" s="101" t="inlineStr">
        <is>
          <t>Confirm lost scope, NCR renewal, Ziosk footprint and remaining payments opportunity.</t>
        </is>
      </c>
      <c r="T17" s="101" t="inlineStr">
        <is>
          <t>NCR; Ziosk; Olo Pay</t>
        </is>
      </c>
      <c r="U17" s="101" t="n"/>
      <c r="V17" s="104" t="inlineStr">
        <is>
          <t>Internal baseline only</t>
        </is>
      </c>
    </row>
    <row r="18" ht="26" customHeight="1" s="59">
      <c r="A18" s="100" t="n">
        <v>14</v>
      </c>
      <c r="B18" s="101" t="inlineStr">
        <is>
          <t>P3</t>
        </is>
      </c>
      <c r="C18" s="101" t="inlineStr">
        <is>
          <t>LAROSA'S INC</t>
        </is>
      </c>
      <c r="D18" s="101" t="inlineStr">
        <is>
          <t>Maggie Lenhart</t>
        </is>
      </c>
      <c r="E18" s="101" t="inlineStr">
        <is>
          <t>Tier 2</t>
        </is>
      </c>
      <c r="F18" s="102" t="n">
        <v>76</v>
      </c>
      <c r="G18" s="102">
        <f>(H18/5*'Scoring Model'!$B$5+I18/5*'Scoring Model'!$B$6+J18/5*'Scoring Model'!$B$7+K18/5*'Scoring Model'!$B$8+L18/5*'Scoring Model'!$B$9+M18/5*'Scoring Model'!$B$10+N18/5*'Scoring Model'!$B$11)*100</f>
        <v/>
      </c>
      <c r="H18" s="103" t="n">
        <v>2</v>
      </c>
      <c r="I18" s="103" t="n">
        <v>3</v>
      </c>
      <c r="J18" s="103" t="n">
        <v>2</v>
      </c>
      <c r="K18" s="103" t="n">
        <v>4</v>
      </c>
      <c r="L18" s="103" t="n">
        <v>3</v>
      </c>
      <c r="M18" s="103" t="n">
        <v>4</v>
      </c>
      <c r="N18" s="103" t="n">
        <v>3</v>
      </c>
      <c r="O18" s="101" t="inlineStr">
        <is>
          <t>Possible EMV modernization gap</t>
        </is>
      </c>
      <c r="P18" s="101" t="inlineStr">
        <is>
          <t>Mature / niche POS</t>
        </is>
      </c>
      <c r="Q18" s="101" t="inlineStr">
        <is>
          <t>Unknown</t>
        </is>
      </c>
      <c r="R18" s="101" t="inlineStr">
        <is>
          <t>EMV, payments and enterprise modernization</t>
        </is>
      </c>
      <c r="S18" s="101" t="inlineStr">
        <is>
          <t>Validate POS.Cloud contract, non-EMV exposure, franchise scope and replacement appetite.</t>
        </is>
      </c>
      <c r="T18" s="101" t="inlineStr">
        <is>
          <t>Point of Sale.Cloud; Mainstreet Monetra; triPOS</t>
        </is>
      </c>
      <c r="U18" s="101" t="n"/>
      <c r="V18" s="104" t="inlineStr">
        <is>
          <t>Internal baseline only</t>
        </is>
      </c>
    </row>
    <row r="19" ht="26" customHeight="1" s="59">
      <c r="A19" s="100" t="n">
        <v>15</v>
      </c>
      <c r="B19" s="101" t="inlineStr">
        <is>
          <t>P3</t>
        </is>
      </c>
      <c r="C19" s="101" t="inlineStr">
        <is>
          <t>CHURCHS CHICKEN 558</t>
        </is>
      </c>
      <c r="D19" s="101" t="inlineStr">
        <is>
          <t>Maggie Lenhart</t>
        </is>
      </c>
      <c r="E19" s="101" t="inlineStr">
        <is>
          <t>Tier 2</t>
        </is>
      </c>
      <c r="F19" s="102" t="n">
        <v>832</v>
      </c>
      <c r="G19" s="102">
        <f>(H19/5*'Scoring Model'!$B$5+I19/5*'Scoring Model'!$B$6+J19/5*'Scoring Model'!$B$7+K19/5*'Scoring Model'!$B$8+L19/5*'Scoring Model'!$B$9+M19/5*'Scoring Model'!$B$10+N19/5*'Scoring Model'!$B$11)*100</f>
        <v/>
      </c>
      <c r="H19" s="103" t="n">
        <v>4</v>
      </c>
      <c r="I19" s="103" t="n">
        <v>2</v>
      </c>
      <c r="J19" s="103" t="n">
        <v>2</v>
      </c>
      <c r="K19" s="103" t="n">
        <v>3</v>
      </c>
      <c r="L19" s="103" t="n">
        <v>2</v>
      </c>
      <c r="M19" s="103" t="n">
        <v>4</v>
      </c>
      <c r="N19" s="103" t="n">
        <v>3</v>
      </c>
      <c r="O19" s="101" t="inlineStr">
        <is>
          <t>Qu vs Oracle decision not officially communicated to Worldpay</t>
        </is>
      </c>
      <c r="P19" s="101" t="inlineStr">
        <is>
          <t>Established</t>
        </is>
      </c>
      <c r="Q19" s="101" t="inlineStr">
        <is>
          <t>Decision believed to favor Qu; verify</t>
        </is>
      </c>
      <c r="R19" s="101" t="inlineStr">
        <is>
          <t>DMB/drive-thru adjacency after POS verification</t>
        </is>
      </c>
      <c r="S19" s="101" t="inlineStr">
        <is>
          <t>Use Maggie to confirm the final POS decision and current payments integration before positioning an adjacency.</t>
        </is>
      </c>
      <c r="T19" s="101" t="inlineStr">
        <is>
          <t>Qu; Aurus; Olo; Bite</t>
        </is>
      </c>
      <c r="U19" s="101" t="inlineStr">
        <is>
          <t>Maggie reports Qu is assumed but not officially confirmed; leadership changes delayed clarity.</t>
        </is>
      </c>
      <c r="V19" s="104" t="inlineStr">
        <is>
          <t>High RM intelligence / unresolved</t>
        </is>
      </c>
    </row>
    <row r="20" ht="26" customHeight="1" s="59">
      <c r="A20" s="100" t="n">
        <v>16</v>
      </c>
      <c r="B20" s="101" t="inlineStr">
        <is>
          <t>P3</t>
        </is>
      </c>
      <c r="C20" s="101" t="inlineStr">
        <is>
          <t>GOLDEN CORRAL</t>
        </is>
      </c>
      <c r="D20" s="101" t="inlineStr">
        <is>
          <t>Maggie Lenhart</t>
        </is>
      </c>
      <c r="E20" s="101" t="inlineStr">
        <is>
          <t>Tier 2</t>
        </is>
      </c>
      <c r="F20" s="102" t="n">
        <v>640</v>
      </c>
      <c r="G20" s="102">
        <f>(H20/5*'Scoring Model'!$B$5+I20/5*'Scoring Model'!$B$6+J20/5*'Scoring Model'!$B$7+K20/5*'Scoring Model'!$B$8+L20/5*'Scoring Model'!$B$9+M20/5*'Scoring Model'!$B$10+N20/5*'Scoring Model'!$B$11)*100</f>
        <v/>
      </c>
      <c r="H20" s="103" t="n">
        <v>4</v>
      </c>
      <c r="I20" s="103" t="n">
        <v>2</v>
      </c>
      <c r="J20" s="103" t="n">
        <v>2</v>
      </c>
      <c r="K20" s="103" t="n">
        <v>3</v>
      </c>
      <c r="L20" s="103" t="n">
        <v>2</v>
      </c>
      <c r="M20" s="103" t="n">
        <v>4</v>
      </c>
      <c r="N20" s="103" t="n">
        <v>3</v>
      </c>
      <c r="O20" s="101" t="inlineStr">
        <is>
          <t>No dated public trigger found</t>
        </is>
      </c>
      <c r="P20" s="101" t="inlineStr">
        <is>
          <t>Established / date unknown</t>
        </is>
      </c>
      <c r="Q20" s="101" t="inlineStr">
        <is>
          <t>Unknown</t>
        </is>
      </c>
      <c r="R20" s="101" t="inlineStr">
        <is>
          <t>Franchise payments + adjacent discovery</t>
        </is>
      </c>
      <c r="S20" s="101" t="inlineStr">
        <is>
          <t>Verify Qu start date, Aurus/Olo scopes, franchise penetration and contract dates.</t>
        </is>
      </c>
      <c r="T20" s="101" t="inlineStr">
        <is>
          <t>Qu; Aurus; Olo</t>
        </is>
      </c>
      <c r="U20" s="101" t="n"/>
      <c r="V20" s="104" t="inlineStr">
        <is>
          <t>Internal baseline only</t>
        </is>
      </c>
    </row>
    <row r="21" ht="39" customHeight="1" s="59">
      <c r="A21" s="100" t="n">
        <v>17</v>
      </c>
      <c r="B21" s="101" t="inlineStr">
        <is>
          <t>P3</t>
        </is>
      </c>
      <c r="C21" s="101" t="inlineStr">
        <is>
          <t>Red Robin</t>
        </is>
      </c>
      <c r="D21" s="101" t="inlineStr">
        <is>
          <t>Avery Churchwell</t>
        </is>
      </c>
      <c r="E21" s="101" t="inlineStr">
        <is>
          <t>Tier 2</t>
        </is>
      </c>
      <c r="F21" s="102" t="n">
        <v>500</v>
      </c>
      <c r="G21" s="102">
        <f>(H21/5*'Scoring Model'!$B$5+I21/5*'Scoring Model'!$B$6+J21/5*'Scoring Model'!$B$7+K21/5*'Scoring Model'!$B$8+L21/5*'Scoring Model'!$B$9+M21/5*'Scoring Model'!$B$10+N21/5*'Scoring Model'!$B$11)*100</f>
        <v/>
      </c>
      <c r="H21" s="103" t="n">
        <v>4</v>
      </c>
      <c r="I21" s="103" t="n">
        <v>2</v>
      </c>
      <c r="J21" s="103" t="n">
        <v>2</v>
      </c>
      <c r="K21" s="103" t="n">
        <v>4</v>
      </c>
      <c r="L21" s="103" t="n">
        <v>2</v>
      </c>
      <c r="M21" s="103" t="n">
        <v>3</v>
      </c>
      <c r="N21" s="103" t="n">
        <v>3</v>
      </c>
      <c r="O21" s="101" t="inlineStr">
        <is>
          <t>Avery sees signs that Red Robin may be in a better operating position and considers it a renewed prospecting possibility; no customer-confirmed buying event was disclosed.</t>
        </is>
      </c>
      <c r="P21" s="101" t="inlineStr">
        <is>
          <t>Mature mixed stack</t>
        </is>
      </c>
      <c r="Q21" s="101" t="inlineStr">
        <is>
          <t>Customer pressure; limited capital</t>
        </is>
      </c>
      <c r="R21" s="101" t="inlineStr">
        <is>
          <t>Pay-at-table replacement + payment savings</t>
        </is>
      </c>
      <c r="S21" s="101" t="inlineStr">
        <is>
          <t>Validate the improved-business-condition signal with current public results and direct RM knowledge, then confirm NCR term, Ziosk dissatisfaction, decision ownership and whether a pay-at-table/payment-savings discussion is timely.</t>
        </is>
      </c>
      <c r="T21" s="101" t="inlineStr">
        <is>
          <t>NCR Aloha; Ziosk; Olo; Monkey Media</t>
        </is>
      </c>
      <c r="U21" s="101" t="inlineStr">
        <is>
          <t>On September 4 Avery said recent reading suggested Red Robin was in a better spot and should be reconsidered as a possibility. This is a directional RM assessment, not a confirmed customer initiative.</t>
        </is>
      </c>
      <c r="V21" s="104" t="inlineStr">
        <is>
          <t>Medium RM assessment dated 2026-09-04 / customer trigger unverified</t>
        </is>
      </c>
    </row>
    <row r="22" ht="26" customHeight="1" s="59">
      <c r="A22" s="100" t="n">
        <v>18</v>
      </c>
      <c r="B22" s="101" t="inlineStr">
        <is>
          <t>P3</t>
        </is>
      </c>
      <c r="C22" s="101" t="inlineStr">
        <is>
          <t>BOB EVANS RESTAURANTS, LLC</t>
        </is>
      </c>
      <c r="D22" s="101" t="inlineStr">
        <is>
          <t>Brian Wood</t>
        </is>
      </c>
      <c r="E22" s="101" t="inlineStr">
        <is>
          <t>Tier 2</t>
        </is>
      </c>
      <c r="F22" s="102" t="n">
        <v>450</v>
      </c>
      <c r="G22" s="102">
        <f>(H22/5*'Scoring Model'!$B$5+I22/5*'Scoring Model'!$B$6+J22/5*'Scoring Model'!$B$7+K22/5*'Scoring Model'!$B$8+L22/5*'Scoring Model'!$B$9+M22/5*'Scoring Model'!$B$10+N22/5*'Scoring Model'!$B$11)*100</f>
        <v/>
      </c>
      <c r="H22" s="103" t="n">
        <v>3</v>
      </c>
      <c r="I22" s="103" t="n">
        <v>2</v>
      </c>
      <c r="J22" s="103" t="n">
        <v>2</v>
      </c>
      <c r="K22" s="103" t="n">
        <v>4</v>
      </c>
      <c r="L22" s="103" t="n">
        <v>2</v>
      </c>
      <c r="M22" s="103" t="n">
        <v>4</v>
      </c>
      <c r="N22" s="103" t="n">
        <v>3</v>
      </c>
      <c r="O22" s="101" t="inlineStr">
        <is>
          <t>No dated primary-source trigger verified</t>
        </is>
      </c>
      <c r="P22" s="101" t="inlineStr">
        <is>
          <t>Established NCR estate</t>
        </is>
      </c>
      <c r="Q22" s="101" t="inlineStr">
        <is>
          <t>Unknown</t>
        </is>
      </c>
      <c r="R22" s="101" t="inlineStr">
        <is>
          <t>Aging POS and adjacent modernization</t>
        </is>
      </c>
      <c r="S22" s="101" t="inlineStr">
        <is>
          <t>Confirm earliest Aloha deployment/renewal and Connected Payments term.</t>
        </is>
      </c>
      <c r="T22" s="101" t="inlineStr">
        <is>
          <t>NCR Aloha; NCR Connected Payments</t>
        </is>
      </c>
      <c r="U22" s="101" t="n"/>
      <c r="V22" s="104" t="inlineStr">
        <is>
          <t>Internal baseline only</t>
        </is>
      </c>
    </row>
    <row r="23" ht="26" customHeight="1" s="59">
      <c r="A23" s="100" t="n">
        <v>19</v>
      </c>
      <c r="B23" s="101" t="inlineStr">
        <is>
          <t>P3</t>
        </is>
      </c>
      <c r="C23" s="101" t="inlineStr">
        <is>
          <t>GRAETERS</t>
        </is>
      </c>
      <c r="D23" s="101" t="inlineStr">
        <is>
          <t>Maggie Lenhart</t>
        </is>
      </c>
      <c r="E23" s="101" t="inlineStr">
        <is>
          <t>Tier 2</t>
        </is>
      </c>
      <c r="F23" s="102" t="n">
        <v>67</v>
      </c>
      <c r="G23" s="102">
        <f>(H23/5*'Scoring Model'!$B$5+I23/5*'Scoring Model'!$B$6+J23/5*'Scoring Model'!$B$7+K23/5*'Scoring Model'!$B$8+L23/5*'Scoring Model'!$B$9+M23/5*'Scoring Model'!$B$10+N23/5*'Scoring Model'!$B$11)*100</f>
        <v/>
      </c>
      <c r="H23" s="103" t="n">
        <v>2</v>
      </c>
      <c r="I23" s="103" t="n">
        <v>3</v>
      </c>
      <c r="J23" s="103" t="n">
        <v>3</v>
      </c>
      <c r="K23" s="103" t="n">
        <v>3</v>
      </c>
      <c r="L23" s="103" t="n">
        <v>2</v>
      </c>
      <c r="M23" s="103" t="n">
        <v>4</v>
      </c>
      <c r="N23" s="103" t="n">
        <v>3</v>
      </c>
      <c r="O23" s="101" t="inlineStr">
        <is>
          <t>Product segmentation clarified</t>
        </is>
      </c>
      <c r="P23" s="101" t="inlineStr">
        <is>
          <t>PAR non-enterprise deployment</t>
        </is>
      </c>
      <c r="Q23" s="101" t="inlineStr">
        <is>
          <t>No adverse signal</t>
        </is>
      </c>
      <c r="R23" s="101" t="inlineStr">
        <is>
          <t>Enterprise upgrade or adjacent stack</t>
        </is>
      </c>
      <c r="S23" s="101" t="inlineStr">
        <is>
          <t>Confirm PAR product/SKU, reseller, site coverage and enterprise gaps; test migration economics without misclassifying current state.</t>
        </is>
      </c>
      <c r="T23" s="101" t="inlineStr">
        <is>
          <t>PAR Brink (non-enterprise); Olo</t>
        </is>
      </c>
      <c r="U23" s="101" t="inlineStr">
        <is>
          <t>Graeter's is a PAR customer but not PAR Enterprise.</t>
        </is>
      </c>
      <c r="V23" s="104" t="inlineStr">
        <is>
          <t>Mixed / see ledger</t>
        </is>
      </c>
    </row>
    <row r="24" ht="26" customHeight="1" s="59">
      <c r="A24" s="100" t="n">
        <v>20</v>
      </c>
      <c r="B24" s="101" t="inlineStr">
        <is>
          <t>P3</t>
        </is>
      </c>
      <c r="C24" s="101" t="inlineStr">
        <is>
          <t>STARBUCKS CORPORATION</t>
        </is>
      </c>
      <c r="D24" s="101" t="inlineStr">
        <is>
          <t>Stacie Davis</t>
        </is>
      </c>
      <c r="E24" s="101" t="inlineStr">
        <is>
          <t>Tier 1</t>
        </is>
      </c>
      <c r="F24" s="102" t="n">
        <v>10000</v>
      </c>
      <c r="G24" s="102">
        <f>(H24/5*'Scoring Model'!$B$5+I24/5*'Scoring Model'!$B$6+J24/5*'Scoring Model'!$B$7+K24/5*'Scoring Model'!$B$8+L24/5*'Scoring Model'!$B$9+M24/5*'Scoring Model'!$B$10+N24/5*'Scoring Model'!$B$11)*100</f>
        <v/>
      </c>
      <c r="H24" s="103" t="n">
        <v>5</v>
      </c>
      <c r="I24" s="103" t="n">
        <v>2</v>
      </c>
      <c r="J24" s="103" t="n">
        <v>2</v>
      </c>
      <c r="K24" s="103" t="n">
        <v>2</v>
      </c>
      <c r="L24" s="103" t="n">
        <v>2</v>
      </c>
      <c r="M24" s="103" t="n">
        <v>3</v>
      </c>
      <c r="N24" s="103" t="n">
        <v>4</v>
      </c>
      <c r="O24" s="101" t="inlineStr">
        <is>
          <t>Only partial Worldpay volume reported</t>
        </is>
      </c>
      <c r="P24" s="101" t="inlineStr">
        <is>
          <t>Proprietary / mature</t>
        </is>
      </c>
      <c r="Q24" s="101" t="inlineStr">
        <is>
          <t>Unknown</t>
        </is>
      </c>
      <c r="R24" s="101" t="inlineStr">
        <is>
          <t>Payments share expansion and hardware</t>
        </is>
      </c>
      <c r="S24" s="101" t="inlineStr">
        <is>
          <t>Quantify the 20% Worldpay footprint, renewal dates, licensed-store scope and Verifone lifecycle.</t>
        </is>
      </c>
      <c r="T24" s="101" t="inlineStr">
        <is>
          <t>Proprietary/VF PWC; Verifone</t>
        </is>
      </c>
      <c r="U24" s="101" t="n"/>
      <c r="V24" s="104" t="inlineStr">
        <is>
          <t>Internal baseline only</t>
        </is>
      </c>
    </row>
    <row r="25" ht="26" customHeight="1" s="59">
      <c r="A25" s="100" t="n">
        <v>21</v>
      </c>
      <c r="B25" s="101" t="inlineStr">
        <is>
          <t>P3</t>
        </is>
      </c>
      <c r="C25" s="101" t="inlineStr">
        <is>
          <t>LITTLE CAESARS ENTERPRISE INC</t>
        </is>
      </c>
      <c r="D25" s="101" t="inlineStr">
        <is>
          <t>Avery Churchwell</t>
        </is>
      </c>
      <c r="E25" s="101" t="inlineStr">
        <is>
          <t>Tier 1</t>
        </is>
      </c>
      <c r="F25" s="102" t="n">
        <v>4200</v>
      </c>
      <c r="G25" s="102">
        <f>(H25/5*'Scoring Model'!$B$5+I25/5*'Scoring Model'!$B$6+J25/5*'Scoring Model'!$B$7+K25/5*'Scoring Model'!$B$8+L25/5*'Scoring Model'!$B$9+M25/5*'Scoring Model'!$B$10+N25/5*'Scoring Model'!$B$11)*100</f>
        <v/>
      </c>
      <c r="H25" s="103" t="n">
        <v>5</v>
      </c>
      <c r="I25" s="103" t="n">
        <v>2</v>
      </c>
      <c r="J25" s="103" t="n">
        <v>2</v>
      </c>
      <c r="K25" s="103" t="n">
        <v>1</v>
      </c>
      <c r="L25" s="103" t="n">
        <v>2</v>
      </c>
      <c r="M25" s="103" t="n">
        <v>4</v>
      </c>
      <c r="N25" s="103" t="n">
        <v>3</v>
      </c>
      <c r="O25" s="101" t="inlineStr">
        <is>
          <t>Relationship is active enough for technical-support interaction, but commercial follow-up is stalled: Avery reported three open items and no response to repeated emails for roughly a week and a half.</t>
        </is>
      </c>
      <c r="P25" s="101" t="inlineStr">
        <is>
          <t>Proprietary / entrenched</t>
        </is>
      </c>
      <c r="Q25" s="101" t="inlineStr">
        <is>
          <t>Unknown</t>
        </is>
      </c>
      <c r="R25" s="101" t="inlineStr">
        <is>
          <t>Payments, DMB, franchise and data adjacency</t>
        </is>
      </c>
      <c r="S25" s="101"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101" t="inlineStr">
        <is>
          <t>CaesarVision; Verifone; Mashgin</t>
        </is>
      </c>
      <c r="U25" s="101" t="inlineStr">
        <is>
          <t>Avery reported three items awaiting follow-up and no response to emails for approximately 1.5 weeks, despite participating in a technical-support call with the account earlier that week.</t>
        </is>
      </c>
      <c r="V25" s="104" t="inlineStr">
        <is>
          <t>High RM interaction evidence dated 2026-09-04 / commercial trigger unverified</t>
        </is>
      </c>
    </row>
    <row r="26" ht="26" customHeight="1" s="59">
      <c r="A26" s="100" t="n">
        <v>22</v>
      </c>
      <c r="B26" s="101" t="inlineStr">
        <is>
          <t>P3</t>
        </is>
      </c>
      <c r="C26" s="101" t="inlineStr">
        <is>
          <t>BLACK BEAR DINER</t>
        </is>
      </c>
      <c r="D26" s="101" t="inlineStr">
        <is>
          <t>Avery Churchwell</t>
        </is>
      </c>
      <c r="E26" s="101" t="inlineStr">
        <is>
          <t>Tier 2</t>
        </is>
      </c>
      <c r="F26" s="102" t="n">
        <v>217</v>
      </c>
      <c r="G26" s="102">
        <f>(H26/5*'Scoring Model'!$B$5+I26/5*'Scoring Model'!$B$6+J26/5*'Scoring Model'!$B$7+K26/5*'Scoring Model'!$B$8+L26/5*'Scoring Model'!$B$9+M26/5*'Scoring Model'!$B$10+N26/5*'Scoring Model'!$B$11)*100</f>
        <v/>
      </c>
      <c r="H26" s="103" t="n">
        <v>3</v>
      </c>
      <c r="I26" s="103" t="n">
        <v>3</v>
      </c>
      <c r="J26" s="103" t="n">
        <v>2</v>
      </c>
      <c r="K26" s="103" t="n">
        <v>2</v>
      </c>
      <c r="L26" s="103" t="n">
        <v>3</v>
      </c>
      <c r="M26" s="103" t="n">
        <v>3</v>
      </c>
      <c r="N26" s="103" t="n">
        <v>4</v>
      </c>
      <c r="O26" s="101" t="inlineStr">
        <is>
          <t>Transitioned toward Toast; Olo catering evidence</t>
        </is>
      </c>
      <c r="P26" s="101" t="inlineStr">
        <is>
          <t>Recently changed / deploying</t>
        </is>
      </c>
      <c r="Q26" s="101" t="inlineStr">
        <is>
          <t>Unknown</t>
        </is>
      </c>
      <c r="R26" s="101" t="inlineStr">
        <is>
          <t>Retain payments + adjacent gaps</t>
        </is>
      </c>
      <c r="S26" s="101" t="inlineStr">
        <is>
          <t>Confirm Toast deployment scope and whether Worldpay became unmanaged; map Olo modules and remaining corporate/franchise gaps.</t>
        </is>
      </c>
      <c r="T26" s="101" t="inlineStr">
        <is>
          <t>Toast; Olo</t>
        </is>
      </c>
      <c r="U26" s="101" t="n"/>
      <c r="V26" s="104" t="inlineStr">
        <is>
          <t>Mixed / see ledger</t>
        </is>
      </c>
    </row>
    <row r="27" ht="26" customHeight="1" s="59">
      <c r="A27" s="100" t="n">
        <v>23</v>
      </c>
      <c r="B27" s="101" t="inlineStr">
        <is>
          <t>P3</t>
        </is>
      </c>
      <c r="C27" s="101" t="inlineStr">
        <is>
          <t>DOMINO'S PIZZA</t>
        </is>
      </c>
      <c r="D27" s="101" t="inlineStr">
        <is>
          <t>Stacie Davis</t>
        </is>
      </c>
      <c r="E27" s="101" t="inlineStr">
        <is>
          <t>Tier 1</t>
        </is>
      </c>
      <c r="F27" s="102" t="n">
        <v>7000</v>
      </c>
      <c r="G27" s="102">
        <f>(H27/5*'Scoring Model'!$B$5+I27/5*'Scoring Model'!$B$6+J27/5*'Scoring Model'!$B$7+K27/5*'Scoring Model'!$B$8+L27/5*'Scoring Model'!$B$9+M27/5*'Scoring Model'!$B$10+N27/5*'Scoring Model'!$B$11)*100</f>
        <v/>
      </c>
      <c r="H27" s="103" t="n">
        <v>5</v>
      </c>
      <c r="I27" s="103" t="n">
        <v>2</v>
      </c>
      <c r="J27" s="103" t="n">
        <v>2</v>
      </c>
      <c r="K27" s="103" t="n">
        <v>1</v>
      </c>
      <c r="L27" s="103" t="n">
        <v>2</v>
      </c>
      <c r="M27" s="103" t="n">
        <v>3</v>
      </c>
      <c r="N27" s="103" t="n">
        <v>3</v>
      </c>
      <c r="O27" s="101" t="inlineStr">
        <is>
          <t>Proprietary estate; no open trigger verified</t>
        </is>
      </c>
      <c r="P27" s="101" t="inlineStr">
        <is>
          <t>Proprietary / entrenched</t>
        </is>
      </c>
      <c r="Q27" s="101" t="inlineStr">
        <is>
          <t>Unknown</t>
        </is>
      </c>
      <c r="R27" s="101" t="inlineStr">
        <is>
          <t>Payments, hardware and franchise adjacency</t>
        </is>
      </c>
      <c r="S27" s="101" t="inlineStr">
        <is>
          <t>Confirm ACI/Cybersource tenure, processor split and franchise technology control.</t>
        </is>
      </c>
      <c r="T27" s="101" t="inlineStr">
        <is>
          <t>Proprietary; ACI/Cybersource; Ingenico</t>
        </is>
      </c>
      <c r="U27" s="101" t="n"/>
      <c r="V27" s="104" t="inlineStr">
        <is>
          <t>Internal baseline only</t>
        </is>
      </c>
    </row>
    <row r="28" ht="26" customHeight="1" s="59">
      <c r="A28" s="100" t="n">
        <v>24</v>
      </c>
      <c r="B28" s="101" t="inlineStr">
        <is>
          <t>P3</t>
        </is>
      </c>
      <c r="C28" s="101" t="inlineStr">
        <is>
          <t>FIREHOUSE RESTAURANT</t>
        </is>
      </c>
      <c r="D28" s="101" t="inlineStr">
        <is>
          <t>Brian Wood</t>
        </is>
      </c>
      <c r="E28" s="101" t="inlineStr">
        <is>
          <t>Tier 2</t>
        </is>
      </c>
      <c r="F28" s="102" t="n">
        <v>1200</v>
      </c>
      <c r="G28" s="102">
        <f>(H28/5*'Scoring Model'!$B$5+I28/5*'Scoring Model'!$B$6+J28/5*'Scoring Model'!$B$7+K28/5*'Scoring Model'!$B$8+L28/5*'Scoring Model'!$B$9+M28/5*'Scoring Model'!$B$10+N28/5*'Scoring Model'!$B$11)*100</f>
        <v/>
      </c>
      <c r="H28" s="103" t="n">
        <v>4</v>
      </c>
      <c r="I28" s="103" t="n">
        <v>2</v>
      </c>
      <c r="J28" s="103" t="n">
        <v>2</v>
      </c>
      <c r="K28" s="103" t="n">
        <v>2</v>
      </c>
      <c r="L28" s="103" t="n">
        <v>2</v>
      </c>
      <c r="M28" s="103" t="n">
        <v>3</v>
      </c>
      <c r="N28" s="103" t="n">
        <v>3</v>
      </c>
      <c r="O28" s="101" t="inlineStr">
        <is>
          <t>Toast relationship appears strategic</t>
        </is>
      </c>
      <c r="P28" s="101" t="inlineStr">
        <is>
          <t>Established / strategic</t>
        </is>
      </c>
      <c r="Q28" s="101" t="inlineStr">
        <is>
          <t>No adverse signal</t>
        </is>
      </c>
      <c r="R28" s="101" t="inlineStr">
        <is>
          <t>Franchise payments and adjacent whitespace</t>
        </is>
      </c>
      <c r="S28" s="101" t="inlineStr">
        <is>
          <t>Confirm Toast modules and RBI governance; focus only on uncovered layers/franchise exceptions.</t>
        </is>
      </c>
      <c r="T28" s="101" t="inlineStr">
        <is>
          <t>Toast; eGiftify</t>
        </is>
      </c>
      <c r="U28" s="101" t="n"/>
      <c r="V28" s="104" t="inlineStr">
        <is>
          <t>Internal baseline only</t>
        </is>
      </c>
    </row>
    <row r="29" ht="26" customHeight="1" s="59">
      <c r="A29" s="100" t="n">
        <v>25</v>
      </c>
      <c r="B29" s="101" t="inlineStr">
        <is>
          <t>P3</t>
        </is>
      </c>
      <c r="C29" s="101" t="inlineStr">
        <is>
          <t>BOYNE USA INC</t>
        </is>
      </c>
      <c r="D29" s="101" t="inlineStr">
        <is>
          <t>Avery Churchwell</t>
        </is>
      </c>
      <c r="E29" s="101" t="inlineStr">
        <is>
          <t>Tier 2</t>
        </is>
      </c>
      <c r="F29" s="102" t="n">
        <v>17</v>
      </c>
      <c r="G29" s="102">
        <f>(H29/5*'Scoring Model'!$B$5+I29/5*'Scoring Model'!$B$6+J29/5*'Scoring Model'!$B$7+K29/5*'Scoring Model'!$B$8+L29/5*'Scoring Model'!$B$9+M29/5*'Scoring Model'!$B$10+N29/5*'Scoring Model'!$B$11)*100</f>
        <v/>
      </c>
      <c r="H29" s="103" t="n">
        <v>2</v>
      </c>
      <c r="I29" s="103" t="n">
        <v>2</v>
      </c>
      <c r="J29" s="103" t="n">
        <v>2</v>
      </c>
      <c r="K29" s="103" t="n">
        <v>3</v>
      </c>
      <c r="L29" s="103" t="n">
        <v>2</v>
      </c>
      <c r="M29" s="103" t="n">
        <v>4</v>
      </c>
      <c r="N29" s="103" t="n">
        <v>3</v>
      </c>
      <c r="O29" s="101" t="inlineStr">
        <is>
          <t>No trigger verified</t>
        </is>
      </c>
      <c r="P29" s="101" t="inlineStr">
        <is>
          <t>Established mixed hospitality stack</t>
        </is>
      </c>
      <c r="Q29" s="101" t="inlineStr">
        <is>
          <t>Unknown</t>
        </is>
      </c>
      <c r="R29" s="101" t="inlineStr">
        <is>
          <t>Resort commerce consolidation</t>
        </is>
      </c>
      <c r="S29" s="101" t="inlineStr">
        <is>
          <t>Map Agilysys, RTP, Mashgin and Flaik by venue/property; confirm renewal dates.</t>
        </is>
      </c>
      <c r="T29" s="101" t="inlineStr">
        <is>
          <t>Agilysys; RTP; FreedomPay; Mashgin; Flaik</t>
        </is>
      </c>
      <c r="U29" s="101" t="n"/>
      <c r="V29" s="104" t="inlineStr">
        <is>
          <t>Internal baseline only</t>
        </is>
      </c>
    </row>
    <row r="30" ht="39" customHeight="1" s="59">
      <c r="A30" s="100" t="n">
        <v>26</v>
      </c>
      <c r="B30" s="101" t="inlineStr">
        <is>
          <t>P3</t>
        </is>
      </c>
      <c r="C30" s="101" t="inlineStr">
        <is>
          <t>SLIM CHICKENS</t>
        </is>
      </c>
      <c r="D30" s="101" t="inlineStr">
        <is>
          <t>Avery Churchwell</t>
        </is>
      </c>
      <c r="E30" s="101" t="inlineStr">
        <is>
          <t>Tier 2</t>
        </is>
      </c>
      <c r="F30" s="102" t="n">
        <v>250</v>
      </c>
      <c r="G30" s="102">
        <f>(H30/5*'Scoring Model'!$B$5+I30/5*'Scoring Model'!$B$6+J30/5*'Scoring Model'!$B$7+K30/5*'Scoring Model'!$B$8+L30/5*'Scoring Model'!$B$9+M30/5*'Scoring Model'!$B$10+N30/5*'Scoring Model'!$B$11)*100</f>
        <v/>
      </c>
      <c r="H30" s="103" t="n">
        <v>3</v>
      </c>
      <c r="I30" s="103" t="n">
        <v>2</v>
      </c>
      <c r="J30" s="103" t="n">
        <v>2</v>
      </c>
      <c r="K30" s="103" t="n">
        <v>3</v>
      </c>
      <c r="L30" s="103" t="n">
        <v>1</v>
      </c>
      <c r="M30" s="103" t="n">
        <v>3</v>
      </c>
      <c r="N30" s="103" t="n">
        <v>2</v>
      </c>
      <c r="O30" s="101" t="inlineStr">
        <is>
          <t>Worldpay remains renewed through the reported three-year term. A Slim Chickens contact told Avery she plans to attend the FSTEC happy hour; RDS remains the required channel path.</t>
        </is>
      </c>
      <c r="P30" s="101" t="inlineStr">
        <is>
          <t>Established and expanding digital</t>
        </is>
      </c>
      <c r="Q30" s="101" t="inlineStr">
        <is>
          <t>Payments retained; Olo remains entrenched</t>
        </is>
      </c>
      <c r="R30" s="101" t="inlineStr">
        <is>
          <t>RDS-led relationship map; no active displacement trigger</t>
        </is>
      </c>
      <c r="S30" s="101" t="inlineStr">
        <is>
          <t>Avery to connect the attending Slim Chickens contact with Todd and the onsite Genius team for FSTEC; coordinate all follow-up with RDS and use the meeting to validate stakeholders and customer-defined modular needs, not to force a displacement pitch.</t>
        </is>
      </c>
      <c r="T30" s="101" t="inlineStr">
        <is>
          <t>PAR Brink; Olo Ordering/Dispatch/Rails/Switchboard/Sync</t>
        </is>
      </c>
      <c r="U30" s="101"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104" t="inlineStr">
        <is>
          <t>High RM/channel intelligence dated 2026-09-04</t>
        </is>
      </c>
    </row>
    <row r="31" ht="26" customHeight="1" s="59">
      <c r="A31" s="100" t="n">
        <v>27</v>
      </c>
      <c r="B31" s="101" t="inlineStr">
        <is>
          <t>P3</t>
        </is>
      </c>
      <c r="C31" s="101" t="inlineStr">
        <is>
          <t>Barbara B Mann PAH</t>
        </is>
      </c>
      <c r="D31" s="101" t="inlineStr">
        <is>
          <t>Brian Wood</t>
        </is>
      </c>
      <c r="E31" s="101" t="inlineStr">
        <is>
          <t>Tier 2</t>
        </is>
      </c>
      <c r="F31" s="102" t="n"/>
      <c r="G31" s="102">
        <f>(H31/5*'Scoring Model'!$B$5+I31/5*'Scoring Model'!$B$6+J31/5*'Scoring Model'!$B$7+K31/5*'Scoring Model'!$B$8+L31/5*'Scoring Model'!$B$9+M31/5*'Scoring Model'!$B$10+N31/5*'Scoring Model'!$B$11)*100</f>
        <v/>
      </c>
      <c r="H31" s="103" t="n">
        <v>1</v>
      </c>
      <c r="I31" s="103" t="n">
        <v>2</v>
      </c>
      <c r="J31" s="103" t="n">
        <v>1</v>
      </c>
      <c r="K31" s="103" t="n">
        <v>3</v>
      </c>
      <c r="L31" s="103" t="n">
        <v>2</v>
      </c>
      <c r="M31" s="103" t="n">
        <v>5</v>
      </c>
      <c r="N31" s="103" t="n">
        <v>3</v>
      </c>
      <c r="O31" s="101" t="inlineStr">
        <is>
          <t>No trigger verified</t>
        </is>
      </c>
      <c r="P31" s="101" t="inlineStr">
        <is>
          <t>Unknown</t>
        </is>
      </c>
      <c r="Q31" s="101" t="inlineStr">
        <is>
          <t>Unknown</t>
        </is>
      </c>
      <c r="R31" s="101" t="inlineStr">
        <is>
          <t>Venue commerce discovery</t>
        </is>
      </c>
      <c r="S31" s="101" t="inlineStr">
        <is>
          <t>Resolve legal entity/venue scope and validate Cybersource/ecommerce footprint.</t>
        </is>
      </c>
      <c r="T31" s="101" t="inlineStr">
        <is>
          <t>Cybersource</t>
        </is>
      </c>
      <c r="U31" s="101" t="n"/>
      <c r="V31" s="104" t="inlineStr">
        <is>
          <t>Internal baseline only</t>
        </is>
      </c>
    </row>
    <row r="32" ht="26" customHeight="1" s="59">
      <c r="A32" s="105" t="n">
        <v>28</v>
      </c>
      <c r="B32" s="106" t="inlineStr">
        <is>
          <t>P3</t>
        </is>
      </c>
      <c r="C32" s="106" t="inlineStr">
        <is>
          <t>STATION CASINO</t>
        </is>
      </c>
      <c r="D32" s="106" t="inlineStr">
        <is>
          <t>Avery Churchwell</t>
        </is>
      </c>
      <c r="E32" s="106" t="inlineStr">
        <is>
          <t>Tier 2</t>
        </is>
      </c>
      <c r="F32" s="107" t="n">
        <v>18</v>
      </c>
      <c r="G32" s="107">
        <f>(H32/5*'Scoring Model'!$B$5+I32/5*'Scoring Model'!$B$6+J32/5*'Scoring Model'!$B$7+K32/5*'Scoring Model'!$B$8+L32/5*'Scoring Model'!$B$9+M32/5*'Scoring Model'!$B$10+N32/5*'Scoring Model'!$B$11)*100</f>
        <v/>
      </c>
      <c r="H32" s="108" t="n">
        <v>2</v>
      </c>
      <c r="I32" s="108" t="n">
        <v>2</v>
      </c>
      <c r="J32" s="108" t="n">
        <v>2</v>
      </c>
      <c r="K32" s="108" t="n">
        <v>3</v>
      </c>
      <c r="L32" s="108" t="n">
        <v>2</v>
      </c>
      <c r="M32" s="108" t="n">
        <v>3</v>
      </c>
      <c r="N32" s="108" t="n">
        <v>2</v>
      </c>
      <c r="O32" s="106" t="inlineStr">
        <is>
          <t>No trigger verified</t>
        </is>
      </c>
      <c r="P32" s="106" t="inlineStr">
        <is>
          <t>Established hospitality stack</t>
        </is>
      </c>
      <c r="Q32" s="106" t="inlineStr">
        <is>
          <t>Unknown</t>
        </is>
      </c>
      <c r="R32" s="106" t="inlineStr">
        <is>
          <t>Venue payments and commerce adjacency</t>
        </is>
      </c>
      <c r="S32" s="106" t="inlineStr">
        <is>
          <t>Validate Agilysys/FreedomPay contract dates and venue expansion plans.</t>
        </is>
      </c>
      <c r="T32" s="106" t="inlineStr">
        <is>
          <t>Agilysys; FreedomPay; OnDemand</t>
        </is>
      </c>
      <c r="U32" s="106" t="n"/>
      <c r="V32" s="109" t="inlineStr">
        <is>
          <t>Internal baseline only</t>
        </is>
      </c>
    </row>
    <row r="33" ht="30" customHeight="1" s="59">
      <c r="A33" s="111" t="n">
        <v>29</v>
      </c>
      <c r="B33" s="111" t="inlineStr">
        <is>
          <t>P3</t>
        </is>
      </c>
      <c r="C33" s="111" t="inlineStr">
        <is>
          <t>LATRELLES MANAGEMENT CORP (Bullritos)</t>
        </is>
      </c>
      <c r="D33" s="111" t="inlineStr">
        <is>
          <t>Avery Churchwell</t>
        </is>
      </c>
      <c r="E33" s="111" t="inlineStr">
        <is>
          <t>Tier 2</t>
        </is>
      </c>
      <c r="F33" s="111" t="n">
        <v>35</v>
      </c>
      <c r="G33" s="111">
        <f>(H33/5*'Scoring Model'!$B$5+I33/5*'Scoring Model'!$B$6+J33/5*'Scoring Model'!$B$7+K33/5*'Scoring Model'!$B$8+L33/5*'Scoring Model'!$B$9+M33/5*'Scoring Model'!$B$10+N33/5*'Scoring Model'!$B$11)*100</f>
        <v/>
      </c>
      <c r="H33" s="111" t="n">
        <v>1</v>
      </c>
      <c r="I33" s="111" t="n">
        <v>2</v>
      </c>
      <c r="J33" s="111" t="n">
        <v>2</v>
      </c>
      <c r="K33" s="111" t="n">
        <v>3</v>
      </c>
      <c r="L33" s="111" t="n">
        <v>2</v>
      </c>
      <c r="M33" s="111" t="n">
        <v>4</v>
      </c>
      <c r="N33" s="111" t="n">
        <v>2</v>
      </c>
      <c r="O33" s="111" t="inlineStr">
        <is>
          <t>No trigger verified</t>
        </is>
      </c>
      <c r="P33" s="111" t="inlineStr">
        <is>
          <t>Established NCR</t>
        </is>
      </c>
      <c r="Q33" s="111" t="inlineStr">
        <is>
          <t>Unknown</t>
        </is>
      </c>
      <c r="R33" s="111" t="inlineStr">
        <is>
          <t>Mid-market POS/payments modernization</t>
        </is>
      </c>
      <c r="S33" s="111" t="inlineStr">
        <is>
          <t>Validate current estate and buying authority.</t>
        </is>
      </c>
      <c r="T33" s="111" t="inlineStr">
        <is>
          <t>NCR Aloha; NCR Connected Payments</t>
        </is>
      </c>
      <c r="U33" s="111" t="n"/>
      <c r="V33" s="111" t="inlineStr">
        <is>
          <t>Internal baseline only</t>
        </is>
      </c>
    </row>
    <row r="34" ht="30" customHeight="1" s="59">
      <c r="A34" s="111" t="n">
        <v>30</v>
      </c>
      <c r="B34" s="111" t="inlineStr">
        <is>
          <t>P3</t>
        </is>
      </c>
      <c r="C34" s="111" t="inlineStr">
        <is>
          <t>FESTIVA REAL ESTATE HOLDINGS</t>
        </is>
      </c>
      <c r="D34" s="111" t="inlineStr">
        <is>
          <t>Brian Wood</t>
        </is>
      </c>
      <c r="E34" s="111" t="inlineStr">
        <is>
          <t>Tier 2</t>
        </is>
      </c>
      <c r="F34" s="111" t="n"/>
      <c r="G34" s="111">
        <f>(H34/5*'Scoring Model'!$B$5+I34/5*'Scoring Model'!$B$6+J34/5*'Scoring Model'!$B$7+K34/5*'Scoring Model'!$B$8+L34/5*'Scoring Model'!$B$9+M34/5*'Scoring Model'!$B$10+N34/5*'Scoring Model'!$B$11)*100</f>
        <v/>
      </c>
      <c r="H34" s="111" t="n">
        <v>1</v>
      </c>
      <c r="I34" s="111" t="n">
        <v>2</v>
      </c>
      <c r="J34" s="111" t="n">
        <v>1</v>
      </c>
      <c r="K34" s="111" t="n">
        <v>3</v>
      </c>
      <c r="L34" s="111" t="n">
        <v>2</v>
      </c>
      <c r="M34" s="111" t="n">
        <v>4</v>
      </c>
      <c r="N34" s="111" t="n">
        <v>3</v>
      </c>
      <c r="O34" s="111" t="inlineStr">
        <is>
          <t>Formerly linked to Choice; no active trigger</t>
        </is>
      </c>
      <c r="P34" s="111" t="inlineStr">
        <is>
          <t>Established / unclear</t>
        </is>
      </c>
      <c r="Q34" s="111" t="inlineStr">
        <is>
          <t>Unknown</t>
        </is>
      </c>
      <c r="R34" s="111" t="inlineStr">
        <is>
          <t>Payments discovery</t>
        </is>
      </c>
      <c r="S34" s="111" t="inlineStr">
        <is>
          <t>Resolve entity relationship and current payment estate before pursuit.</t>
        </is>
      </c>
      <c r="T34" s="111" t="inlineStr">
        <is>
          <t>Shift4 and others</t>
        </is>
      </c>
      <c r="U34" s="111" t="n"/>
      <c r="V34" s="111" t="inlineStr">
        <is>
          <t>Internal baseline only</t>
        </is>
      </c>
    </row>
  </sheetData>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59" min="1" max="1"/>
    <col width="18" customWidth="1" style="59" min="2" max="2"/>
    <col width="29" customWidth="1" style="59" min="3" max="3"/>
    <col width="27" customWidth="1" style="59" min="4" max="4"/>
    <col width="30" customWidth="1" style="59" min="5" max="5"/>
    <col width="27" customWidth="1" style="59" min="6" max="6"/>
    <col width="34" customWidth="1" style="59" min="7" max="7"/>
    <col width="24" customWidth="1" style="59" min="8" max="11"/>
    <col width="25" customWidth="1" style="59" min="12" max="12"/>
    <col width="24" customWidth="1" style="59" min="13" max="13"/>
    <col width="12" customWidth="1" style="59" min="14" max="14"/>
    <col width="13" customWidth="1" style="59" min="15" max="15"/>
    <col width="12" customWidth="1" style="59" min="16" max="16"/>
    <col width="28" customWidth="1" style="59" min="17" max="17"/>
    <col width="46" customWidth="1" style="59" min="18" max="18"/>
  </cols>
  <sheetData>
    <row r="1" ht="32" customHeight="1" s="59">
      <c r="A1" s="63" t="inlineStr">
        <is>
          <t>Technology Stack Intelligence — 2026-08-14</t>
        </is>
      </c>
    </row>
    <row r="2" ht="30" customHeight="1" s="59">
      <c r="A2" s="91" t="inlineStr">
        <is>
          <t>Vendor names are separated from verified deployment status. 'Unknown' means not yet verified, not whitespace.</t>
        </is>
      </c>
    </row>
    <row r="4" ht="28" customHeight="1" s="59">
      <c r="A4" s="92" t="inlineStr">
        <is>
          <t>Account</t>
        </is>
      </c>
      <c r="B4" s="93" t="inlineStr">
        <is>
          <t>RM</t>
        </is>
      </c>
      <c r="C4" s="93" t="inlineStr">
        <is>
          <t>POS</t>
        </is>
      </c>
      <c r="D4" s="93" t="inlineStr">
        <is>
          <t>Payments / Gateway</t>
        </is>
      </c>
      <c r="E4" s="93" t="inlineStr">
        <is>
          <t>Digital / Ordering</t>
        </is>
      </c>
      <c r="F4" s="93" t="inlineStr">
        <is>
          <t>Loyalty / CRM</t>
        </is>
      </c>
      <c r="G4" s="93" t="inlineStr">
        <is>
          <t>Back Office / Labor / Inventory</t>
        </is>
      </c>
      <c r="H4" s="93" t="inlineStr">
        <is>
          <t>Kiosk / DMB</t>
        </is>
      </c>
      <c r="I4" s="93" t="inlineStr">
        <is>
          <t>KDS / Kitchen</t>
        </is>
      </c>
      <c r="J4" s="93" t="inlineStr">
        <is>
          <t>Drive-Thru</t>
        </is>
      </c>
      <c r="K4" s="93" t="inlineStr">
        <is>
          <t>Hardware</t>
        </is>
      </c>
      <c r="L4" s="93" t="inlineStr">
        <is>
          <t>Lifecycle</t>
        </is>
      </c>
      <c r="M4" s="93" t="inlineStr">
        <is>
          <t>Deployment Health</t>
        </is>
      </c>
      <c r="N4" s="93" t="inlineStr">
        <is>
          <t>Known Layers</t>
        </is>
      </c>
      <c r="O4" s="93" t="inlineStr">
        <is>
          <t>Unknown Layers</t>
        </is>
      </c>
      <c r="P4" s="93" t="inlineStr">
        <is>
          <t>Coverage %</t>
        </is>
      </c>
      <c r="Q4" s="93" t="inlineStr">
        <is>
          <t>Primary Opportunity</t>
        </is>
      </c>
      <c r="R4" s="94" t="inlineStr">
        <is>
          <t>Next Verification</t>
        </is>
      </c>
    </row>
    <row r="5" ht="39" customHeight="1" s="59">
      <c r="A5" s="95" t="inlineStr">
        <is>
          <t>WENDY'S INTERNATIONAL INC</t>
        </is>
      </c>
      <c r="B5" s="96" t="inlineStr">
        <is>
          <t>Stacie Davis</t>
        </is>
      </c>
      <c r="C5" s="96" t="inlineStr">
        <is>
          <t>NCR Aloha</t>
        </is>
      </c>
      <c r="D5" s="96" t="inlineStr">
        <is>
          <t>ACI</t>
        </is>
      </c>
      <c r="E5" s="96" t="inlineStr">
        <is>
          <t>Yes</t>
        </is>
      </c>
      <c r="F5" s="96" t="inlineStr">
        <is>
          <t>Unknown</t>
        </is>
      </c>
      <c r="G5" s="96" t="inlineStr">
        <is>
          <t>Unknown</t>
        </is>
      </c>
      <c r="H5" s="96" t="inlineStr">
        <is>
          <t>Yes</t>
        </is>
      </c>
      <c r="I5" s="96" t="inlineStr">
        <is>
          <t>Unknown</t>
        </is>
      </c>
      <c r="J5" s="96" t="inlineStr">
        <is>
          <t>Unknown</t>
        </is>
      </c>
      <c r="K5" s="96" t="inlineStr">
        <is>
          <t>Ingenico, Variable</t>
        </is>
      </c>
      <c r="L5" s="96" t="inlineStr">
        <is>
          <t>Active decision / final stage</t>
        </is>
      </c>
      <c r="M5" s="96" t="n">
        <v>5</v>
      </c>
      <c r="N5" s="96" t="n">
        <v>4</v>
      </c>
      <c r="O5" s="13" t="n">
        <v>0.5555555555555556</v>
      </c>
      <c r="P5" s="13" t="n">
        <v>0.5555555555555556</v>
      </c>
      <c r="Q5" s="96" t="inlineStr">
        <is>
          <t>POS + payments platform capture</t>
        </is>
      </c>
      <c r="R5" s="99" t="inlineStr">
        <is>
          <t>War-room the decision: confirm owner, evaluation criteria, final meeting, commercials, product scope, franchise rollout and competitive gaps.</t>
        </is>
      </c>
    </row>
    <row r="6" ht="39" customHeight="1" s="59">
      <c r="A6" s="100" t="inlineStr">
        <is>
          <t>DEL TACO LLC</t>
        </is>
      </c>
      <c r="B6" s="101" t="inlineStr">
        <is>
          <t>Maggie Lenhart</t>
        </is>
      </c>
      <c r="C6" s="101" t="inlineStr">
        <is>
          <t>NCR</t>
        </is>
      </c>
      <c r="D6" s="101" t="inlineStr">
        <is>
          <t>NCR Connected Payments</t>
        </is>
      </c>
      <c r="E6" s="101" t="inlineStr">
        <is>
          <t>OLO corporate</t>
        </is>
      </c>
      <c r="F6" s="101" t="inlineStr">
        <is>
          <t>Unknown</t>
        </is>
      </c>
      <c r="G6" s="101" t="inlineStr">
        <is>
          <t>Unknown</t>
        </is>
      </c>
      <c r="H6" s="101" t="inlineStr">
        <is>
          <t>Bite (Express)</t>
        </is>
      </c>
      <c r="I6" s="101" t="inlineStr">
        <is>
          <t>Unknown</t>
        </is>
      </c>
      <c r="J6" s="101" t="inlineStr">
        <is>
          <t>Unknown</t>
        </is>
      </c>
      <c r="K6" s="101" t="inlineStr">
        <is>
          <t>Worldpay extension; Yadav ownership-change integration window</t>
        </is>
      </c>
      <c r="L6" s="101" t="inlineStr">
        <is>
          <t>Strong access; sourcing event not confirmed</t>
        </is>
      </c>
      <c r="M6" s="101" t="n">
        <v>5</v>
      </c>
      <c r="N6" s="101" t="n">
        <v>4</v>
      </c>
      <c r="O6" s="14" t="n">
        <v>0.5555555555555556</v>
      </c>
      <c r="P6" s="14" t="n">
        <v>0.4444444444444444</v>
      </c>
      <c r="Q6" s="101" t="inlineStr">
        <is>
          <t>POS/payments + multi-brand consolidation</t>
        </is>
      </c>
      <c r="R6" s="104" t="inlineStr">
        <is>
          <t>Finish extension, consolidate leads, map Yadav governance and confirm sourcing event</t>
        </is>
      </c>
    </row>
    <row r="7" ht="26" customHeight="1" s="59">
      <c r="A7" s="100" t="inlineStr">
        <is>
          <t>Dutch Bros</t>
        </is>
      </c>
      <c r="B7" s="101" t="inlineStr">
        <is>
          <t>Maggie Lenhart</t>
        </is>
      </c>
      <c r="C7" s="101" t="inlineStr">
        <is>
          <t>Genius (user intelligence); Xenial legacy baseline</t>
        </is>
      </c>
      <c r="D7" s="101" t="inlineStr">
        <is>
          <t>Verifone SCA Gateway</t>
        </is>
      </c>
      <c r="E7" s="101" t="inlineStr">
        <is>
          <t>Olo Order and Pay</t>
        </is>
      </c>
      <c r="F7" s="101" t="inlineStr">
        <is>
          <t>Paytronix / Dutch Rewards</t>
        </is>
      </c>
      <c r="G7" s="101" t="inlineStr">
        <is>
          <t>Unknown</t>
        </is>
      </c>
      <c r="H7" s="101" t="inlineStr">
        <is>
          <t>Unknown</t>
        </is>
      </c>
      <c r="I7" s="101" t="inlineStr">
        <is>
          <t>Unknown</t>
        </is>
      </c>
      <c r="J7" s="101" t="inlineStr">
        <is>
          <t>Core operating channel; vendor layer unknown</t>
        </is>
      </c>
      <c r="K7" s="101" t="inlineStr">
        <is>
          <t>Verifone e285 (Xenial iPads)</t>
        </is>
      </c>
      <c r="L7" s="101" t="inlineStr">
        <is>
          <t>Installed customer / expansion</t>
        </is>
      </c>
      <c r="M7" s="101" t="n">
        <v>5</v>
      </c>
      <c r="N7" s="101" t="n">
        <v>4</v>
      </c>
      <c r="O7" s="14" t="n">
        <v>0.5555555555555556</v>
      </c>
      <c r="P7" s="14" t="n">
        <v>0.6666666666666666</v>
      </c>
      <c r="Q7" s="101" t="inlineStr">
        <is>
          <t>Protect and expand Genius footprint</t>
        </is>
      </c>
      <c r="R7" s="104" t="inlineStr">
        <is>
          <t>Confirm Genius products, installed locations, adoption, support health, contract dates, attach rate and expansion path.</t>
        </is>
      </c>
    </row>
    <row r="8" ht="26" customHeight="1" s="59">
      <c r="A8" s="100" t="inlineStr">
        <is>
          <t>Focus Brands (GoTo Foods)</t>
        </is>
      </c>
      <c r="B8" s="101" t="inlineStr">
        <is>
          <t>Brian Wood</t>
        </is>
      </c>
      <c r="C8" s="101" t="inlineStr">
        <is>
          <t>Qu (deploying)</t>
        </is>
      </c>
      <c r="D8" s="101" t="inlineStr">
        <is>
          <t>FreedomPay</t>
        </is>
      </c>
      <c r="E8" s="101" t="inlineStr">
        <is>
          <t>Olo / Qu integrations</t>
        </is>
      </c>
      <c r="F8" s="101" t="inlineStr">
        <is>
          <t>Unknown</t>
        </is>
      </c>
      <c r="G8" s="101" t="inlineStr">
        <is>
          <t>Qu integrates with third-party BOH; incumbent unknown</t>
        </is>
      </c>
      <c r="H8" s="101" t="inlineStr">
        <is>
          <t>DMB incumbent unknown</t>
        </is>
      </c>
      <c r="I8" s="101" t="inlineStr">
        <is>
          <t>Unknown</t>
        </is>
      </c>
      <c r="J8" s="101" t="inlineStr">
        <is>
          <t>Unknown</t>
        </is>
      </c>
      <c r="K8" s="101" t="inlineStr">
        <is>
          <t>Unknown</t>
        </is>
      </c>
      <c r="L8" s="101" t="inlineStr">
        <is>
          <t>Qu established since 2024</t>
        </is>
      </c>
      <c r="M8" s="101" t="n">
        <v>3</v>
      </c>
      <c r="N8" s="101" t="n">
        <v>6</v>
      </c>
      <c r="O8" s="14" t="n">
        <v>0.3333333333333333</v>
      </c>
      <c r="P8" s="14" t="n">
        <v>0.5555555555555556</v>
      </c>
      <c r="Q8" s="101" t="inlineStr">
        <is>
          <t>DMB + multi-brand visual estate; payments defense</t>
        </is>
      </c>
      <c r="R8" s="104" t="inlineStr">
        <is>
          <t>Map DMB/CMS, screens, refresh timing and buying center by brand.</t>
        </is>
      </c>
    </row>
    <row r="9" ht="39" customHeight="1" s="59">
      <c r="A9" s="100" t="inlineStr">
        <is>
          <t>SUBWAY</t>
        </is>
      </c>
      <c r="B9" s="101" t="inlineStr">
        <is>
          <t>Stacie Davis</t>
        </is>
      </c>
      <c r="C9" s="101" t="inlineStr">
        <is>
          <t>Proprietary POS</t>
        </is>
      </c>
      <c r="D9" s="101" t="inlineStr">
        <is>
          <t>FreedomPay</t>
        </is>
      </c>
      <c r="E9" s="101" t="inlineStr">
        <is>
          <t>Yes</t>
        </is>
      </c>
      <c r="F9" s="101" t="inlineStr">
        <is>
          <t>Unknown</t>
        </is>
      </c>
      <c r="G9" s="101" t="inlineStr">
        <is>
          <t>Unknown</t>
        </is>
      </c>
      <c r="H9" s="101" t="inlineStr">
        <is>
          <t>Genius KDS reported internally; exact sites/status unverified</t>
        </is>
      </c>
      <c r="I9" s="101" t="inlineStr">
        <is>
          <t>Unknown</t>
        </is>
      </c>
      <c r="J9" s="101" t="inlineStr">
        <is>
          <t>Unknown</t>
        </is>
      </c>
      <c r="K9" s="101" t="inlineStr">
        <is>
          <t>Fragmented global/franchise estate; existing Genius scope unresolved</t>
        </is>
      </c>
      <c r="L9" s="101" t="inlineStr">
        <is>
          <t>Product, ownership, locations and deployment status unverified</t>
        </is>
      </c>
      <c r="M9" s="101" t="n">
        <v>5</v>
      </c>
      <c r="N9" s="101" t="n">
        <v>4</v>
      </c>
      <c r="O9" s="14" t="n">
        <v>0.5555555555555556</v>
      </c>
      <c r="P9" s="14" t="n">
        <v>0.5555555555555556</v>
      </c>
      <c r="Q9" s="101" t="inlineStr">
        <is>
          <t>Verify existing Genius KDS relationship before any additional adjacency</t>
        </is>
      </c>
      <c r="R9" s="104" t="inlineStr">
        <is>
          <t>Confirm product owner, sites, status, commitments and sponsor</t>
        </is>
      </c>
    </row>
    <row r="10" ht="39" customHeight="1" s="59">
      <c r="A10" s="100" t="inlineStr">
        <is>
          <t>FIVE GUYS</t>
        </is>
      </c>
      <c r="B10" s="101" t="inlineStr">
        <is>
          <t>Avery Churchwell</t>
        </is>
      </c>
      <c r="C10" s="101" t="inlineStr">
        <is>
          <t>PAR Brink (U.S.); NCR (EMEA)</t>
        </is>
      </c>
      <c r="D10" s="101" t="inlineStr">
        <is>
          <t>Worldpay; limited Global Payments EMEA; PAR Pay threat</t>
        </is>
      </c>
      <c r="E10" s="101" t="inlineStr">
        <is>
          <t>Olo Ordering + Engage</t>
        </is>
      </c>
      <c r="F10" s="101" t="inlineStr">
        <is>
          <t>Olo GDP/Marketing (not traditional points loyalty)</t>
        </is>
      </c>
      <c r="G10" s="101" t="inlineStr">
        <is>
          <t>CrunchTime (inventory, labor, ops)</t>
        </is>
      </c>
      <c r="H10" s="101" t="inlineStr">
        <is>
          <t>LineTen</t>
        </is>
      </c>
      <c r="I10" s="101" t="inlineStr">
        <is>
          <t>Unknown</t>
        </is>
      </c>
      <c r="J10" s="101" t="inlineStr">
        <is>
          <t>Unknown</t>
        </is>
      </c>
      <c r="K10" s="101" t="inlineStr">
        <is>
          <t>PAR renewal/evaluation window plausible; formal process and dates unconfirmed</t>
        </is>
      </c>
      <c r="L10" s="101" t="inlineStr">
        <is>
          <t>No verified failure; EMEA support gap requires validation</t>
        </is>
      </c>
      <c r="M10" s="101" t="n">
        <v>7</v>
      </c>
      <c r="N10" s="101" t="n">
        <v>2</v>
      </c>
      <c r="O10" s="14" t="n">
        <v>0.7777777777777778</v>
      </c>
      <c r="P10" s="14" t="n">
        <v>0.7777777777777778</v>
      </c>
      <c r="Q10" s="101" t="inlineStr">
        <is>
          <t>Pre-RFP shaping + internal transaction-metered POS feasibility</t>
        </is>
      </c>
      <c r="R10" s="104" t="inlineStr">
        <is>
          <t>Confirm evaluation type, renewal/notice dates, scope, sponsor and global requirements</t>
        </is>
      </c>
    </row>
    <row r="11" ht="26" customHeight="1" s="59">
      <c r="A11" s="100" t="inlineStr">
        <is>
          <t>CHOICE HOTELS</t>
        </is>
      </c>
      <c r="B11" s="101" t="inlineStr">
        <is>
          <t>Brian Wood</t>
        </is>
      </c>
      <c r="C11" s="101" t="inlineStr">
        <is>
          <t>Shift4</t>
        </is>
      </c>
      <c r="D11" s="101" t="inlineStr">
        <is>
          <t>Mixed acquirers; active Worldpay gateway/acquiring RFP</t>
        </is>
      </c>
      <c r="E11" s="101" t="inlineStr">
        <is>
          <t>Yes</t>
        </is>
      </c>
      <c r="F11" s="101" t="inlineStr">
        <is>
          <t>Unknown</t>
        </is>
      </c>
      <c r="G11" s="101" t="inlineStr">
        <is>
          <t>Unknown</t>
        </is>
      </c>
      <c r="H11" s="101" t="inlineStr">
        <is>
          <t>Unknown</t>
        </is>
      </c>
      <c r="I11" s="101" t="inlineStr">
        <is>
          <t>Unknown</t>
        </is>
      </c>
      <c r="J11" s="101" t="inlineStr">
        <is>
          <t>Unknown</t>
        </is>
      </c>
      <c r="K11" s="101" t="inlineStr">
        <is>
          <t>Unknown</t>
        </is>
      </c>
      <c r="L11" s="101" t="inlineStr">
        <is>
          <t>Deconversion incomplete; active win-back RFP</t>
        </is>
      </c>
      <c r="M11" s="101" t="n">
        <v>3</v>
      </c>
      <c r="N11" s="101" t="n">
        <v>6</v>
      </c>
      <c r="O11" s="14" t="n">
        <v>0.3333333333333333</v>
      </c>
      <c r="P11" s="14" t="n">
        <v>0.2222222222222222</v>
      </c>
      <c r="Q11" s="101" t="inlineStr">
        <is>
          <t>Payments win-back + hotel restaurant/DMB discovery</t>
        </is>
      </c>
      <c r="R11" s="104" t="inlineStr">
        <is>
          <t>Confirm RFP stage, retained properties, executive sponsor and venue technology scope.</t>
        </is>
      </c>
    </row>
    <row r="12" ht="26" customHeight="1" s="59">
      <c r="A12" s="100" t="inlineStr">
        <is>
          <t>THE STEAK N SHAKE CO</t>
        </is>
      </c>
      <c r="B12" s="101" t="inlineStr">
        <is>
          <t>Maggie Lenhart</t>
        </is>
      </c>
      <c r="C12" s="101" t="inlineStr">
        <is>
          <t>NCR</t>
        </is>
      </c>
      <c r="D12" s="101" t="inlineStr">
        <is>
          <t>NCR Connected Payments</t>
        </is>
      </c>
      <c r="E12" s="101" t="inlineStr">
        <is>
          <t>Olo- moving to direct Express cert with NovaTab</t>
        </is>
      </c>
      <c r="F12" s="101" t="inlineStr">
        <is>
          <t>Unknown</t>
        </is>
      </c>
      <c r="G12" s="101" t="inlineStr">
        <is>
          <t>Unknown</t>
        </is>
      </c>
      <c r="H12" s="101" t="inlineStr">
        <is>
          <t>Kiosk vendor transition; integration problems</t>
        </is>
      </c>
      <c r="I12" s="101" t="inlineStr">
        <is>
          <t>Unknown</t>
        </is>
      </c>
      <c r="J12" s="101" t="inlineStr">
        <is>
          <t>Unknown</t>
        </is>
      </c>
      <c r="K12" s="101" t="inlineStr">
        <is>
          <t>Unknown</t>
        </is>
      </c>
      <c r="L12" s="101" t="inlineStr">
        <is>
          <t>Kiosk and mobile transition</t>
        </is>
      </c>
      <c r="M12" s="101" t="n">
        <v>4</v>
      </c>
      <c r="N12" s="101" t="n">
        <v>5</v>
      </c>
      <c r="O12" s="14" t="n">
        <v>0.4444444444444444</v>
      </c>
      <c r="P12" s="14" t="n">
        <v>0.4444444444444444</v>
      </c>
      <c r="Q12" s="101" t="inlineStr">
        <is>
          <t>Kiosk recovery + DMB/drive-thru/payments adjacency</t>
        </is>
      </c>
      <c r="R12" s="104" t="inlineStr">
        <is>
          <t>Identify kiosk vendor, certification issue, reporting gap, owners and remediation dates.</t>
        </is>
      </c>
    </row>
    <row r="13" ht="26" customHeight="1" s="59">
      <c r="A13" s="100" t="inlineStr">
        <is>
          <t>FREDDY'S FROZEN CUSTARD LLC</t>
        </is>
      </c>
      <c r="B13" s="101" t="inlineStr">
        <is>
          <t>Avery Churchwell</t>
        </is>
      </c>
      <c r="C13" s="101" t="inlineStr">
        <is>
          <t>PAR Brink via RDS</t>
        </is>
      </c>
      <c r="D13" s="101" t="inlineStr">
        <is>
          <t>PAR Brink</t>
        </is>
      </c>
      <c r="E13" s="101" t="inlineStr">
        <is>
          <t>Olo / Olo Pay</t>
        </is>
      </c>
      <c r="F13" s="101" t="inlineStr">
        <is>
          <t>Unknown</t>
        </is>
      </c>
      <c r="G13" s="101" t="inlineStr">
        <is>
          <t>Creative Realities; Neon entry reported, unverified</t>
        </is>
      </c>
      <c r="H13" s="101" t="inlineStr">
        <is>
          <t>Unknown</t>
        </is>
      </c>
      <c r="I13" s="101" t="inlineStr">
        <is>
          <t>Unknown</t>
        </is>
      </c>
      <c r="J13" s="101" t="inlineStr">
        <is>
          <t>Unknown</t>
        </is>
      </c>
      <c r="K13" s="101" t="inlineStr">
        <is>
          <t>Protected PAR/RDS account; CIO reportedly reinforcing PAR</t>
        </is>
      </c>
      <c r="L13" s="101" t="inlineStr">
        <is>
          <t>No open event; RDS controls access</t>
        </is>
      </c>
      <c r="M13" s="101" t="n">
        <v>5</v>
      </c>
      <c r="N13" s="101" t="n">
        <v>4</v>
      </c>
      <c r="O13" s="14" t="n">
        <v>0.5555555555555556</v>
      </c>
      <c r="P13" s="14" t="n">
        <v>0.4444444444444444</v>
      </c>
      <c r="Q13" s="101" t="inlineStr">
        <is>
          <t>RDS-led modular value review only</t>
        </is>
      </c>
      <c r="R13" s="104" t="inlineStr">
        <is>
          <t>Prove RDS pilot and account protections before any Freddy's value discussion</t>
        </is>
      </c>
    </row>
    <row r="14" ht="26" customHeight="1" s="59">
      <c r="A14" s="100" t="inlineStr">
        <is>
          <t>EAT'N PARK HOSPITALITY GRP INC</t>
        </is>
      </c>
      <c r="B14" s="101" t="inlineStr">
        <is>
          <t>Avery Churchwell</t>
        </is>
      </c>
      <c r="C14" s="101" t="inlineStr">
        <is>
          <t>FreedomPay, Tillster, Olo</t>
        </is>
      </c>
      <c r="D14" s="101" t="inlineStr">
        <is>
          <t>Oracle Simphony, PayMyTab, Catertrax</t>
        </is>
      </c>
      <c r="E14" s="101" t="inlineStr">
        <is>
          <t>Olo, Tillster (wallets), Nextep</t>
        </is>
      </c>
      <c r="F14" s="101" t="inlineStr">
        <is>
          <t>Unknown</t>
        </is>
      </c>
      <c r="G14" s="101" t="inlineStr">
        <is>
          <t>Unknown</t>
        </is>
      </c>
      <c r="H14" s="101" t="inlineStr">
        <is>
          <t>Unknown</t>
        </is>
      </c>
      <c r="I14" s="101" t="inlineStr">
        <is>
          <t>Unknown</t>
        </is>
      </c>
      <c r="J14" s="101" t="inlineStr">
        <is>
          <t>Unknown</t>
        </is>
      </c>
      <c r="K14" s="101" t="inlineStr">
        <is>
          <t>Desk 3500s, T650c</t>
        </is>
      </c>
      <c r="L14" s="101" t="inlineStr">
        <is>
          <t>Mixed / transitioning</t>
        </is>
      </c>
      <c r="M14" s="101" t="n">
        <v>4</v>
      </c>
      <c r="N14" s="101" t="n">
        <v>5</v>
      </c>
      <c r="O14" s="14" t="n">
        <v>0.4444444444444444</v>
      </c>
      <c r="P14" s="14" t="n">
        <v>0.4444444444444444</v>
      </c>
      <c r="Q14" s="101" t="inlineStr">
        <is>
          <t>Consolidation and payments</t>
        </is>
      </c>
      <c r="R14" s="104" t="inlineStr">
        <is>
          <t>Separate stacks by concept and validate Oracle/FreedomPay/Tillster/Olo/Nextep ownership.</t>
        </is>
      </c>
    </row>
    <row r="15" ht="39" customHeight="1" s="59">
      <c r="A15" s="100" t="inlineStr">
        <is>
          <t>CRACKER BARREL OLD COUNTRY STORE, INC.</t>
        </is>
      </c>
      <c r="B15" s="101" t="inlineStr">
        <is>
          <t>Brian Wood</t>
        </is>
      </c>
      <c r="C15" s="101" t="inlineStr">
        <is>
          <t>RAFT 610 for POS, Express for OLO ISV for mobile, and eComm is on VAP.  Moving to Oracle Symphony</t>
        </is>
      </c>
      <c r="D15" s="101" t="inlineStr">
        <is>
          <t>FreedomPay</t>
        </is>
      </c>
      <c r="E15" s="101" t="inlineStr">
        <is>
          <t>Yes</t>
        </is>
      </c>
      <c r="F15" s="101" t="inlineStr">
        <is>
          <t>Unknown</t>
        </is>
      </c>
      <c r="G15" s="101" t="inlineStr">
        <is>
          <t>Unknown</t>
        </is>
      </c>
      <c r="H15" s="101" t="inlineStr">
        <is>
          <t>Unknown</t>
        </is>
      </c>
      <c r="I15" s="101" t="inlineStr">
        <is>
          <t>Unknown</t>
        </is>
      </c>
      <c r="J15" s="101" t="inlineStr">
        <is>
          <t>Unknown</t>
        </is>
      </c>
      <c r="K15" s="101" t="inlineStr">
        <is>
          <t>Unknown</t>
        </is>
      </c>
      <c r="L15" s="101" t="inlineStr">
        <is>
          <t>Deploying / transition</t>
        </is>
      </c>
      <c r="M15" s="101" t="n">
        <v>3</v>
      </c>
      <c r="N15" s="101" t="n">
        <v>6</v>
      </c>
      <c r="O15" s="14" t="n">
        <v>0.3333333333333333</v>
      </c>
      <c r="P15" s="14" t="n">
        <v>0.3333333333333333</v>
      </c>
      <c r="Q15" s="101" t="inlineStr">
        <is>
          <t>Adjacent stack and deployment support</t>
        </is>
      </c>
      <c r="R15" s="104" t="inlineStr">
        <is>
          <t>Confirm rollout completion, FreedomPay scope, operational issues and remaining adjacent gaps.</t>
        </is>
      </c>
    </row>
    <row r="16" ht="26" customHeight="1" s="59">
      <c r="A16" s="100" t="inlineStr">
        <is>
          <t>MILLLER'S ALE HOUSE</t>
        </is>
      </c>
      <c r="B16" s="101" t="inlineStr">
        <is>
          <t>Avery Churchwell</t>
        </is>
      </c>
      <c r="C16" s="101" t="inlineStr">
        <is>
          <t>NCR Connected Payments, Ziosk</t>
        </is>
      </c>
      <c r="D16" s="101" t="inlineStr">
        <is>
          <t>NCR, Ziosk</t>
        </is>
      </c>
      <c r="E16" s="101" t="inlineStr">
        <is>
          <t>OloPay</t>
        </is>
      </c>
      <c r="F16" s="101" t="inlineStr">
        <is>
          <t>Unknown</t>
        </is>
      </c>
      <c r="G16" s="101" t="inlineStr">
        <is>
          <t>Unknown</t>
        </is>
      </c>
      <c r="H16" s="101" t="inlineStr">
        <is>
          <t>Unknown</t>
        </is>
      </c>
      <c r="I16" s="101" t="inlineStr">
        <is>
          <t>Unknown</t>
        </is>
      </c>
      <c r="J16" s="101" t="inlineStr">
        <is>
          <t>Unknown</t>
        </is>
      </c>
      <c r="K16" s="101" t="inlineStr">
        <is>
          <t>Swipe Simple B250 &amp; NCR Terminals</t>
        </is>
      </c>
      <c r="L16" s="101" t="inlineStr">
        <is>
          <t>Established POS; recent digital payment change</t>
        </is>
      </c>
      <c r="M16" s="101" t="n">
        <v>4</v>
      </c>
      <c r="N16" s="101" t="n">
        <v>5</v>
      </c>
      <c r="O16" s="14" t="n">
        <v>0.4444444444444444</v>
      </c>
      <c r="P16" s="14" t="n">
        <v>0.4444444444444444</v>
      </c>
      <c r="Q16" s="101" t="inlineStr">
        <is>
          <t>In-store POS/payments and guest experience</t>
        </is>
      </c>
      <c r="R16" s="104" t="inlineStr">
        <is>
          <t>Confirm lost scope, NCR renewal, Ziosk footprint and remaining payments opportunity.</t>
        </is>
      </c>
    </row>
    <row r="17" ht="26" customHeight="1" s="59">
      <c r="A17" s="100" t="inlineStr">
        <is>
          <t>LAROSA'S INC</t>
        </is>
      </c>
      <c r="B17" s="101" t="inlineStr">
        <is>
          <t>Maggie Lenhart</t>
        </is>
      </c>
      <c r="C17" s="101" t="inlineStr">
        <is>
          <t>Point of Sale.Cloud</t>
        </is>
      </c>
      <c r="D17" s="101" t="inlineStr">
        <is>
          <t>Mainstreet Monetray, TriPOS</t>
        </is>
      </c>
      <c r="E17" s="101" t="inlineStr">
        <is>
          <t>Same as instore</t>
        </is>
      </c>
      <c r="F17" s="101" t="inlineStr">
        <is>
          <t>Unknown</t>
        </is>
      </c>
      <c r="G17" s="101" t="inlineStr">
        <is>
          <t>Unknown</t>
        </is>
      </c>
      <c r="H17" s="101" t="inlineStr">
        <is>
          <t>Unknown</t>
        </is>
      </c>
      <c r="I17" s="101" t="inlineStr">
        <is>
          <t>Unknown</t>
        </is>
      </c>
      <c r="J17" s="101" t="inlineStr">
        <is>
          <t>Unknown</t>
        </is>
      </c>
      <c r="K17" s="101" t="inlineStr">
        <is>
          <t>Varies-majority are non-EMV through Montera</t>
        </is>
      </c>
      <c r="L17" s="101" t="inlineStr">
        <is>
          <t>Mature / niche POS</t>
        </is>
      </c>
      <c r="M17" s="101" t="n">
        <v>4</v>
      </c>
      <c r="N17" s="101" t="n">
        <v>5</v>
      </c>
      <c r="O17" s="14" t="n">
        <v>0.4444444444444444</v>
      </c>
      <c r="P17" s="14" t="n">
        <v>0.4444444444444444</v>
      </c>
      <c r="Q17" s="101" t="inlineStr">
        <is>
          <t>EMV, payments and enterprise modernization</t>
        </is>
      </c>
      <c r="R17" s="104" t="inlineStr">
        <is>
          <t>Validate POS.Cloud contract, non-EMV exposure, franchise scope and replacement appetite.</t>
        </is>
      </c>
    </row>
    <row r="18" ht="26" customHeight="1" s="59">
      <c r="A18" s="100" t="inlineStr">
        <is>
          <t>CHURCHS CHICKEN 558</t>
        </is>
      </c>
      <c r="B18" s="101" t="inlineStr">
        <is>
          <t>Maggie Lenhart</t>
        </is>
      </c>
      <c r="C18" s="101" t="inlineStr">
        <is>
          <t>Qu</t>
        </is>
      </c>
      <c r="D18" s="101" t="inlineStr">
        <is>
          <t>Aurus</t>
        </is>
      </c>
      <c r="E18" s="101" t="inlineStr">
        <is>
          <t>Olo</t>
        </is>
      </c>
      <c r="F18" s="101" t="inlineStr">
        <is>
          <t>Unknown</t>
        </is>
      </c>
      <c r="G18" s="101" t="inlineStr">
        <is>
          <t>Unknown</t>
        </is>
      </c>
      <c r="H18" s="101" t="inlineStr">
        <is>
          <t>Pilot with Bite (Express)</t>
        </is>
      </c>
      <c r="I18" s="101" t="inlineStr">
        <is>
          <t>Unknown</t>
        </is>
      </c>
      <c r="J18" s="101" t="inlineStr">
        <is>
          <t>Qu supports drive-thru; deployed scope unknown</t>
        </is>
      </c>
      <c r="K18" s="101" t="inlineStr">
        <is>
          <t>Lane 3000</t>
        </is>
      </c>
      <c r="L18" s="101" t="inlineStr">
        <is>
          <t>Established</t>
        </is>
      </c>
      <c r="M18" s="101" t="n">
        <v>5</v>
      </c>
      <c r="N18" s="101" t="n">
        <v>4</v>
      </c>
      <c r="O18" s="14" t="n">
        <v>0.5555555555555556</v>
      </c>
      <c r="P18" s="14" t="n">
        <v>0.6666666666666666</v>
      </c>
      <c r="Q18" s="101" t="inlineStr">
        <is>
          <t>Payments/loyalty/BOH adjacency</t>
        </is>
      </c>
      <c r="R18" s="104" t="inlineStr">
        <is>
          <t>Verify rollout completeness, Aurus ownership, Olo footprint and any franchise exceptions.</t>
        </is>
      </c>
    </row>
    <row r="19" ht="26" customHeight="1" s="59">
      <c r="A19" s="100" t="inlineStr">
        <is>
          <t>GOLDEN CORRAL</t>
        </is>
      </c>
      <c r="B19" s="101" t="inlineStr">
        <is>
          <t>Maggie Lenhart</t>
        </is>
      </c>
      <c r="C19" s="101" t="inlineStr">
        <is>
          <t>QuPOS</t>
        </is>
      </c>
      <c r="D19" s="101" t="inlineStr">
        <is>
          <t>Aurus</t>
        </is>
      </c>
      <c r="E19" s="101" t="inlineStr">
        <is>
          <t>Olo</t>
        </is>
      </c>
      <c r="F19" s="101" t="inlineStr">
        <is>
          <t>Unknown</t>
        </is>
      </c>
      <c r="G19" s="101" t="inlineStr">
        <is>
          <t>Unknown</t>
        </is>
      </c>
      <c r="H19" s="101" t="inlineStr">
        <is>
          <t>Unknown</t>
        </is>
      </c>
      <c r="I19" s="101" t="inlineStr">
        <is>
          <t>Unknown</t>
        </is>
      </c>
      <c r="J19" s="101" t="inlineStr">
        <is>
          <t>Unknown</t>
        </is>
      </c>
      <c r="K19" s="101" t="inlineStr">
        <is>
          <t>Unknown</t>
        </is>
      </c>
      <c r="L19" s="101" t="inlineStr">
        <is>
          <t>Established / date unknown</t>
        </is>
      </c>
      <c r="M19" s="101" t="n">
        <v>3</v>
      </c>
      <c r="N19" s="101" t="n">
        <v>6</v>
      </c>
      <c r="O19" s="14" t="n">
        <v>0.3333333333333333</v>
      </c>
      <c r="P19" s="14" t="n">
        <v>0.3333333333333333</v>
      </c>
      <c r="Q19" s="101" t="inlineStr">
        <is>
          <t>Franchise payments + adjacent discovery</t>
        </is>
      </c>
      <c r="R19" s="104" t="inlineStr">
        <is>
          <t>Verify Qu start date, Aurus/Olo scopes, franchise penetration and contract dates.</t>
        </is>
      </c>
    </row>
    <row r="20" ht="26" customHeight="1" s="59">
      <c r="A20" s="100" t="inlineStr">
        <is>
          <t>Red Robin</t>
        </is>
      </c>
      <c r="B20" s="101" t="inlineStr">
        <is>
          <t>Avery Churchwell</t>
        </is>
      </c>
      <c r="C20" s="101" t="inlineStr">
        <is>
          <t>Ziosk, NCR Aloha and Olo for eCom</t>
        </is>
      </c>
      <c r="D20" s="101" t="inlineStr">
        <is>
          <t>NCR, Ziosk</t>
        </is>
      </c>
      <c r="E20" s="101" t="inlineStr">
        <is>
          <t>Monkey Media, Olo, Bounteous (wallet)</t>
        </is>
      </c>
      <c r="F20" s="101" t="inlineStr">
        <is>
          <t>Unknown</t>
        </is>
      </c>
      <c r="G20" s="101" t="inlineStr">
        <is>
          <t>Unknown</t>
        </is>
      </c>
      <c r="H20" s="101" t="inlineStr">
        <is>
          <t>Unknown</t>
        </is>
      </c>
      <c r="I20" s="101" t="inlineStr">
        <is>
          <t>Unknown</t>
        </is>
      </c>
      <c r="J20" s="101" t="inlineStr">
        <is>
          <t>Unknown</t>
        </is>
      </c>
      <c r="K20" s="101" t="inlineStr">
        <is>
          <t>Unknown</t>
        </is>
      </c>
      <c r="L20" s="101" t="inlineStr">
        <is>
          <t>Recent NCR renewal reported; Ziosk blocks enhancements</t>
        </is>
      </c>
      <c r="M20" s="101" t="n">
        <v>3</v>
      </c>
      <c r="N20" s="101" t="n">
        <v>6</v>
      </c>
      <c r="O20" s="14" t="n">
        <v>0.3333333333333333</v>
      </c>
      <c r="P20" s="14" t="n">
        <v>0.3333333333333333</v>
      </c>
      <c r="Q20" s="101" t="inlineStr">
        <is>
          <t>Pay-at-table replacement + payment savings</t>
        </is>
      </c>
      <c r="R20" s="104" t="inlineStr">
        <is>
          <t>Verify NCR term, Ziosk appetite and six-figure pinless savings case.</t>
        </is>
      </c>
    </row>
    <row r="21" ht="26" customHeight="1" s="59">
      <c r="A21" s="100" t="inlineStr">
        <is>
          <t>BOB EVANS RESTAURANTS, LLC</t>
        </is>
      </c>
      <c r="B21" s="101" t="inlineStr">
        <is>
          <t>Brian Wood</t>
        </is>
      </c>
      <c r="C21" s="101" t="inlineStr">
        <is>
          <t>NCR Aloha/Connected Payments</t>
        </is>
      </c>
      <c r="D21" s="101" t="inlineStr">
        <is>
          <t>NCR Connected Payments</t>
        </is>
      </c>
      <c r="E21" s="101" t="inlineStr">
        <is>
          <t>Yes</t>
        </is>
      </c>
      <c r="F21" s="101" t="inlineStr">
        <is>
          <t>Unknown</t>
        </is>
      </c>
      <c r="G21" s="101" t="inlineStr">
        <is>
          <t>Unknown</t>
        </is>
      </c>
      <c r="H21" s="101" t="inlineStr">
        <is>
          <t>Unknown</t>
        </is>
      </c>
      <c r="I21" s="101" t="inlineStr">
        <is>
          <t>Unknown</t>
        </is>
      </c>
      <c r="J21" s="101" t="inlineStr">
        <is>
          <t>Unknown</t>
        </is>
      </c>
      <c r="K21" s="101" t="inlineStr">
        <is>
          <t>Unknown</t>
        </is>
      </c>
      <c r="L21" s="101" t="inlineStr">
        <is>
          <t>Established NCR estate</t>
        </is>
      </c>
      <c r="M21" s="101" t="n">
        <v>3</v>
      </c>
      <c r="N21" s="101" t="n">
        <v>6</v>
      </c>
      <c r="O21" s="14" t="n">
        <v>0.3333333333333333</v>
      </c>
      <c r="P21" s="14" t="n">
        <v>0.3333333333333333</v>
      </c>
      <c r="Q21" s="101" t="inlineStr">
        <is>
          <t>Aging POS and adjacent modernization</t>
        </is>
      </c>
      <c r="R21" s="104" t="inlineStr">
        <is>
          <t>Confirm earliest Aloha deployment/renewal and Connected Payments term.</t>
        </is>
      </c>
    </row>
    <row r="22" ht="26" customHeight="1" s="59">
      <c r="A22" s="100" t="inlineStr">
        <is>
          <t>GRAETERS</t>
        </is>
      </c>
      <c r="B22" s="101" t="inlineStr">
        <is>
          <t>Maggie Lenhart</t>
        </is>
      </c>
      <c r="C22" s="101" t="inlineStr">
        <is>
          <t>PAR Brink, non-enterprise (user intelligence)</t>
        </is>
      </c>
      <c r="D22" s="101" t="inlineStr">
        <is>
          <t>Brink Software</t>
        </is>
      </c>
      <c r="E22" s="101" t="inlineStr">
        <is>
          <t>Olo</t>
        </is>
      </c>
      <c r="F22" s="101" t="inlineStr">
        <is>
          <t>Unknown</t>
        </is>
      </c>
      <c r="G22" s="101" t="inlineStr">
        <is>
          <t>Unknown</t>
        </is>
      </c>
      <c r="H22" s="101" t="inlineStr">
        <is>
          <t>Unknown</t>
        </is>
      </c>
      <c r="I22" s="101" t="inlineStr">
        <is>
          <t>Unknown</t>
        </is>
      </c>
      <c r="J22" s="101" t="inlineStr">
        <is>
          <t>Unknown</t>
        </is>
      </c>
      <c r="K22" s="101" t="inlineStr">
        <is>
          <t>Unknown</t>
        </is>
      </c>
      <c r="L22" s="101" t="inlineStr">
        <is>
          <t>PAR non-enterprise deployment</t>
        </is>
      </c>
      <c r="M22" s="101" t="n">
        <v>3</v>
      </c>
      <c r="N22" s="101" t="n">
        <v>6</v>
      </c>
      <c r="O22" s="14" t="n">
        <v>0.3333333333333333</v>
      </c>
      <c r="P22" s="14" t="n">
        <v>0.3333333333333333</v>
      </c>
      <c r="Q22" s="101" t="inlineStr">
        <is>
          <t>Enterprise upgrade or adjacent stack</t>
        </is>
      </c>
      <c r="R22" s="104" t="inlineStr">
        <is>
          <t>Confirm PAR product/SKU, reseller, site coverage and enterprise gaps; test migration economics without misclassifying current state.</t>
        </is>
      </c>
    </row>
    <row r="23" ht="26" customHeight="1" s="59">
      <c r="A23" s="100" t="inlineStr">
        <is>
          <t>STARBUCKS CORPORATION</t>
        </is>
      </c>
      <c r="B23" s="101" t="inlineStr">
        <is>
          <t>Stacie Davis</t>
        </is>
      </c>
      <c r="C23" s="101" t="inlineStr">
        <is>
          <t>VF PWC</t>
        </is>
      </c>
      <c r="D23" s="101" t="inlineStr">
        <is>
          <t>Unknown</t>
        </is>
      </c>
      <c r="E23" s="101" t="inlineStr">
        <is>
          <t>Yes</t>
        </is>
      </c>
      <c r="F23" s="101" t="inlineStr">
        <is>
          <t>Unknown</t>
        </is>
      </c>
      <c r="G23" s="101" t="inlineStr">
        <is>
          <t>Unknown</t>
        </is>
      </c>
      <c r="H23" s="101" t="inlineStr">
        <is>
          <t>Yes</t>
        </is>
      </c>
      <c r="I23" s="101" t="inlineStr">
        <is>
          <t>Unknown</t>
        </is>
      </c>
      <c r="J23" s="101" t="inlineStr">
        <is>
          <t>Unknown</t>
        </is>
      </c>
      <c r="K23" s="101" t="inlineStr">
        <is>
          <t>Verifone, Variable</t>
        </is>
      </c>
      <c r="L23" s="101" t="inlineStr">
        <is>
          <t>Proprietary / mature</t>
        </is>
      </c>
      <c r="M23" s="101" t="n">
        <v>4</v>
      </c>
      <c r="N23" s="101" t="n">
        <v>5</v>
      </c>
      <c r="O23" s="14" t="n">
        <v>0.4444444444444444</v>
      </c>
      <c r="P23" s="14" t="n">
        <v>0.4444444444444444</v>
      </c>
      <c r="Q23" s="101" t="inlineStr">
        <is>
          <t>Payments share expansion and hardware</t>
        </is>
      </c>
      <c r="R23" s="104" t="inlineStr">
        <is>
          <t>Quantify the 20% Worldpay footprint, renewal dates, licensed-store scope and Verifone lifecycle.</t>
        </is>
      </c>
    </row>
    <row r="24" ht="26" customHeight="1" s="59">
      <c r="A24" s="100" t="inlineStr">
        <is>
          <t>LITTLE CAESARS ENTERPRISE INC</t>
        </is>
      </c>
      <c r="B24" s="101" t="inlineStr">
        <is>
          <t>Avery Churchwell</t>
        </is>
      </c>
      <c r="C24" s="101" t="inlineStr">
        <is>
          <t>CaesarVision</t>
        </is>
      </c>
      <c r="D24" s="101" t="inlineStr">
        <is>
          <t>CaesarVision (via Verifone SCA)</t>
        </is>
      </c>
      <c r="E24" s="101" t="inlineStr">
        <is>
          <t>CaesarVision (via eProtect)</t>
        </is>
      </c>
      <c r="F24" s="101" t="inlineStr">
        <is>
          <t>Unknown</t>
        </is>
      </c>
      <c r="G24" s="101" t="inlineStr">
        <is>
          <t>Unknown</t>
        </is>
      </c>
      <c r="H24" s="101" t="inlineStr">
        <is>
          <t>Mashgin</t>
        </is>
      </c>
      <c r="I24" s="101" t="inlineStr">
        <is>
          <t>Unknown</t>
        </is>
      </c>
      <c r="J24" s="101" t="inlineStr">
        <is>
          <t>Unknown</t>
        </is>
      </c>
      <c r="K24" s="101" t="inlineStr">
        <is>
          <t>M400s and P400s</t>
        </is>
      </c>
      <c r="L24" s="101" t="inlineStr">
        <is>
          <t>Proprietary / entrenched</t>
        </is>
      </c>
      <c r="M24" s="101" t="n">
        <v>5</v>
      </c>
      <c r="N24" s="101" t="n">
        <v>4</v>
      </c>
      <c r="O24" s="14" t="n">
        <v>0.5555555555555556</v>
      </c>
      <c r="P24" s="14" t="n">
        <v>0.5555555555555556</v>
      </c>
      <c r="Q24" s="101" t="inlineStr">
        <is>
          <t>Payments, DMB, franchise and data adjacency</t>
        </is>
      </c>
      <c r="R24" s="104" t="inlineStr">
        <is>
          <t>Map CaesarVision ownership, payments renewal and franchise-level exceptions; avoid generic POS pitch.</t>
        </is>
      </c>
    </row>
    <row r="25" ht="26" customHeight="1" s="59">
      <c r="A25" s="100" t="inlineStr">
        <is>
          <t>PAPA JOHN'S USA, INC.</t>
        </is>
      </c>
      <c r="B25" s="101" t="inlineStr">
        <is>
          <t>Brian Wood</t>
        </is>
      </c>
      <c r="C25" s="101" t="inlineStr">
        <is>
          <t>PAR POS (deploying)</t>
        </is>
      </c>
      <c r="D25" s="101" t="inlineStr">
        <is>
          <t>Mainstreet Monetra</t>
        </is>
      </c>
      <c r="E25" s="101" t="inlineStr">
        <is>
          <t>Yes</t>
        </is>
      </c>
      <c r="F25" s="101" t="inlineStr">
        <is>
          <t>Unknown</t>
        </is>
      </c>
      <c r="G25" s="101" t="inlineStr">
        <is>
          <t>PAR OPS (deploying: labor, inventory, restaurant management)</t>
        </is>
      </c>
      <c r="H25" s="101" t="inlineStr">
        <is>
          <t>DMB incumbent unknown</t>
        </is>
      </c>
      <c r="I25" s="101" t="inlineStr">
        <is>
          <t>PAR POS/OPS includes make-line operations</t>
        </is>
      </c>
      <c r="J25" s="101" t="inlineStr">
        <is>
          <t>Unknown</t>
        </is>
      </c>
      <c r="K25" s="101" t="inlineStr">
        <is>
          <t>PAR POS + OPS implementation in 2026; rollout through 2027</t>
        </is>
      </c>
      <c r="L25" s="101" t="inlineStr">
        <is>
          <t>Milestones reported on track; Linux dependency unverified</t>
        </is>
      </c>
      <c r="M25" s="101" t="n">
        <v>6</v>
      </c>
      <c r="N25" s="101" t="n">
        <v>3</v>
      </c>
      <c r="O25" s="14" t="n">
        <v>0.6666666666666666</v>
      </c>
      <c r="P25" s="14" t="n">
        <v>0.6666666666666666</v>
      </c>
      <c r="Q25" s="101" t="inlineStr">
        <is>
          <t>DMB adjacency + rollout risk watch</t>
        </is>
      </c>
      <c r="R25" s="104" t="inlineStr">
        <is>
          <t>Monitor milestones and validate Linux-build requirement</t>
        </is>
      </c>
    </row>
    <row r="26" ht="39" customHeight="1" s="59">
      <c r="A26" s="100" t="inlineStr">
        <is>
          <t>BLACK BEAR DINER</t>
        </is>
      </c>
      <c r="B26" s="101" t="inlineStr">
        <is>
          <t>Avery Churchwell</t>
        </is>
      </c>
      <c r="C26" s="101" t="inlineStr">
        <is>
          <t>Toast / Olo</t>
        </is>
      </c>
      <c r="D26" s="101" t="inlineStr">
        <is>
          <t>Toast</t>
        </is>
      </c>
      <c r="E26" s="101" t="inlineStr">
        <is>
          <t>Olo</t>
        </is>
      </c>
      <c r="F26" s="101" t="inlineStr">
        <is>
          <t>Unknown</t>
        </is>
      </c>
      <c r="G26" s="101" t="inlineStr">
        <is>
          <t>Unknown</t>
        </is>
      </c>
      <c r="H26" s="101" t="inlineStr">
        <is>
          <t>Unknown</t>
        </is>
      </c>
      <c r="I26" s="101" t="inlineStr">
        <is>
          <t>Unknown</t>
        </is>
      </c>
      <c r="J26" s="101" t="inlineStr">
        <is>
          <t>Unknown</t>
        </is>
      </c>
      <c r="K26" s="101" t="inlineStr">
        <is>
          <t>Toast</t>
        </is>
      </c>
      <c r="L26" s="101" t="inlineStr">
        <is>
          <t>Recently changed / deploying</t>
        </is>
      </c>
      <c r="M26" s="101" t="n">
        <v>4</v>
      </c>
      <c r="N26" s="101" t="n">
        <v>5</v>
      </c>
      <c r="O26" s="14" t="n">
        <v>0.4444444444444444</v>
      </c>
      <c r="P26" s="14" t="n">
        <v>0.4444444444444444</v>
      </c>
      <c r="Q26" s="101" t="inlineStr">
        <is>
          <t>Retain payments + adjacent gaps</t>
        </is>
      </c>
      <c r="R26" s="104" t="inlineStr">
        <is>
          <t>Confirm Toast deployment scope and whether Worldpay became unmanaged; map Olo modules and remaining corporate/franchise gaps.</t>
        </is>
      </c>
    </row>
    <row r="27" ht="26" customHeight="1" s="59">
      <c r="A27" s="100" t="inlineStr">
        <is>
          <t>DOMINO'S PIZZA</t>
        </is>
      </c>
      <c r="B27" s="101" t="inlineStr">
        <is>
          <t>Stacie Davis</t>
        </is>
      </c>
      <c r="C27" s="101" t="inlineStr">
        <is>
          <t>Proprietary</t>
        </is>
      </c>
      <c r="D27" s="101" t="inlineStr">
        <is>
          <t>ACI/Cybersource</t>
        </is>
      </c>
      <c r="E27" s="101" t="inlineStr">
        <is>
          <t>Yes</t>
        </is>
      </c>
      <c r="F27" s="101" t="inlineStr">
        <is>
          <t>Unknown</t>
        </is>
      </c>
      <c r="G27" s="101" t="inlineStr">
        <is>
          <t>Unknown</t>
        </is>
      </c>
      <c r="H27" s="101" t="inlineStr">
        <is>
          <t>Yes</t>
        </is>
      </c>
      <c r="I27" s="101" t="inlineStr">
        <is>
          <t>Unknown</t>
        </is>
      </c>
      <c r="J27" s="101" t="inlineStr">
        <is>
          <t>Unknown</t>
        </is>
      </c>
      <c r="K27" s="101" t="inlineStr">
        <is>
          <t>Ingenico, Variable</t>
        </is>
      </c>
      <c r="L27" s="101" t="inlineStr">
        <is>
          <t>Proprietary / entrenched</t>
        </is>
      </c>
      <c r="M27" s="101" t="n">
        <v>5</v>
      </c>
      <c r="N27" s="101" t="n">
        <v>4</v>
      </c>
      <c r="O27" s="14" t="n">
        <v>0.5555555555555556</v>
      </c>
      <c r="P27" s="14" t="n">
        <v>0.5555555555555556</v>
      </c>
      <c r="Q27" s="101" t="inlineStr">
        <is>
          <t>Payments, hardware and franchise adjacency</t>
        </is>
      </c>
      <c r="R27" s="104" t="inlineStr">
        <is>
          <t>Confirm ACI/Cybersource tenure, processor split and franchise technology control.</t>
        </is>
      </c>
    </row>
    <row r="28" ht="26" customHeight="1" s="59">
      <c r="A28" s="100" t="inlineStr">
        <is>
          <t>FIREHOUSE RESTAURANT</t>
        </is>
      </c>
      <c r="B28" s="101" t="inlineStr">
        <is>
          <t>Brian Wood</t>
        </is>
      </c>
      <c r="C28" s="101" t="inlineStr">
        <is>
          <t>Toast</t>
        </is>
      </c>
      <c r="D28" s="101" t="inlineStr">
        <is>
          <t>Toast</t>
        </is>
      </c>
      <c r="E28" s="101" t="inlineStr">
        <is>
          <t>Yes, CP No</t>
        </is>
      </c>
      <c r="F28" s="101" t="inlineStr">
        <is>
          <t>Unknown</t>
        </is>
      </c>
      <c r="G28" s="101" t="inlineStr">
        <is>
          <t>Unknown</t>
        </is>
      </c>
      <c r="H28" s="101" t="inlineStr">
        <is>
          <t>Unknown</t>
        </is>
      </c>
      <c r="I28" s="101" t="inlineStr">
        <is>
          <t>Unknown</t>
        </is>
      </c>
      <c r="J28" s="101" t="inlineStr">
        <is>
          <t>Unknown</t>
        </is>
      </c>
      <c r="K28" s="101" t="inlineStr">
        <is>
          <t>Unknown</t>
        </is>
      </c>
      <c r="L28" s="101" t="inlineStr">
        <is>
          <t>Established / strategic</t>
        </is>
      </c>
      <c r="M28" s="101" t="n">
        <v>3</v>
      </c>
      <c r="N28" s="101" t="n">
        <v>6</v>
      </c>
      <c r="O28" s="14" t="n">
        <v>0.3333333333333333</v>
      </c>
      <c r="P28" s="14" t="n">
        <v>0.3333333333333333</v>
      </c>
      <c r="Q28" s="101" t="inlineStr">
        <is>
          <t>Franchise payments and adjacent whitespace</t>
        </is>
      </c>
      <c r="R28" s="104" t="inlineStr">
        <is>
          <t>Confirm Toast modules and RBI governance; focus only on uncovered layers/franchise exceptions.</t>
        </is>
      </c>
    </row>
    <row r="29" ht="26" customHeight="1" s="59">
      <c r="A29" s="100" t="inlineStr">
        <is>
          <t>BOYNE USA INC</t>
        </is>
      </c>
      <c r="B29" s="101" t="inlineStr">
        <is>
          <t>Avery Churchwell</t>
        </is>
      </c>
      <c r="C29" s="101" t="inlineStr">
        <is>
          <t>FreedomPay</t>
        </is>
      </c>
      <c r="D29" s="101" t="inlineStr">
        <is>
          <t>Agilysys, RTP</t>
        </is>
      </c>
      <c r="E29" s="101" t="inlineStr">
        <is>
          <t>Flaik</t>
        </is>
      </c>
      <c r="F29" s="101" t="inlineStr">
        <is>
          <t>Unknown</t>
        </is>
      </c>
      <c r="G29" s="101" t="inlineStr">
        <is>
          <t>Unknown</t>
        </is>
      </c>
      <c r="H29" s="101" t="inlineStr">
        <is>
          <t>Mashgin</t>
        </is>
      </c>
      <c r="I29" s="101" t="inlineStr">
        <is>
          <t>Unknown</t>
        </is>
      </c>
      <c r="J29" s="101" t="inlineStr">
        <is>
          <t>Unknown</t>
        </is>
      </c>
      <c r="K29" s="101" t="inlineStr">
        <is>
          <t>Swipe Simple B250 &amp; FB Terminals</t>
        </is>
      </c>
      <c r="L29" s="101" t="inlineStr">
        <is>
          <t>Established mixed hospitality stack</t>
        </is>
      </c>
      <c r="M29" s="101" t="n">
        <v>5</v>
      </c>
      <c r="N29" s="101" t="n">
        <v>4</v>
      </c>
      <c r="O29" s="14" t="n">
        <v>0.5555555555555556</v>
      </c>
      <c r="P29" s="14" t="n">
        <v>0.5555555555555556</v>
      </c>
      <c r="Q29" s="101" t="inlineStr">
        <is>
          <t>Resort commerce consolidation</t>
        </is>
      </c>
      <c r="R29" s="104" t="inlineStr">
        <is>
          <t>Map Agilysys, RTP, Mashgin and Flaik by venue/property; confirm renewal dates.</t>
        </is>
      </c>
    </row>
    <row r="30" ht="26" customHeight="1" s="59">
      <c r="A30" s="100" t="inlineStr">
        <is>
          <t>SLIM CHICKENS</t>
        </is>
      </c>
      <c r="B30" s="101" t="inlineStr">
        <is>
          <t>Avery Churchwell</t>
        </is>
      </c>
      <c r="C30" s="101" t="inlineStr">
        <is>
          <t>PAR Brink (VAR - Verifone Classic) and Olo</t>
        </is>
      </c>
      <c r="D30" s="101" t="inlineStr">
        <is>
          <t>PAR Brink</t>
        </is>
      </c>
      <c r="E30" s="101" t="inlineStr">
        <is>
          <t>Olo Ordering, Dispatch, Rails, Switchboard, Sync</t>
        </is>
      </c>
      <c r="F30" s="101" t="inlineStr">
        <is>
          <t>Unknown</t>
        </is>
      </c>
      <c r="G30" s="101" t="inlineStr">
        <is>
          <t>Unknown</t>
        </is>
      </c>
      <c r="H30" s="101" t="inlineStr">
        <is>
          <t>PAR - Lane 300s</t>
        </is>
      </c>
      <c r="I30" s="101" t="inlineStr">
        <is>
          <t>Unknown</t>
        </is>
      </c>
      <c r="J30" s="101" t="inlineStr">
        <is>
          <t>Unknown</t>
        </is>
      </c>
      <c r="K30" s="101" t="inlineStr">
        <is>
          <t>Established PAR/RDS; Worldpay renewed through 2029</t>
        </is>
      </c>
      <c r="L30" s="101" t="inlineStr">
        <is>
          <t>Payments retained; no new customer-defined trigger</t>
        </is>
      </c>
      <c r="M30" s="101" t="n">
        <v>5</v>
      </c>
      <c r="N30" s="101" t="n">
        <v>4</v>
      </c>
      <c r="O30" s="14" t="n">
        <v>0.5555555555555556</v>
      </c>
      <c r="P30" s="14" t="n">
        <v>0.5555555555555556</v>
      </c>
      <c r="Q30" s="101" t="inlineStr">
        <is>
          <t>RDS-led relationship map</t>
        </is>
      </c>
      <c r="R30" s="104" t="inlineStr">
        <is>
          <t>Wait for RDS-validated customer problem; no direct outreach</t>
        </is>
      </c>
    </row>
    <row r="31" ht="26" customHeight="1" s="59">
      <c r="A31" s="100" t="inlineStr">
        <is>
          <t>Barbara B Mann PAH</t>
        </is>
      </c>
      <c r="B31" s="101" t="inlineStr">
        <is>
          <t>Brian Wood</t>
        </is>
      </c>
      <c r="C31" s="101" t="inlineStr">
        <is>
          <t>Cybersource</t>
        </is>
      </c>
      <c r="D31" s="101" t="inlineStr">
        <is>
          <t>Unknown</t>
        </is>
      </c>
      <c r="E31" s="101" t="inlineStr">
        <is>
          <t>Yes</t>
        </is>
      </c>
      <c r="F31" s="101" t="inlineStr">
        <is>
          <t>Unknown</t>
        </is>
      </c>
      <c r="G31" s="101" t="inlineStr">
        <is>
          <t>Unknown</t>
        </is>
      </c>
      <c r="H31" s="101" t="inlineStr">
        <is>
          <t>Unknown</t>
        </is>
      </c>
      <c r="I31" s="101" t="inlineStr">
        <is>
          <t>Unknown</t>
        </is>
      </c>
      <c r="J31" s="101" t="inlineStr">
        <is>
          <t>Unknown</t>
        </is>
      </c>
      <c r="K31" s="101" t="inlineStr">
        <is>
          <t>Unknown</t>
        </is>
      </c>
      <c r="L31" s="101" t="inlineStr">
        <is>
          <t>Unknown</t>
        </is>
      </c>
      <c r="M31" s="101" t="n">
        <v>2</v>
      </c>
      <c r="N31" s="101" t="n">
        <v>7</v>
      </c>
      <c r="O31" s="14" t="n">
        <v>0.2222222222222222</v>
      </c>
      <c r="P31" s="14" t="n">
        <v>0.2222222222222222</v>
      </c>
      <c r="Q31" s="101" t="inlineStr">
        <is>
          <t>Venue commerce discovery</t>
        </is>
      </c>
      <c r="R31" s="104" t="inlineStr">
        <is>
          <t>Resolve legal entity/venue scope and validate Cybersource/ecommerce footprint.</t>
        </is>
      </c>
    </row>
    <row r="32" ht="26" customHeight="1" s="59">
      <c r="A32" s="100" t="inlineStr">
        <is>
          <t>STATION CASINO</t>
        </is>
      </c>
      <c r="B32" s="101" t="inlineStr">
        <is>
          <t>Avery Churchwell</t>
        </is>
      </c>
      <c r="C32" s="101" t="inlineStr">
        <is>
          <t>FreedomPay</t>
        </is>
      </c>
      <c r="D32" s="101" t="inlineStr">
        <is>
          <t>Agilysys</t>
        </is>
      </c>
      <c r="E32" s="101" t="inlineStr">
        <is>
          <t>OnDemand</t>
        </is>
      </c>
      <c r="F32" s="101" t="inlineStr">
        <is>
          <t>Unknown</t>
        </is>
      </c>
      <c r="G32" s="101" t="inlineStr">
        <is>
          <t>Unknown</t>
        </is>
      </c>
      <c r="H32" s="101" t="inlineStr">
        <is>
          <t>Unknown</t>
        </is>
      </c>
      <c r="I32" s="101" t="inlineStr">
        <is>
          <t>Unknown</t>
        </is>
      </c>
      <c r="J32" s="101" t="inlineStr">
        <is>
          <t>Unknown</t>
        </is>
      </c>
      <c r="K32" s="101" t="inlineStr">
        <is>
          <t>FP Terminals</t>
        </is>
      </c>
      <c r="L32" s="101" t="inlineStr">
        <is>
          <t>Established hospitality stack</t>
        </is>
      </c>
      <c r="M32" s="101" t="n">
        <v>4</v>
      </c>
      <c r="N32" s="101" t="n">
        <v>5</v>
      </c>
      <c r="O32" s="14" t="n">
        <v>0.4444444444444444</v>
      </c>
      <c r="P32" s="14" t="n">
        <v>0.4444444444444444</v>
      </c>
      <c r="Q32" s="101" t="inlineStr">
        <is>
          <t>Venue payments and commerce adjacency</t>
        </is>
      </c>
      <c r="R32" s="104" t="inlineStr">
        <is>
          <t>Validate Agilysys/FreedomPay contract dates and venue expansion plans.</t>
        </is>
      </c>
    </row>
    <row r="33" ht="26" customHeight="1" s="59">
      <c r="A33" s="100" t="inlineStr">
        <is>
          <t>LATRELLES MANAGEMENT CORP (Bullritos)</t>
        </is>
      </c>
      <c r="B33" s="101" t="inlineStr">
        <is>
          <t>Avery Churchwell</t>
        </is>
      </c>
      <c r="C33" s="101" t="inlineStr">
        <is>
          <t>NCR Aloha/Connected Payments</t>
        </is>
      </c>
      <c r="D33" s="101" t="inlineStr">
        <is>
          <t>NCR Aloha</t>
        </is>
      </c>
      <c r="E33" s="101" t="inlineStr">
        <is>
          <t>Unknown</t>
        </is>
      </c>
      <c r="F33" s="101" t="inlineStr">
        <is>
          <t>Unknown</t>
        </is>
      </c>
      <c r="G33" s="101" t="inlineStr">
        <is>
          <t>Unknown</t>
        </is>
      </c>
      <c r="H33" s="101" t="inlineStr">
        <is>
          <t>Unknown</t>
        </is>
      </c>
      <c r="I33" s="101" t="inlineStr">
        <is>
          <t>Unknown</t>
        </is>
      </c>
      <c r="J33" s="101" t="inlineStr">
        <is>
          <t>Unknown</t>
        </is>
      </c>
      <c r="K33" s="101" t="inlineStr">
        <is>
          <t>Unknown</t>
        </is>
      </c>
      <c r="L33" s="101" t="inlineStr">
        <is>
          <t>Established NCR</t>
        </is>
      </c>
      <c r="M33" s="101" t="n">
        <v>2</v>
      </c>
      <c r="N33" s="101" t="n">
        <v>7</v>
      </c>
      <c r="O33" s="14" t="n">
        <v>0.2222222222222222</v>
      </c>
      <c r="P33" s="14" t="n">
        <v>0.2222222222222222</v>
      </c>
      <c r="Q33" s="101" t="inlineStr">
        <is>
          <t>Mid-market POS/payments modernization</t>
        </is>
      </c>
      <c r="R33" s="104" t="inlineStr">
        <is>
          <t>Validate current estate and buying authority.</t>
        </is>
      </c>
    </row>
    <row r="34" ht="26" customHeight="1" s="59">
      <c r="A34" s="105" t="inlineStr">
        <is>
          <t>FESTIVA REAL ESTATE HOLDINGS</t>
        </is>
      </c>
      <c r="B34" s="106" t="inlineStr">
        <is>
          <t>Brian Wood</t>
        </is>
      </c>
      <c r="C34" s="106" t="inlineStr">
        <is>
          <t>Shift4 &amp; other</t>
        </is>
      </c>
      <c r="D34" s="106" t="inlineStr">
        <is>
          <t>Shift4 &amp; other</t>
        </is>
      </c>
      <c r="E34" s="106" t="inlineStr">
        <is>
          <t>Yes</t>
        </is>
      </c>
      <c r="F34" s="106" t="inlineStr">
        <is>
          <t>Unknown</t>
        </is>
      </c>
      <c r="G34" s="106" t="inlineStr">
        <is>
          <t>Unknown</t>
        </is>
      </c>
      <c r="H34" s="106" t="inlineStr">
        <is>
          <t>Unknown</t>
        </is>
      </c>
      <c r="I34" s="106" t="inlineStr">
        <is>
          <t>Unknown</t>
        </is>
      </c>
      <c r="J34" s="106" t="inlineStr">
        <is>
          <t>Unknown</t>
        </is>
      </c>
      <c r="K34" s="106" t="inlineStr">
        <is>
          <t>Unknown</t>
        </is>
      </c>
      <c r="L34" s="106" t="inlineStr">
        <is>
          <t>Established / unclear</t>
        </is>
      </c>
      <c r="M34" s="106" t="n">
        <v>3</v>
      </c>
      <c r="N34" s="106" t="n">
        <v>6</v>
      </c>
      <c r="O34" s="15" t="n">
        <v>0.3333333333333333</v>
      </c>
      <c r="P34" s="15" t="n">
        <v>0.3333333333333333</v>
      </c>
      <c r="Q34" s="106" t="inlineStr">
        <is>
          <t>Payments discovery</t>
        </is>
      </c>
      <c r="R34" s="109" t="inlineStr">
        <is>
          <t>Resolve entity relationship and current payment estate before pursuit.</t>
        </is>
      </c>
    </row>
    <row r="35" ht="90" customHeight="1" s="59">
      <c r="A35" s="90" t="inlineStr">
        <is>
          <t>POLLO CAMPERO</t>
        </is>
      </c>
      <c r="B35" s="90" t="inlineStr">
        <is>
          <t>Unassigned / Worldpay</t>
        </is>
      </c>
      <c r="C35" s="90" t="inlineStr">
        <is>
          <t>Oracle Simphony migration; NCR Aloha legacy</t>
        </is>
      </c>
      <c r="D35" s="90" t="inlineStr">
        <is>
          <t>Fiserv in-store; Olo Pay/Stripe digital</t>
        </is>
      </c>
      <c r="E35" s="90" t="inlineStr">
        <is>
          <t>Olo</t>
        </is>
      </c>
      <c r="F35" s="90" t="inlineStr">
        <is>
          <t>Current loyalty vendor unknown</t>
        </is>
      </c>
      <c r="G35" s="90" t="inlineStr">
        <is>
          <t>Unknown</t>
        </is>
      </c>
      <c r="H35" s="90" t="inlineStr">
        <is>
          <t>DMB incumbent/dissatisfaction reported</t>
        </is>
      </c>
      <c r="I35" s="90" t="inlineStr">
        <is>
          <t>Unknown</t>
        </is>
      </c>
      <c r="J35" s="90" t="inlineStr">
        <is>
          <t>Unknown</t>
        </is>
      </c>
      <c r="K35" s="90" t="inlineStr">
        <is>
          <t>Mixed estate / potential RFI</t>
        </is>
      </c>
      <c r="L35" s="90" t="inlineStr">
        <is>
          <t>Scope, decision openness and deadlines unverified</t>
        </is>
      </c>
      <c r="M35" s="90" t="n">
        <v>5</v>
      </c>
      <c r="N35" s="90" t="n">
        <v>4</v>
      </c>
      <c r="O35" s="48" t="n">
        <v>0.5555555555555556</v>
      </c>
      <c r="P35" s="90" t="inlineStr">
        <is>
          <t>RFI qualification + international platform/payments/DMB</t>
        </is>
      </c>
      <c r="Q35" s="90" t="inlineStr">
        <is>
          <t>Obtain NDA/RFI and validate estate by country</t>
        </is>
      </c>
      <c r="R35" s="90" t="inlineStr">
        <is>
          <t>Confirm sponsor, deadlines, Oracle status, payment scope and DMB requirements</t>
        </is>
      </c>
    </row>
    <row r="36" ht="45" customHeight="1" s="59">
      <c r="A36" s="90" t="inlineStr">
        <is>
          <t>RDS FIVE-UNIT REBRAND PILOT</t>
        </is>
      </c>
      <c r="B36" s="90" t="inlineStr">
        <is>
          <t>RDS / Darren Heinze</t>
        </is>
      </c>
      <c r="C36" s="90" t="inlineStr">
        <is>
          <t>To be determined</t>
        </is>
      </c>
      <c r="D36" s="90" t="inlineStr">
        <is>
          <t>Worldpay/Genius candidate</t>
        </is>
      </c>
      <c r="E36" s="90" t="inlineStr">
        <is>
          <t>Unknown</t>
        </is>
      </c>
      <c r="F36" s="90" t="inlineStr">
        <is>
          <t>Unknown</t>
        </is>
      </c>
      <c r="G36" s="90" t="inlineStr">
        <is>
          <t>Unknown</t>
        </is>
      </c>
      <c r="H36" s="90" t="inlineStr">
        <is>
          <t>Digital menu boards in evaluation</t>
        </is>
      </c>
      <c r="I36" s="90" t="inlineStr">
        <is>
          <t>Unknown</t>
        </is>
      </c>
      <c r="J36" s="90" t="inlineStr">
        <is>
          <t>Drive-thru sites</t>
        </is>
      </c>
      <c r="K36" s="90" t="inlineStr">
        <is>
          <t>Clean-slate rebrand / conversion</t>
        </is>
      </c>
      <c r="L36" s="90" t="inlineStr">
        <is>
          <t>Customer facts and commercial model unverified</t>
        </is>
      </c>
      <c r="M36" s="90" t="n">
        <v>4</v>
      </c>
      <c r="N36" s="90" t="n">
        <v>5</v>
      </c>
      <c r="O36" s="48" t="n">
        <v>0.4444444444444444</v>
      </c>
      <c r="P36" s="90" t="inlineStr">
        <is>
          <t>RDS-led pilot and reseller proof</t>
        </is>
      </c>
      <c r="Q36" s="90" t="inlineStr">
        <is>
          <t>Confirm full phased-stack scope</t>
        </is>
      </c>
      <c r="R36" s="9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59" min="1" max="1"/>
    <col width="24" customWidth="1" style="59" min="2" max="2"/>
    <col width="22" customWidth="1" style="59" min="3" max="3"/>
    <col width="13" customWidth="1" style="59" min="4" max="4"/>
    <col width="25" customWidth="1" style="59" min="5" max="5"/>
    <col width="55" customWidth="1" style="59" min="6" max="7"/>
    <col width="18" customWidth="1" style="59" min="8" max="8"/>
    <col width="32" customWidth="1" style="59" min="9" max="9"/>
    <col width="14" customWidth="1" style="59" min="10" max="10"/>
  </cols>
  <sheetData>
    <row r="1" ht="32" customHeight="1" s="59">
      <c r="A1" s="110" t="inlineStr">
        <is>
          <t>Evidence Ledger — refreshed 2026-09-04</t>
        </is>
      </c>
    </row>
    <row r="2" ht="30" customHeight="1" s="59">
      <c r="A2" s="112" t="inlineStr">
        <is>
          <t>Evidence type and confidence are explicit. User intelligence is high-priority field evidence but is not relabeled as public verification.</t>
        </is>
      </c>
    </row>
    <row r="3">
      <c r="A3" s="111" t="n"/>
      <c r="B3" s="111" t="n"/>
      <c r="C3" s="111" t="n"/>
      <c r="D3" s="111" t="n"/>
      <c r="E3" s="111" t="n"/>
      <c r="F3" s="111" t="n"/>
      <c r="G3" s="111" t="n"/>
      <c r="H3" s="111" t="n"/>
      <c r="I3" s="111" t="n"/>
      <c r="J3" s="111" t="n"/>
    </row>
    <row r="4" ht="28" customHeight="1" s="59">
      <c r="A4" s="113" t="inlineStr">
        <is>
          <t>Account</t>
        </is>
      </c>
      <c r="B4" s="114" t="inlineStr">
        <is>
          <t>Technology Layer</t>
        </is>
      </c>
      <c r="C4" s="114" t="inlineStr">
        <is>
          <t>Event Type</t>
        </is>
      </c>
      <c r="D4" s="114" t="inlineStr">
        <is>
          <t>Event Date</t>
        </is>
      </c>
      <c r="E4" s="114" t="inlineStr">
        <is>
          <t>Source / Publisher</t>
        </is>
      </c>
      <c r="F4" s="114" t="inlineStr">
        <is>
          <t>Evidence Summary</t>
        </is>
      </c>
      <c r="G4" s="114" t="inlineStr">
        <is>
          <t>Source URL or Reference</t>
        </is>
      </c>
      <c r="H4" s="114" t="inlineStr">
        <is>
          <t>Confidence</t>
        </is>
      </c>
      <c r="I4" s="114" t="inlineStr">
        <is>
          <t>Current-State Interpretation</t>
        </is>
      </c>
      <c r="J4" s="115" t="inlineStr">
        <is>
          <t>Research Date</t>
        </is>
      </c>
    </row>
    <row r="5">
      <c r="A5" s="95" t="inlineStr">
        <is>
          <t>WENDY'S INTERNATIONAL INC</t>
        </is>
      </c>
      <c r="B5" s="96" t="inlineStr">
        <is>
          <t>Baseline stack</t>
        </is>
      </c>
      <c r="C5" s="96" t="inlineStr">
        <is>
          <t>Worldpay source</t>
        </is>
      </c>
      <c r="D5" s="116" t="n"/>
      <c r="E5" s="96" t="inlineStr">
        <is>
          <t>Internal source</t>
        </is>
      </c>
      <c r="F5" s="96" t="inlineStr">
        <is>
          <t>Worldpay reports POS=NCR Aloha; ISV/payments=ACI; ecommerce=Yes.</t>
        </is>
      </c>
      <c r="G5" s="96" t="inlineStr">
        <is>
          <t>Worldpay_30_Account_Capture_Plan_v1.xlsx — Worldpay Source Snapshot</t>
        </is>
      </c>
      <c r="H5" s="96" t="inlineStr">
        <is>
          <t>Medium</t>
        </is>
      </c>
      <c r="I5" s="96" t="inlineStr">
        <is>
          <t>Baseline; requires current verification</t>
        </is>
      </c>
      <c r="J5" s="117" t="inlineStr">
        <is>
          <t>2026-07-20</t>
        </is>
      </c>
    </row>
    <row r="6">
      <c r="A6" s="100" t="inlineStr">
        <is>
          <t>WENDY'S INTERNATIONAL INC</t>
        </is>
      </c>
      <c r="B6" s="101" t="inlineStr">
        <is>
          <t>Field update</t>
        </is>
      </c>
      <c r="C6" s="101" t="inlineStr">
        <is>
          <t>User intelligence</t>
        </is>
      </c>
      <c r="D6" s="118" t="n">
        <v>46223</v>
      </c>
      <c r="E6" s="101" t="inlineStr">
        <is>
          <t>User-supplied</t>
        </is>
      </c>
      <c r="F6" s="101" t="inlineStr">
        <is>
          <t>Wendy’s is making a POS decision next week; Genius is in the mix.</t>
        </is>
      </c>
      <c r="G6" s="101" t="inlineStr">
        <is>
          <t>User field intelligence supplied for this analysis on 2026-07-20</t>
        </is>
      </c>
      <c r="H6" s="101" t="inlineStr">
        <is>
          <t>High (user intelligence)</t>
        </is>
      </c>
      <c r="I6" s="101" t="inlineStr">
        <is>
          <t>Preserve separately from public verification</t>
        </is>
      </c>
      <c r="J6" s="119" t="inlineStr">
        <is>
          <t>2026-07-20</t>
        </is>
      </c>
    </row>
    <row r="7" ht="26" customHeight="1" s="59">
      <c r="A7" s="100" t="inlineStr">
        <is>
          <t>DEL TACO LLC</t>
        </is>
      </c>
      <c r="B7" s="101" t="inlineStr">
        <is>
          <t>Baseline stack</t>
        </is>
      </c>
      <c r="C7" s="101" t="inlineStr">
        <is>
          <t>Worldpay source</t>
        </is>
      </c>
      <c r="D7" s="118" t="n"/>
      <c r="E7" s="101" t="inlineStr">
        <is>
          <t>Internal source</t>
        </is>
      </c>
      <c r="F7" s="101" t="inlineStr">
        <is>
          <t>Worldpay reports POS=NCR; ISV/payments=NCR Connected Payments; ecommerce=OLO corporate.</t>
        </is>
      </c>
      <c r="G7" s="101" t="inlineStr">
        <is>
          <t>Worldpay_30_Account_Capture_Plan_v1.xlsx — Worldpay Source Snapshot</t>
        </is>
      </c>
      <c r="H7" s="101" t="inlineStr">
        <is>
          <t>Medium</t>
        </is>
      </c>
      <c r="I7" s="101" t="inlineStr">
        <is>
          <t>Baseline; requires current verification</t>
        </is>
      </c>
      <c r="J7" s="119" t="inlineStr">
        <is>
          <t>2026-07-20</t>
        </is>
      </c>
    </row>
    <row r="8">
      <c r="A8" s="100" t="inlineStr">
        <is>
          <t>DEL TACO LLC</t>
        </is>
      </c>
      <c r="B8" s="101" t="inlineStr">
        <is>
          <t>Field update</t>
        </is>
      </c>
      <c r="C8" s="101" t="inlineStr">
        <is>
          <t>User intelligence</t>
        </is>
      </c>
      <c r="D8" s="118" t="n">
        <v>46223</v>
      </c>
      <c r="E8" s="101" t="inlineStr">
        <is>
          <t>User-supplied</t>
        </is>
      </c>
      <c r="F8" s="101" t="inlineStr">
        <is>
          <t>Del Taco has leads floating around Global Payments and status is needed.</t>
        </is>
      </c>
      <c r="G8" s="101" t="inlineStr">
        <is>
          <t>User field intelligence supplied for this analysis on 2026-07-20</t>
        </is>
      </c>
      <c r="H8" s="101" t="inlineStr">
        <is>
          <t>High (user intelligence)</t>
        </is>
      </c>
      <c r="I8" s="101" t="inlineStr">
        <is>
          <t>Preserve separately from public verification</t>
        </is>
      </c>
      <c r="J8" s="119" t="inlineStr">
        <is>
          <t>2026-07-20</t>
        </is>
      </c>
    </row>
    <row r="9" ht="26" customHeight="1" s="59">
      <c r="A9" s="100" t="inlineStr">
        <is>
          <t>Dutch Bros</t>
        </is>
      </c>
      <c r="B9" s="101" t="inlineStr">
        <is>
          <t>Baseline stack</t>
        </is>
      </c>
      <c r="C9" s="101" t="inlineStr">
        <is>
          <t>Worldpay source</t>
        </is>
      </c>
      <c r="D9" s="118" t="n"/>
      <c r="E9" s="101" t="inlineStr">
        <is>
          <t>Internal source</t>
        </is>
      </c>
      <c r="F9" s="101" t="inlineStr">
        <is>
          <t>Worldpay reports POS=Xenial Cloud POS; ISV/payments=Verifone SCA Gateway; ecommerce=OloPay, Braintree, Paytronix.</t>
        </is>
      </c>
      <c r="G9" s="101" t="inlineStr">
        <is>
          <t>Worldpay_30_Account_Capture_Plan_v1.xlsx — Worldpay Source Snapshot</t>
        </is>
      </c>
      <c r="H9" s="101" t="inlineStr">
        <is>
          <t>Medium</t>
        </is>
      </c>
      <c r="I9" s="101" t="inlineStr">
        <is>
          <t>Baseline; requires current verification</t>
        </is>
      </c>
      <c r="J9" s="119" t="inlineStr">
        <is>
          <t>2026-07-20</t>
        </is>
      </c>
    </row>
    <row r="10">
      <c r="A10" s="100" t="inlineStr">
        <is>
          <t>Dutch Bros</t>
        </is>
      </c>
      <c r="B10" s="101" t="inlineStr">
        <is>
          <t>Field update</t>
        </is>
      </c>
      <c r="C10" s="101" t="inlineStr">
        <is>
          <t>User intelligence</t>
        </is>
      </c>
      <c r="D10" s="118" t="n">
        <v>46223</v>
      </c>
      <c r="E10" s="101" t="inlineStr">
        <is>
          <t>User-supplied</t>
        </is>
      </c>
      <c r="F10" s="101" t="inlineStr">
        <is>
          <t>Dutch Bros is already a Genius customer.</t>
        </is>
      </c>
      <c r="G10" s="101" t="inlineStr">
        <is>
          <t>User field intelligence supplied for this analysis on 2026-07-20</t>
        </is>
      </c>
      <c r="H10" s="101" t="inlineStr">
        <is>
          <t>High (user intelligence)</t>
        </is>
      </c>
      <c r="I10" s="101" t="inlineStr">
        <is>
          <t>Preserve separately from public verification</t>
        </is>
      </c>
      <c r="J10" s="119" t="inlineStr">
        <is>
          <t>2026-07-20</t>
        </is>
      </c>
    </row>
    <row r="11" ht="26" customHeight="1" s="59">
      <c r="A11" s="100" t="inlineStr">
        <is>
          <t>Focus Brands (GoTo Foods)</t>
        </is>
      </c>
      <c r="B11" s="101" t="inlineStr">
        <is>
          <t>Baseline stack</t>
        </is>
      </c>
      <c r="C11" s="101" t="inlineStr">
        <is>
          <t>Worldpay source</t>
        </is>
      </c>
      <c r="D11" s="118" t="n"/>
      <c r="E11" s="101" t="inlineStr">
        <is>
          <t>Internal source</t>
        </is>
      </c>
      <c r="F11" s="101" t="inlineStr">
        <is>
          <t>Worldpay reports POS=FreedomPay (in-store), OLO (online), Monkey Media (catering), moving all to Qu; ISV/payments=FreedomPay; ecommerce=Yes.</t>
        </is>
      </c>
      <c r="G11" s="101" t="inlineStr">
        <is>
          <t>Worldpay_30_Account_Capture_Plan_v1.xlsx — Worldpay Source Snapshot</t>
        </is>
      </c>
      <c r="H11" s="101" t="inlineStr">
        <is>
          <t>Medium</t>
        </is>
      </c>
      <c r="I11" s="101" t="inlineStr">
        <is>
          <t>Baseline; requires current verification</t>
        </is>
      </c>
      <c r="J11" s="119" t="inlineStr">
        <is>
          <t>2026-07-20</t>
        </is>
      </c>
    </row>
    <row r="12" ht="26" customHeight="1" s="59">
      <c r="A12" s="100" t="inlineStr">
        <is>
          <t>Focus Brands (GoTo Foods)</t>
        </is>
      </c>
      <c r="B12" s="101" t="inlineStr">
        <is>
          <t>Field update</t>
        </is>
      </c>
      <c r="C12" s="101" t="inlineStr">
        <is>
          <t>User intelligence</t>
        </is>
      </c>
      <c r="D12" s="118" t="n">
        <v>46223</v>
      </c>
      <c r="E12" s="101" t="inlineStr">
        <is>
          <t>User-supplied</t>
        </is>
      </c>
      <c r="F12" s="101" t="inlineStr">
        <is>
          <t>Focus/GoTo Foods is a recent Qu win but deployment is taking longer than expected.</t>
        </is>
      </c>
      <c r="G12" s="101" t="inlineStr">
        <is>
          <t>User field intelligence supplied for this analysis on 2026-07-20</t>
        </is>
      </c>
      <c r="H12" s="101" t="inlineStr">
        <is>
          <t>High (user intelligence)</t>
        </is>
      </c>
      <c r="I12" s="101" t="inlineStr">
        <is>
          <t>Preserve separately from public verification</t>
        </is>
      </c>
      <c r="J12" s="119" t="inlineStr">
        <is>
          <t>2026-07-20</t>
        </is>
      </c>
    </row>
    <row r="13">
      <c r="A13" s="100" t="inlineStr">
        <is>
          <t>SUBWAY</t>
        </is>
      </c>
      <c r="B13" s="101" t="inlineStr">
        <is>
          <t>Baseline stack</t>
        </is>
      </c>
      <c r="C13" s="101" t="inlineStr">
        <is>
          <t>Worldpay source</t>
        </is>
      </c>
      <c r="D13" s="118" t="n"/>
      <c r="E13" s="101" t="inlineStr">
        <is>
          <t>Internal source</t>
        </is>
      </c>
      <c r="F13" s="101" t="inlineStr">
        <is>
          <t>Worldpay reports POS=Proprietary; ISV/payments=FreedomPay; ecommerce=Yes.</t>
        </is>
      </c>
      <c r="G13" s="101" t="inlineStr">
        <is>
          <t>Worldpay_30_Account_Capture_Plan_v1.xlsx — Worldpay Source Snapshot</t>
        </is>
      </c>
      <c r="H13" s="101" t="inlineStr">
        <is>
          <t>Medium</t>
        </is>
      </c>
      <c r="I13" s="101" t="inlineStr">
        <is>
          <t>Baseline; requires current verification</t>
        </is>
      </c>
      <c r="J13" s="119" t="inlineStr">
        <is>
          <t>2026-07-20</t>
        </is>
      </c>
    </row>
    <row r="14" ht="26" customHeight="1" s="59">
      <c r="A14" s="100" t="inlineStr">
        <is>
          <t>FIVE GUYS</t>
        </is>
      </c>
      <c r="B14" s="101" t="inlineStr">
        <is>
          <t>Baseline stack</t>
        </is>
      </c>
      <c r="C14" s="101" t="inlineStr">
        <is>
          <t>Worldpay source</t>
        </is>
      </c>
      <c r="D14" s="118" t="n"/>
      <c r="E14" s="101" t="inlineStr">
        <is>
          <t>Internal source</t>
        </is>
      </c>
      <c r="F14" s="101" t="inlineStr">
        <is>
          <t>Worldpay reports POS=Par, Verifone SCA, Olo; ISV/payments=PAR; ecommerce=Olo.</t>
        </is>
      </c>
      <c r="G14" s="101" t="inlineStr">
        <is>
          <t>Worldpay_30_Account_Capture_Plan_v1.xlsx — Worldpay Source Snapshot</t>
        </is>
      </c>
      <c r="H14" s="101" t="inlineStr">
        <is>
          <t>Medium</t>
        </is>
      </c>
      <c r="I14" s="101" t="inlineStr">
        <is>
          <t>Baseline; requires current verification</t>
        </is>
      </c>
      <c r="J14" s="119" t="inlineStr">
        <is>
          <t>2026-07-20</t>
        </is>
      </c>
    </row>
    <row r="15" ht="26" customHeight="1" s="59">
      <c r="A15" s="100" t="inlineStr">
        <is>
          <t>FIVE GUYS</t>
        </is>
      </c>
      <c r="B15" s="101" t="inlineStr">
        <is>
          <t>Field update</t>
        </is>
      </c>
      <c r="C15" s="101" t="inlineStr">
        <is>
          <t>User intelligence</t>
        </is>
      </c>
      <c r="D15" s="118" t="n">
        <v>46223</v>
      </c>
      <c r="E15" s="101" t="inlineStr">
        <is>
          <t>User-supplied</t>
        </is>
      </c>
      <c r="F15" s="101" t="inlineStr">
        <is>
          <t>Five Guys is a very happy CrunchTime user; PAR signed a three-year POS extension about 2.25 years ago.</t>
        </is>
      </c>
      <c r="G15" s="101" t="inlineStr">
        <is>
          <t>User field intelligence supplied for this analysis on 2026-07-20</t>
        </is>
      </c>
      <c r="H15" s="101" t="inlineStr">
        <is>
          <t>High (user intelligence)</t>
        </is>
      </c>
      <c r="I15" s="101" t="inlineStr">
        <is>
          <t>Preserve separately from public verification</t>
        </is>
      </c>
      <c r="J15" s="119" t="inlineStr">
        <is>
          <t>2026-07-20</t>
        </is>
      </c>
    </row>
    <row r="16">
      <c r="A16" s="100" t="inlineStr">
        <is>
          <t>CHOICE HOTELS</t>
        </is>
      </c>
      <c r="B16" s="101" t="inlineStr">
        <is>
          <t>Baseline stack</t>
        </is>
      </c>
      <c r="C16" s="101" t="inlineStr">
        <is>
          <t>Worldpay source</t>
        </is>
      </c>
      <c r="D16" s="118" t="n"/>
      <c r="E16" s="101" t="inlineStr">
        <is>
          <t>Internal source</t>
        </is>
      </c>
      <c r="F16" s="101" t="inlineStr">
        <is>
          <t>Worldpay reports POS=Shift4; ISV/payments=unknown; ecommerce=Yes.</t>
        </is>
      </c>
      <c r="G16" s="101" t="inlineStr">
        <is>
          <t>Worldpay_30_Account_Capture_Plan_v1.xlsx — Worldpay Source Snapshot</t>
        </is>
      </c>
      <c r="H16" s="101" t="inlineStr">
        <is>
          <t>Medium</t>
        </is>
      </c>
      <c r="I16" s="101" t="inlineStr">
        <is>
          <t>Baseline; requires current verification</t>
        </is>
      </c>
      <c r="J16" s="119" t="inlineStr">
        <is>
          <t>2026-07-20</t>
        </is>
      </c>
    </row>
    <row r="17" ht="26" customHeight="1" s="59">
      <c r="A17" s="100" t="inlineStr">
        <is>
          <t>THE STEAK N SHAKE CO</t>
        </is>
      </c>
      <c r="B17" s="101" t="inlineStr">
        <is>
          <t>Baseline stack</t>
        </is>
      </c>
      <c r="C17" s="101" t="inlineStr">
        <is>
          <t>Worldpay source</t>
        </is>
      </c>
      <c r="D17" s="118" t="n"/>
      <c r="E17" s="101" t="inlineStr">
        <is>
          <t>Internal source</t>
        </is>
      </c>
      <c r="F17" s="101" t="inlineStr">
        <is>
          <t>Worldpay reports POS=NCR; ISV/payments=NCR Connected Payments; ecommerce=Olo- moving to direct Express cert with NovaTab.</t>
        </is>
      </c>
      <c r="G17" s="101" t="inlineStr">
        <is>
          <t>Worldpay_30_Account_Capture_Plan_v1.xlsx — Worldpay Source Snapshot</t>
        </is>
      </c>
      <c r="H17" s="101" t="inlineStr">
        <is>
          <t>Medium</t>
        </is>
      </c>
      <c r="I17" s="101" t="inlineStr">
        <is>
          <t>Baseline; requires current verification</t>
        </is>
      </c>
      <c r="J17" s="119" t="inlineStr">
        <is>
          <t>2026-07-20</t>
        </is>
      </c>
    </row>
    <row r="18" ht="26" customHeight="1" s="59">
      <c r="A18" s="100" t="inlineStr">
        <is>
          <t>FREDDY'S FROZEN CUSTARD LLC</t>
        </is>
      </c>
      <c r="B18" s="101" t="inlineStr">
        <is>
          <t>Baseline stack</t>
        </is>
      </c>
      <c r="C18" s="101" t="inlineStr">
        <is>
          <t>Worldpay source</t>
        </is>
      </c>
      <c r="D18" s="118" t="n"/>
      <c r="E18" s="101" t="inlineStr">
        <is>
          <t>Internal source</t>
        </is>
      </c>
      <c r="F18" s="101" t="inlineStr">
        <is>
          <t>Worldpay reports POS=PAR Brink (VAR -Verifone Classic); ISV/payments=PAR Brink; ecommerce=OloPay.</t>
        </is>
      </c>
      <c r="G18" s="101" t="inlineStr">
        <is>
          <t>Worldpay_30_Account_Capture_Plan_v1.xlsx — Worldpay Source Snapshot</t>
        </is>
      </c>
      <c r="H18" s="101" t="inlineStr">
        <is>
          <t>Medium</t>
        </is>
      </c>
      <c r="I18" s="101" t="inlineStr">
        <is>
          <t>Baseline; requires current verification</t>
        </is>
      </c>
      <c r="J18" s="119" t="inlineStr">
        <is>
          <t>2026-07-20</t>
        </is>
      </c>
    </row>
    <row r="19">
      <c r="A19" s="100" t="inlineStr">
        <is>
          <t>FREDDY'S FROZEN CUSTARD LLC</t>
        </is>
      </c>
      <c r="B19" s="101" t="inlineStr">
        <is>
          <t>Field update</t>
        </is>
      </c>
      <c r="C19" s="101" t="inlineStr">
        <is>
          <t>User intelligence</t>
        </is>
      </c>
      <c r="D19" s="118" t="n">
        <v>46223</v>
      </c>
      <c r="E19" s="101" t="inlineStr">
        <is>
          <t>User-supplied</t>
        </is>
      </c>
      <c r="F19" s="101" t="inlineStr">
        <is>
          <t>Freddy's is a PAR customer sold through RDS.</t>
        </is>
      </c>
      <c r="G19" s="101" t="inlineStr">
        <is>
          <t>User field intelligence supplied for this analysis on 2026-07-20</t>
        </is>
      </c>
      <c r="H19" s="101" t="inlineStr">
        <is>
          <t>High (user intelligence)</t>
        </is>
      </c>
      <c r="I19" s="101" t="inlineStr">
        <is>
          <t>Preserve separately from public verification</t>
        </is>
      </c>
      <c r="J19" s="119" t="inlineStr">
        <is>
          <t>2026-07-20</t>
        </is>
      </c>
    </row>
    <row r="20" ht="26" customHeight="1" s="59">
      <c r="A20" s="100" t="inlineStr">
        <is>
          <t>EAT'N PARK HOSPITALITY GRP INC</t>
        </is>
      </c>
      <c r="B20" s="101" t="inlineStr">
        <is>
          <t>Baseline stack</t>
        </is>
      </c>
      <c r="C20" s="101" t="inlineStr">
        <is>
          <t>Worldpay source</t>
        </is>
      </c>
      <c r="D20" s="118" t="n"/>
      <c r="E20" s="101" t="inlineStr">
        <is>
          <t>Internal source</t>
        </is>
      </c>
      <c r="F20" s="101" t="inlineStr">
        <is>
          <t>Worldpay reports POS=FreedomPay, Tillster, Olo; ISV/payments=Oracle Simphony, PayMyTab, Catertrax; ecommerce=Olo, Tillster (wallets), Nextep.</t>
        </is>
      </c>
      <c r="G20" s="101" t="inlineStr">
        <is>
          <t>Worldpay_30_Account_Capture_Plan_v1.xlsx — Worldpay Source Snapshot</t>
        </is>
      </c>
      <c r="H20" s="101" t="inlineStr">
        <is>
          <t>Medium</t>
        </is>
      </c>
      <c r="I20" s="101" t="inlineStr">
        <is>
          <t>Baseline; requires current verification</t>
        </is>
      </c>
      <c r="J20" s="119" t="inlineStr">
        <is>
          <t>2026-07-20</t>
        </is>
      </c>
    </row>
    <row r="21" ht="39" customHeight="1" s="59">
      <c r="A21" s="100" t="inlineStr">
        <is>
          <t>CRACKER BARREL OLD COUNTRY STORE, INC.</t>
        </is>
      </c>
      <c r="B21" s="101" t="inlineStr">
        <is>
          <t>Baseline stack</t>
        </is>
      </c>
      <c r="C21" s="101" t="inlineStr">
        <is>
          <t>Worldpay source</t>
        </is>
      </c>
      <c r="D21" s="118" t="n"/>
      <c r="E21" s="101" t="inlineStr">
        <is>
          <t>Internal source</t>
        </is>
      </c>
      <c r="F21" s="101" t="inlineStr">
        <is>
          <t>Worldpay reports POS=RAFT 610 for POS, Express for OLO ISV for mobile, and eComm is on VAP.  Moving to Oracle Symphony; ISV/payments=FreedomPay; ecommerce=Yes.</t>
        </is>
      </c>
      <c r="G21" s="101" t="inlineStr">
        <is>
          <t>Worldpay_30_Account_Capture_Plan_v1.xlsx — Worldpay Source Snapshot</t>
        </is>
      </c>
      <c r="H21" s="101" t="inlineStr">
        <is>
          <t>Medium</t>
        </is>
      </c>
      <c r="I21" s="101" t="inlineStr">
        <is>
          <t>Baseline; requires current verification</t>
        </is>
      </c>
      <c r="J21" s="119" t="inlineStr">
        <is>
          <t>2026-07-20</t>
        </is>
      </c>
    </row>
    <row r="22" ht="26" customHeight="1" s="59">
      <c r="A22" s="100" t="inlineStr">
        <is>
          <t>MILLLER'S ALE HOUSE</t>
        </is>
      </c>
      <c r="B22" s="101" t="inlineStr">
        <is>
          <t>Baseline stack</t>
        </is>
      </c>
      <c r="C22" s="101" t="inlineStr">
        <is>
          <t>Worldpay source</t>
        </is>
      </c>
      <c r="D22" s="118" t="n"/>
      <c r="E22" s="101" t="inlineStr">
        <is>
          <t>Internal source</t>
        </is>
      </c>
      <c r="F22" s="101" t="inlineStr">
        <is>
          <t>Worldpay reports POS=NCR Connected Payments, Ziosk; ISV/payments=NCR, Ziosk; ecommerce=OloPay.</t>
        </is>
      </c>
      <c r="G22" s="101" t="inlineStr">
        <is>
          <t>Worldpay_30_Account_Capture_Plan_v1.xlsx — Worldpay Source Snapshot</t>
        </is>
      </c>
      <c r="H22" s="101" t="inlineStr">
        <is>
          <t>Medium</t>
        </is>
      </c>
      <c r="I22" s="101" t="inlineStr">
        <is>
          <t>Baseline; requires current verification</t>
        </is>
      </c>
      <c r="J22" s="119" t="inlineStr">
        <is>
          <t>2026-07-20</t>
        </is>
      </c>
    </row>
    <row r="23" ht="26" customHeight="1" s="59">
      <c r="A23" s="100" t="inlineStr">
        <is>
          <t>LAROSA'S INC</t>
        </is>
      </c>
      <c r="B23" s="101" t="inlineStr">
        <is>
          <t>Baseline stack</t>
        </is>
      </c>
      <c r="C23" s="101" t="inlineStr">
        <is>
          <t>Worldpay source</t>
        </is>
      </c>
      <c r="D23" s="118" t="n"/>
      <c r="E23" s="101" t="inlineStr">
        <is>
          <t>Internal source</t>
        </is>
      </c>
      <c r="F23" s="101" t="inlineStr">
        <is>
          <t>Worldpay reports POS=Point of Sale.Cloud; ISV/payments=Mainstreet Monetray, TriPOS; ecommerce=Same as instore.</t>
        </is>
      </c>
      <c r="G23" s="101" t="inlineStr">
        <is>
          <t>Worldpay_30_Account_Capture_Plan_v1.xlsx — Worldpay Source Snapshot</t>
        </is>
      </c>
      <c r="H23" s="101" t="inlineStr">
        <is>
          <t>Medium</t>
        </is>
      </c>
      <c r="I23" s="101" t="inlineStr">
        <is>
          <t>Baseline; requires current verification</t>
        </is>
      </c>
      <c r="J23" s="119" t="inlineStr">
        <is>
          <t>2026-07-20</t>
        </is>
      </c>
    </row>
    <row r="24">
      <c r="A24" s="100" t="inlineStr">
        <is>
          <t>CHURCHS CHICKEN 558</t>
        </is>
      </c>
      <c r="B24" s="101" t="inlineStr">
        <is>
          <t>Baseline stack</t>
        </is>
      </c>
      <c r="C24" s="101" t="inlineStr">
        <is>
          <t>Worldpay source</t>
        </is>
      </c>
      <c r="D24" s="118" t="n"/>
      <c r="E24" s="101" t="inlineStr">
        <is>
          <t>Internal source</t>
        </is>
      </c>
      <c r="F24" s="101" t="inlineStr">
        <is>
          <t>Worldpay reports POS=QuPOS; ISV/payments=Aurus; ecommerce=Olo.</t>
        </is>
      </c>
      <c r="G24" s="101" t="inlineStr">
        <is>
          <t>Worldpay_30_Account_Capture_Plan_v1.xlsx — Worldpay Source Snapshot</t>
        </is>
      </c>
      <c r="H24" s="101" t="inlineStr">
        <is>
          <t>Medium</t>
        </is>
      </c>
      <c r="I24" s="101" t="inlineStr">
        <is>
          <t>Baseline; requires current verification</t>
        </is>
      </c>
      <c r="J24" s="119" t="inlineStr">
        <is>
          <t>2026-07-20</t>
        </is>
      </c>
    </row>
    <row r="25">
      <c r="A25" s="100" t="inlineStr">
        <is>
          <t>GOLDEN CORRAL</t>
        </is>
      </c>
      <c r="B25" s="101" t="inlineStr">
        <is>
          <t>Baseline stack</t>
        </is>
      </c>
      <c r="C25" s="101" t="inlineStr">
        <is>
          <t>Worldpay source</t>
        </is>
      </c>
      <c r="D25" s="118" t="n"/>
      <c r="E25" s="101" t="inlineStr">
        <is>
          <t>Internal source</t>
        </is>
      </c>
      <c r="F25" s="101" t="inlineStr">
        <is>
          <t>Worldpay reports POS=QuPOS; ISV/payments=Aurus; ecommerce=Olo.</t>
        </is>
      </c>
      <c r="G25" s="101" t="inlineStr">
        <is>
          <t>Worldpay_30_Account_Capture_Plan_v1.xlsx — Worldpay Source Snapshot</t>
        </is>
      </c>
      <c r="H25" s="101" t="inlineStr">
        <is>
          <t>Medium</t>
        </is>
      </c>
      <c r="I25" s="101" t="inlineStr">
        <is>
          <t>Baseline; requires current verification</t>
        </is>
      </c>
      <c r="J25" s="119" t="inlineStr">
        <is>
          <t>2026-07-20</t>
        </is>
      </c>
    </row>
    <row r="26" ht="26" customHeight="1" s="59">
      <c r="A26" s="100" t="inlineStr">
        <is>
          <t>Red Robin</t>
        </is>
      </c>
      <c r="B26" s="101" t="inlineStr">
        <is>
          <t>Baseline stack</t>
        </is>
      </c>
      <c r="C26" s="101" t="inlineStr">
        <is>
          <t>Worldpay source</t>
        </is>
      </c>
      <c r="D26" s="118" t="n"/>
      <c r="E26" s="101" t="inlineStr">
        <is>
          <t>Internal source</t>
        </is>
      </c>
      <c r="F26" s="101" t="inlineStr">
        <is>
          <t>Worldpay reports POS=Ziosk, NCR Aloha and Olo for eCom; ISV/payments=NCR, Ziosk; ecommerce=Monkey Media, Olo, Bounteous (wallet).</t>
        </is>
      </c>
      <c r="G26" s="101" t="inlineStr">
        <is>
          <t>Worldpay_30_Account_Capture_Plan_v1.xlsx — Worldpay Source Snapshot</t>
        </is>
      </c>
      <c r="H26" s="101" t="inlineStr">
        <is>
          <t>Medium</t>
        </is>
      </c>
      <c r="I26" s="101" t="inlineStr">
        <is>
          <t>Baseline; requires current verification</t>
        </is>
      </c>
      <c r="J26" s="119" t="inlineStr">
        <is>
          <t>2026-07-20</t>
        </is>
      </c>
    </row>
    <row r="27" ht="26" customHeight="1" s="59">
      <c r="A27" s="100" t="inlineStr">
        <is>
          <t>BOB EVANS RESTAURANTS, LLC</t>
        </is>
      </c>
      <c r="B27" s="101" t="inlineStr">
        <is>
          <t>Baseline stack</t>
        </is>
      </c>
      <c r="C27" s="101" t="inlineStr">
        <is>
          <t>Worldpay source</t>
        </is>
      </c>
      <c r="D27" s="118" t="n"/>
      <c r="E27" s="101" t="inlineStr">
        <is>
          <t>Internal source</t>
        </is>
      </c>
      <c r="F27" s="101" t="inlineStr">
        <is>
          <t>Worldpay reports POS=NCR Aloha/Connected Payments; ISV/payments=NCR Connected Payments; ecommerce=Yes.</t>
        </is>
      </c>
      <c r="G27" s="101" t="inlineStr">
        <is>
          <t>Worldpay_30_Account_Capture_Plan_v1.xlsx — Worldpay Source Snapshot</t>
        </is>
      </c>
      <c r="H27" s="101" t="inlineStr">
        <is>
          <t>Medium</t>
        </is>
      </c>
      <c r="I27" s="101" t="inlineStr">
        <is>
          <t>Baseline; requires current verification</t>
        </is>
      </c>
      <c r="J27" s="119" t="inlineStr">
        <is>
          <t>2026-07-20</t>
        </is>
      </c>
    </row>
    <row r="28">
      <c r="A28" s="100" t="inlineStr">
        <is>
          <t>GRAETERS</t>
        </is>
      </c>
      <c r="B28" s="101" t="inlineStr">
        <is>
          <t>Baseline stack</t>
        </is>
      </c>
      <c r="C28" s="101" t="inlineStr">
        <is>
          <t>Worldpay source</t>
        </is>
      </c>
      <c r="D28" s="118" t="n"/>
      <c r="E28" s="101" t="inlineStr">
        <is>
          <t>Internal source</t>
        </is>
      </c>
      <c r="F28" s="101" t="inlineStr">
        <is>
          <t>Worldpay reports POS=Brink; ISV/payments=Brink Software; ecommerce=Olo.</t>
        </is>
      </c>
      <c r="G28" s="101" t="inlineStr">
        <is>
          <t>Worldpay_30_Account_Capture_Plan_v1.xlsx — Worldpay Source Snapshot</t>
        </is>
      </c>
      <c r="H28" s="101" t="inlineStr">
        <is>
          <t>Medium</t>
        </is>
      </c>
      <c r="I28" s="101" t="inlineStr">
        <is>
          <t>Baseline; requires current verification</t>
        </is>
      </c>
      <c r="J28" s="119" t="inlineStr">
        <is>
          <t>2026-07-20</t>
        </is>
      </c>
    </row>
    <row r="29">
      <c r="A29" s="100" t="inlineStr">
        <is>
          <t>GRAETERS</t>
        </is>
      </c>
      <c r="B29" s="101" t="inlineStr">
        <is>
          <t>Field update</t>
        </is>
      </c>
      <c r="C29" s="101" t="inlineStr">
        <is>
          <t>User intelligence</t>
        </is>
      </c>
      <c r="D29" s="118" t="n">
        <v>46223</v>
      </c>
      <c r="E29" s="101" t="inlineStr">
        <is>
          <t>User-supplied</t>
        </is>
      </c>
      <c r="F29" s="101" t="inlineStr">
        <is>
          <t>Graeter's is a PAR customer but not PAR Enterprise.</t>
        </is>
      </c>
      <c r="G29" s="101" t="inlineStr">
        <is>
          <t>User field intelligence supplied for this analysis on 2026-07-20</t>
        </is>
      </c>
      <c r="H29" s="101" t="inlineStr">
        <is>
          <t>High (user intelligence)</t>
        </is>
      </c>
      <c r="I29" s="101" t="inlineStr">
        <is>
          <t>Preserve separately from public verification</t>
        </is>
      </c>
      <c r="J29" s="119" t="inlineStr">
        <is>
          <t>2026-07-20</t>
        </is>
      </c>
    </row>
    <row r="30">
      <c r="A30" s="100" t="inlineStr">
        <is>
          <t>STARBUCKS CORPORATION</t>
        </is>
      </c>
      <c r="B30" s="101" t="inlineStr">
        <is>
          <t>Baseline stack</t>
        </is>
      </c>
      <c r="C30" s="101" t="inlineStr">
        <is>
          <t>Worldpay source</t>
        </is>
      </c>
      <c r="D30" s="118" t="n"/>
      <c r="E30" s="101" t="inlineStr">
        <is>
          <t>Internal source</t>
        </is>
      </c>
      <c r="F30" s="101" t="inlineStr">
        <is>
          <t>Worldpay reports POS=VF PWC; ISV/payments=unknown; ecommerce=Yes.</t>
        </is>
      </c>
      <c r="G30" s="101" t="inlineStr">
        <is>
          <t>Worldpay_30_Account_Capture_Plan_v1.xlsx — Worldpay Source Snapshot</t>
        </is>
      </c>
      <c r="H30" s="101" t="inlineStr">
        <is>
          <t>Medium</t>
        </is>
      </c>
      <c r="I30" s="101" t="inlineStr">
        <is>
          <t>Baseline; requires current verification</t>
        </is>
      </c>
      <c r="J30" s="119" t="inlineStr">
        <is>
          <t>2026-07-20</t>
        </is>
      </c>
    </row>
    <row r="31" ht="26" customHeight="1" s="59">
      <c r="A31" s="100" t="inlineStr">
        <is>
          <t>LITTLE CAESARS ENTERPRISE INC</t>
        </is>
      </c>
      <c r="B31" s="101" t="inlineStr">
        <is>
          <t>Baseline stack</t>
        </is>
      </c>
      <c r="C31" s="101" t="inlineStr">
        <is>
          <t>Worldpay source</t>
        </is>
      </c>
      <c r="D31" s="118" t="n"/>
      <c r="E31" s="101" t="inlineStr">
        <is>
          <t>Internal source</t>
        </is>
      </c>
      <c r="F31" s="101" t="inlineStr">
        <is>
          <t>Worldpay reports POS=CaesarVision; ISV/payments=CaesarVision (via Verifone SCA); ecommerce=CaesarVision (via eProtect).</t>
        </is>
      </c>
      <c r="G31" s="101" t="inlineStr">
        <is>
          <t>Worldpay_30_Account_Capture_Plan_v1.xlsx — Worldpay Source Snapshot</t>
        </is>
      </c>
      <c r="H31" s="101" t="inlineStr">
        <is>
          <t>Medium</t>
        </is>
      </c>
      <c r="I31" s="101" t="inlineStr">
        <is>
          <t>Baseline; requires current verification</t>
        </is>
      </c>
      <c r="J31" s="119" t="inlineStr">
        <is>
          <t>2026-07-20</t>
        </is>
      </c>
    </row>
    <row r="32" ht="26" customHeight="1" s="59">
      <c r="A32" s="100" t="inlineStr">
        <is>
          <t>PAPA JOHN'S USA, INC.</t>
        </is>
      </c>
      <c r="B32" s="101" t="inlineStr">
        <is>
          <t>Baseline stack</t>
        </is>
      </c>
      <c r="C32" s="101" t="inlineStr">
        <is>
          <t>Worldpay source</t>
        </is>
      </c>
      <c r="D32" s="118" t="n"/>
      <c r="E32" s="101" t="inlineStr">
        <is>
          <t>Internal source</t>
        </is>
      </c>
      <c r="F32" s="101" t="inlineStr">
        <is>
          <t>Worldpay reports POS=Mainstreet Monetra; ISV/payments=Mainstreet Monetra; ecommerce=Yes.</t>
        </is>
      </c>
      <c r="G32" s="101" t="inlineStr">
        <is>
          <t>Worldpay_30_Account_Capture_Plan_v1.xlsx — Worldpay Source Snapshot</t>
        </is>
      </c>
      <c r="H32" s="101" t="inlineStr">
        <is>
          <t>Medium</t>
        </is>
      </c>
      <c r="I32" s="101" t="inlineStr">
        <is>
          <t>Baseline; requires current verification</t>
        </is>
      </c>
      <c r="J32" s="119" t="inlineStr">
        <is>
          <t>2026-07-20</t>
        </is>
      </c>
    </row>
    <row r="33">
      <c r="A33" s="100" t="inlineStr">
        <is>
          <t>BLACK BEAR DINER</t>
        </is>
      </c>
      <c r="B33" s="101" t="inlineStr">
        <is>
          <t>Baseline stack</t>
        </is>
      </c>
      <c r="C33" s="101" t="inlineStr">
        <is>
          <t>Worldpay source</t>
        </is>
      </c>
      <c r="D33" s="118" t="n"/>
      <c r="E33" s="101" t="inlineStr">
        <is>
          <t>Internal source</t>
        </is>
      </c>
      <c r="F33" s="101" t="inlineStr">
        <is>
          <t>Worldpay reports POS=Toast / Olo; ISV/payments=Toast; ecommerce=Olo.</t>
        </is>
      </c>
      <c r="G33" s="101" t="inlineStr">
        <is>
          <t>Worldpay_30_Account_Capture_Plan_v1.xlsx — Worldpay Source Snapshot</t>
        </is>
      </c>
      <c r="H33" s="101" t="inlineStr">
        <is>
          <t>Medium</t>
        </is>
      </c>
      <c r="I33" s="101" t="inlineStr">
        <is>
          <t>Baseline; requires current verification</t>
        </is>
      </c>
      <c r="J33" s="119" t="inlineStr">
        <is>
          <t>2026-07-20</t>
        </is>
      </c>
    </row>
    <row r="34" ht="26" customHeight="1" s="59">
      <c r="A34" s="100" t="inlineStr">
        <is>
          <t>DOMINO'S PIZZA</t>
        </is>
      </c>
      <c r="B34" s="101" t="inlineStr">
        <is>
          <t>Baseline stack</t>
        </is>
      </c>
      <c r="C34" s="101" t="inlineStr">
        <is>
          <t>Worldpay source</t>
        </is>
      </c>
      <c r="D34" s="118" t="n"/>
      <c r="E34" s="101" t="inlineStr">
        <is>
          <t>Internal source</t>
        </is>
      </c>
      <c r="F34" s="101" t="inlineStr">
        <is>
          <t>Worldpay reports POS=Proprietary; ISV/payments=ACI/Cybersource; ecommerce=Yes.</t>
        </is>
      </c>
      <c r="G34" s="101" t="inlineStr">
        <is>
          <t>Worldpay_30_Account_Capture_Plan_v1.xlsx — Worldpay Source Snapshot</t>
        </is>
      </c>
      <c r="H34" s="101" t="inlineStr">
        <is>
          <t>Medium</t>
        </is>
      </c>
      <c r="I34" s="101" t="inlineStr">
        <is>
          <t>Baseline; requires current verification</t>
        </is>
      </c>
      <c r="J34" s="119" t="inlineStr">
        <is>
          <t>2026-07-20</t>
        </is>
      </c>
    </row>
    <row r="35">
      <c r="A35" s="100" t="inlineStr">
        <is>
          <t>FIREHOUSE RESTAURANT</t>
        </is>
      </c>
      <c r="B35" s="101" t="inlineStr">
        <is>
          <t>Baseline stack</t>
        </is>
      </c>
      <c r="C35" s="101" t="inlineStr">
        <is>
          <t>Worldpay source</t>
        </is>
      </c>
      <c r="D35" s="118" t="n"/>
      <c r="E35" s="101" t="inlineStr">
        <is>
          <t>Internal source</t>
        </is>
      </c>
      <c r="F35" s="101" t="inlineStr">
        <is>
          <t>Worldpay reports POS=Toast; ISV/payments=Toast; ecommerce=Yes, CP No.</t>
        </is>
      </c>
      <c r="G35" s="101" t="inlineStr">
        <is>
          <t>Worldpay_30_Account_Capture_Plan_v1.xlsx — Worldpay Source Snapshot</t>
        </is>
      </c>
      <c r="H35" s="101" t="inlineStr">
        <is>
          <t>Medium</t>
        </is>
      </c>
      <c r="I35" s="101" t="inlineStr">
        <is>
          <t>Baseline; requires current verification</t>
        </is>
      </c>
      <c r="J35" s="119" t="inlineStr">
        <is>
          <t>2026-07-20</t>
        </is>
      </c>
    </row>
    <row r="36" ht="26" customHeight="1" s="59">
      <c r="A36" s="100" t="inlineStr">
        <is>
          <t>BOYNE USA INC</t>
        </is>
      </c>
      <c r="B36" s="101" t="inlineStr">
        <is>
          <t>Baseline stack</t>
        </is>
      </c>
      <c r="C36" s="101" t="inlineStr">
        <is>
          <t>Worldpay source</t>
        </is>
      </c>
      <c r="D36" s="118" t="n"/>
      <c r="E36" s="101" t="inlineStr">
        <is>
          <t>Internal source</t>
        </is>
      </c>
      <c r="F36" s="101" t="inlineStr">
        <is>
          <t>Worldpay reports POS=FreedomPay; ISV/payments=Agilysys, RTP; ecommerce=Flaik.</t>
        </is>
      </c>
      <c r="G36" s="101" t="inlineStr">
        <is>
          <t>Worldpay_30_Account_Capture_Plan_v1.xlsx — Worldpay Source Snapshot</t>
        </is>
      </c>
      <c r="H36" s="101" t="inlineStr">
        <is>
          <t>Medium</t>
        </is>
      </c>
      <c r="I36" s="101" t="inlineStr">
        <is>
          <t>Baseline; requires current verification</t>
        </is>
      </c>
      <c r="J36" s="119" t="inlineStr">
        <is>
          <t>2026-07-20</t>
        </is>
      </c>
    </row>
    <row r="37" ht="26" customHeight="1" s="59">
      <c r="A37" s="100" t="inlineStr">
        <is>
          <t>SLIM CHICKENS</t>
        </is>
      </c>
      <c r="B37" s="101" t="inlineStr">
        <is>
          <t>Baseline stack</t>
        </is>
      </c>
      <c r="C37" s="101" t="inlineStr">
        <is>
          <t>Worldpay source</t>
        </is>
      </c>
      <c r="D37" s="118" t="n"/>
      <c r="E37" s="101" t="inlineStr">
        <is>
          <t>Internal source</t>
        </is>
      </c>
      <c r="F37" s="101" t="inlineStr">
        <is>
          <t>Worldpay reports POS=PAR Brink (VAR - Verifone Classic) and Olo; ISV/payments=PAR Brink; ecommerce=Olo.</t>
        </is>
      </c>
      <c r="G37" s="101" t="inlineStr">
        <is>
          <t>Worldpay_30_Account_Capture_Plan_v1.xlsx — Worldpay Source Snapshot</t>
        </is>
      </c>
      <c r="H37" s="101" t="inlineStr">
        <is>
          <t>Medium</t>
        </is>
      </c>
      <c r="I37" s="101" t="inlineStr">
        <is>
          <t>Baseline; requires current verification</t>
        </is>
      </c>
      <c r="J37" s="119" t="inlineStr">
        <is>
          <t>2026-07-20</t>
        </is>
      </c>
    </row>
    <row r="38">
      <c r="A38" s="100" t="inlineStr">
        <is>
          <t>Barbara B Mann PAH</t>
        </is>
      </c>
      <c r="B38" s="101" t="inlineStr">
        <is>
          <t>Baseline stack</t>
        </is>
      </c>
      <c r="C38" s="101" t="inlineStr">
        <is>
          <t>Worldpay source</t>
        </is>
      </c>
      <c r="D38" s="118" t="n"/>
      <c r="E38" s="101" t="inlineStr">
        <is>
          <t>Internal source</t>
        </is>
      </c>
      <c r="F38" s="101" t="inlineStr">
        <is>
          <t>Worldpay reports POS=Cybersource; ISV/payments=unknown; ecommerce=Yes.</t>
        </is>
      </c>
      <c r="G38" s="101" t="inlineStr">
        <is>
          <t>Worldpay_30_Account_Capture_Plan_v1.xlsx — Worldpay Source Snapshot</t>
        </is>
      </c>
      <c r="H38" s="101" t="inlineStr">
        <is>
          <t>Medium</t>
        </is>
      </c>
      <c r="I38" s="101" t="inlineStr">
        <is>
          <t>Baseline; requires current verification</t>
        </is>
      </c>
      <c r="J38" s="119" t="inlineStr">
        <is>
          <t>2026-07-20</t>
        </is>
      </c>
    </row>
    <row r="39" ht="26" customHeight="1" s="59">
      <c r="A39" s="100" t="inlineStr">
        <is>
          <t>STATION CASINO</t>
        </is>
      </c>
      <c r="B39" s="101" t="inlineStr">
        <is>
          <t>Baseline stack</t>
        </is>
      </c>
      <c r="C39" s="101" t="inlineStr">
        <is>
          <t>Worldpay source</t>
        </is>
      </c>
      <c r="D39" s="118" t="n"/>
      <c r="E39" s="101" t="inlineStr">
        <is>
          <t>Internal source</t>
        </is>
      </c>
      <c r="F39" s="101" t="inlineStr">
        <is>
          <t>Worldpay reports POS=FreedomPay; ISV/payments=Agilysys; ecommerce=OnDemand.</t>
        </is>
      </c>
      <c r="G39" s="101" t="inlineStr">
        <is>
          <t>Worldpay_30_Account_Capture_Plan_v1.xlsx — Worldpay Source Snapshot</t>
        </is>
      </c>
      <c r="H39" s="101" t="inlineStr">
        <is>
          <t>Medium</t>
        </is>
      </c>
      <c r="I39" s="101" t="inlineStr">
        <is>
          <t>Baseline; requires current verification</t>
        </is>
      </c>
      <c r="J39" s="119" t="inlineStr">
        <is>
          <t>2026-07-20</t>
        </is>
      </c>
    </row>
    <row r="40" ht="26" customHeight="1" s="59">
      <c r="A40" s="100" t="inlineStr">
        <is>
          <t>LATRELLES MANAGEMENT CORP (Bullritos)</t>
        </is>
      </c>
      <c r="B40" s="101" t="inlineStr">
        <is>
          <t>Baseline stack</t>
        </is>
      </c>
      <c r="C40" s="101" t="inlineStr">
        <is>
          <t>Worldpay source</t>
        </is>
      </c>
      <c r="D40" s="118" t="n"/>
      <c r="E40" s="101" t="inlineStr">
        <is>
          <t>Internal source</t>
        </is>
      </c>
      <c r="F40" s="101" t="inlineStr">
        <is>
          <t>Worldpay reports POS=NCR Aloha/Connected Payments; ISV/payments=NCR Aloha; ecommerce=unknown.</t>
        </is>
      </c>
      <c r="G40" s="101" t="inlineStr">
        <is>
          <t>Worldpay_30_Account_Capture_Plan_v1.xlsx — Worldpay Source Snapshot</t>
        </is>
      </c>
      <c r="H40" s="101" t="inlineStr">
        <is>
          <t>Medium</t>
        </is>
      </c>
      <c r="I40" s="101" t="inlineStr">
        <is>
          <t>Baseline; requires current verification</t>
        </is>
      </c>
      <c r="J40" s="119" t="inlineStr">
        <is>
          <t>2026-07-20</t>
        </is>
      </c>
    </row>
    <row r="41" ht="26" customHeight="1" s="59">
      <c r="A41" s="100" t="inlineStr">
        <is>
          <t>FESTIVA REAL ESTATE HOLDINGS</t>
        </is>
      </c>
      <c r="B41" s="101" t="inlineStr">
        <is>
          <t>Baseline stack</t>
        </is>
      </c>
      <c r="C41" s="101" t="inlineStr">
        <is>
          <t>Worldpay source</t>
        </is>
      </c>
      <c r="D41" s="118" t="n"/>
      <c r="E41" s="101" t="inlineStr">
        <is>
          <t>Internal source</t>
        </is>
      </c>
      <c r="F41" s="101" t="inlineStr">
        <is>
          <t>Worldpay reports POS=Shift4 &amp; other; ISV/payments=Shift4 &amp; other; ecommerce=Yes.</t>
        </is>
      </c>
      <c r="G41" s="101" t="inlineStr">
        <is>
          <t>Worldpay_30_Account_Capture_Plan_v1.xlsx — Worldpay Source Snapshot</t>
        </is>
      </c>
      <c r="H41" s="101" t="inlineStr">
        <is>
          <t>Medium</t>
        </is>
      </c>
      <c r="I41" s="101" t="inlineStr">
        <is>
          <t>Baseline; requires current verification</t>
        </is>
      </c>
      <c r="J41" s="119" t="inlineStr">
        <is>
          <t>2026-07-20</t>
        </is>
      </c>
    </row>
    <row r="42" ht="26" customHeight="1" s="59">
      <c r="A42" s="100" t="inlineStr">
        <is>
          <t>Focus Brands (GoTo Foods)</t>
        </is>
      </c>
      <c r="B42" s="101" t="inlineStr">
        <is>
          <t>POS</t>
        </is>
      </c>
      <c r="C42" s="101" t="inlineStr">
        <is>
          <t>Selection</t>
        </is>
      </c>
      <c r="D42" s="118" t="n">
        <v>45351</v>
      </c>
      <c r="E42" s="101" t="inlineStr">
        <is>
          <t>Qu press release</t>
        </is>
      </c>
      <c r="F42" s="101" t="inlineStr">
        <is>
          <t>Selected Qu as single POS platform across all seven brands.</t>
        </is>
      </c>
      <c r="G42" s="101" t="inlineStr">
        <is>
          <t>https://www.qubeyond.com/resource-center/goto-foods-selects-qu-as-its-single-pos-platform-across-all-seven-brands</t>
        </is>
      </c>
      <c r="H42" s="101" t="inlineStr">
        <is>
          <t>High</t>
        </is>
      </c>
      <c r="I42" s="101" t="inlineStr">
        <is>
          <t>Deploying</t>
        </is>
      </c>
      <c r="J42" s="119" t="inlineStr">
        <is>
          <t>2026-07-20</t>
        </is>
      </c>
    </row>
    <row r="43" ht="26" customHeight="1" s="59">
      <c r="A43" s="100" t="inlineStr">
        <is>
          <t>Focus Brands (GoTo Foods)</t>
        </is>
      </c>
      <c r="B43" s="101" t="inlineStr">
        <is>
          <t>POS</t>
        </is>
      </c>
      <c r="C43" s="101" t="inlineStr">
        <is>
          <t>Deployment milestone</t>
        </is>
      </c>
      <c r="D43" s="118" t="n">
        <v>45931</v>
      </c>
      <c r="E43" s="101" t="inlineStr">
        <is>
          <t>Qu event recap</t>
        </is>
      </c>
      <c r="F43" s="101" t="inlineStr">
        <is>
          <t>GoTo Foods CTO reported more than 2,000 Qu installs; exact event date should be treated as publication-period evidence.</t>
        </is>
      </c>
      <c r="G43" s="101" t="inlineStr">
        <is>
          <t>https://www.qubeyond.com/lessons-from-restaurant-leaders-who-know-their-brands/</t>
        </is>
      </c>
      <c r="H43" s="101" t="inlineStr">
        <is>
          <t>Medium</t>
        </is>
      </c>
      <c r="I43" s="101" t="inlineStr">
        <is>
          <t>Deploying; field intelligence reports delay</t>
        </is>
      </c>
      <c r="J43" s="119" t="inlineStr">
        <is>
          <t>2026-07-20</t>
        </is>
      </c>
    </row>
    <row r="44" ht="26" customHeight="1" s="59">
      <c r="A44" s="100" t="inlineStr">
        <is>
          <t>PAPA JOHN'S USA, INC.</t>
        </is>
      </c>
      <c r="B44" s="101" t="inlineStr">
        <is>
          <t>POS / Back Office</t>
        </is>
      </c>
      <c r="C44" s="101" t="inlineStr">
        <is>
          <t>Selection</t>
        </is>
      </c>
      <c r="D44" s="118" t="n">
        <v>46034</v>
      </c>
      <c r="E44" s="101" t="inlineStr">
        <is>
          <t>PAR press release</t>
        </is>
      </c>
      <c r="F44" s="101" t="inlineStr">
        <is>
          <t>Selected PAR POS and PAR OPS across about 3,200 U.S. restaurants; full rollout planned by end of 2027.</t>
        </is>
      </c>
      <c r="G44" s="101" t="inlineStr">
        <is>
          <t>https://partech.com/news-coverage/papa-johns-partners-with-par-technology-to-power-pos-and-ops-transformation-across-3200-u-s-restaurants/</t>
        </is>
      </c>
      <c r="H44" s="101" t="inlineStr">
        <is>
          <t>High</t>
        </is>
      </c>
      <c r="I44" s="101" t="inlineStr">
        <is>
          <t>Newly selected / deploying</t>
        </is>
      </c>
      <c r="J44" s="119" t="inlineStr">
        <is>
          <t>2026-07-20</t>
        </is>
      </c>
    </row>
    <row r="45" ht="26" customHeight="1" s="59">
      <c r="A45" s="100" t="inlineStr">
        <is>
          <t>FIVE GUYS</t>
        </is>
      </c>
      <c r="B45" s="101" t="inlineStr">
        <is>
          <t>POS</t>
        </is>
      </c>
      <c r="C45" s="101" t="inlineStr">
        <is>
          <t>Original selection</t>
        </is>
      </c>
      <c r="D45" s="118" t="n">
        <v>42005</v>
      </c>
      <c r="E45" s="101" t="inlineStr">
        <is>
          <t>Trade coverage of PAR announcement</t>
        </is>
      </c>
      <c r="F45" s="101" t="inlineStr">
        <is>
          <t>Five Guys selected PAR Brink POS and associated hardware/services after franchisee-led evaluation.</t>
        </is>
      </c>
      <c r="G45" s="101" t="inlineStr">
        <is>
          <t>https://www.fastcasual.com/news/why-five-guys-selected-new-pos-solution-2/</t>
        </is>
      </c>
      <c r="H45" s="101" t="inlineStr">
        <is>
          <t>Medium</t>
        </is>
      </c>
      <c r="I45" s="101" t="inlineStr">
        <is>
          <t>Mature incumbent</t>
        </is>
      </c>
      <c r="J45" s="119" t="inlineStr">
        <is>
          <t>2026-07-20</t>
        </is>
      </c>
    </row>
    <row r="46" ht="26" customHeight="1" s="59">
      <c r="A46" s="100" t="inlineStr">
        <is>
          <t>FIVE GUYS</t>
        </is>
      </c>
      <c r="B46" s="101" t="inlineStr">
        <is>
          <t>Back Office</t>
        </is>
      </c>
      <c r="C46" s="101" t="inlineStr">
        <is>
          <t>Customer case study</t>
        </is>
      </c>
      <c r="D46" s="118" t="n">
        <v>45701</v>
      </c>
      <c r="E46" s="101" t="inlineStr">
        <is>
          <t>Crunchtime</t>
        </is>
      </c>
      <c r="F46" s="101" t="inlineStr">
        <is>
          <t>Crunchtime describes a relationship originating around 2015 and expanded to 1,900+ locations; strong operating outcomes.</t>
        </is>
      </c>
      <c r="G46" s="101" t="inlineStr">
        <is>
          <t>https://www.crunchtime.com/blog/ops-excellence-awards-finalist-spotlight-five-guys</t>
        </is>
      </c>
      <c r="H46" s="101" t="inlineStr">
        <is>
          <t>High</t>
        </is>
      </c>
      <c r="I46" s="101" t="inlineStr">
        <is>
          <t>Entrenched and positive</t>
        </is>
      </c>
      <c r="J46" s="119" t="inlineStr">
        <is>
          <t>2026-07-20</t>
        </is>
      </c>
    </row>
    <row r="47" ht="26" customHeight="1" s="59">
      <c r="A47" s="100" t="inlineStr">
        <is>
          <t>FIVE GUYS</t>
        </is>
      </c>
      <c r="B47" s="101" t="inlineStr">
        <is>
          <t>Digital / Guest Data</t>
        </is>
      </c>
      <c r="C47" s="101" t="inlineStr">
        <is>
          <t>Expansion</t>
        </is>
      </c>
      <c r="D47" s="118" t="n"/>
      <c r="E47" s="101" t="inlineStr">
        <is>
          <t>Olo case study</t>
        </is>
      </c>
      <c r="F47" s="101" t="inlineStr">
        <is>
          <t>Longtime Olo ordering customer expanded to GDP and Marketing across 1,500 locations.</t>
        </is>
      </c>
      <c r="G47" s="101" t="inlineStr">
        <is>
          <t>https://www.olo.com/case-studies/five-guys-engage</t>
        </is>
      </c>
      <c r="H47" s="101" t="inlineStr">
        <is>
          <t>High</t>
        </is>
      </c>
      <c r="I47" s="101" t="inlineStr">
        <is>
          <t>Entrenched and expanding</t>
        </is>
      </c>
      <c r="J47" s="119" t="inlineStr">
        <is>
          <t>2026-07-20</t>
        </is>
      </c>
    </row>
    <row r="48" ht="26" customHeight="1" s="59">
      <c r="A48" s="100" t="inlineStr">
        <is>
          <t>Dutch Bros</t>
        </is>
      </c>
      <c r="B48" s="101" t="inlineStr">
        <is>
          <t>Digital Ordering / Payments</t>
        </is>
      </c>
      <c r="C48" s="101" t="inlineStr">
        <is>
          <t>Selection</t>
        </is>
      </c>
      <c r="D48" s="118" t="n">
        <v>45419</v>
      </c>
      <c r="E48" s="101" t="inlineStr">
        <is>
          <t>Olo press release</t>
        </is>
      </c>
      <c r="F48" s="101" t="inlineStr">
        <is>
          <t>Selected Olo Order and Pay for nationwide rollout, initially across 850+ locations.</t>
        </is>
      </c>
      <c r="G48" s="101" t="inlineStr">
        <is>
          <t>https://investors.olo.com/news/news-details/2024/Dutch-Bros-Partners-with-Olo-to-Offer-Mobile-App-Ordering-and-Payment/default.aspx</t>
        </is>
      </c>
      <c r="H48" s="101" t="inlineStr">
        <is>
          <t>High</t>
        </is>
      </c>
      <c r="I48" s="101" t="inlineStr">
        <is>
          <t>Established</t>
        </is>
      </c>
      <c r="J48" s="119" t="inlineStr">
        <is>
          <t>2026-07-20</t>
        </is>
      </c>
    </row>
    <row r="49">
      <c r="A49" s="100" t="inlineStr">
        <is>
          <t>Dutch Bros</t>
        </is>
      </c>
      <c r="B49" s="101" t="inlineStr">
        <is>
          <t>Loyalty / CRM</t>
        </is>
      </c>
      <c r="C49" s="101" t="inlineStr">
        <is>
          <t>Customer case study</t>
        </is>
      </c>
      <c r="D49" s="118" t="n"/>
      <c r="E49" s="101" t="inlineStr">
        <is>
          <t>Paytronix case study</t>
        </is>
      </c>
      <c r="F49" s="101" t="inlineStr">
        <is>
          <t>Dutch Rewards app and loyalty experience run on Paytronix.</t>
        </is>
      </c>
      <c r="G49" s="101" t="inlineStr">
        <is>
          <t>https://www.paytronix.com/hubfs/media/dutch_bros_case-study_v3.pdf</t>
        </is>
      </c>
      <c r="H49" s="101" t="inlineStr">
        <is>
          <t>High</t>
        </is>
      </c>
      <c r="I49" s="101" t="inlineStr">
        <is>
          <t>Established</t>
        </is>
      </c>
      <c r="J49" s="119" t="inlineStr">
        <is>
          <t>2026-07-20</t>
        </is>
      </c>
    </row>
    <row r="50" ht="26" customHeight="1" s="59">
      <c r="A50" s="100" t="inlineStr">
        <is>
          <t>CHURCHS CHICKEN 558</t>
        </is>
      </c>
      <c r="B50" s="101" t="inlineStr">
        <is>
          <t>POS</t>
        </is>
      </c>
      <c r="C50" s="101" t="inlineStr">
        <is>
          <t>Selection</t>
        </is>
      </c>
      <c r="D50" s="118" t="n">
        <v>44245</v>
      </c>
      <c r="E50" s="101" t="inlineStr">
        <is>
          <t>Qu / Business Wire release</t>
        </is>
      </c>
      <c r="F50" s="101" t="inlineStr">
        <is>
          <t>Selected Qu as enterprise POS for approximately 1,000 U.S. locations.</t>
        </is>
      </c>
      <c r="G50" s="101" t="inlineStr">
        <is>
          <t>https://www.businesswire.com/news/home/20210218005023/en/Churchs-Chicken-Selects-Qu-POS-as-Part-of-Global-Technology-Stack-Refresh</t>
        </is>
      </c>
      <c r="H50" s="101" t="inlineStr">
        <is>
          <t>High</t>
        </is>
      </c>
      <c r="I50" s="101" t="inlineStr">
        <is>
          <t>Established</t>
        </is>
      </c>
      <c r="J50" s="119" t="inlineStr">
        <is>
          <t>2026-07-20</t>
        </is>
      </c>
    </row>
    <row r="51" ht="26" customHeight="1" s="59">
      <c r="A51" s="100" t="inlineStr">
        <is>
          <t>SLIM CHICKENS</t>
        </is>
      </c>
      <c r="B51" s="101" t="inlineStr">
        <is>
          <t>Digital Ordering</t>
        </is>
      </c>
      <c r="C51" s="101" t="inlineStr">
        <is>
          <t>Original launch</t>
        </is>
      </c>
      <c r="D51" s="118" t="n">
        <v>42736</v>
      </c>
      <c r="E51" s="101" t="inlineStr">
        <is>
          <t>Olo case study</t>
        </is>
      </c>
      <c r="F51" s="101" t="inlineStr">
        <is>
          <t>Launched Olo Ordering in 2017, added Dispatch, Rails and Switchboard, then Sync in 2022.</t>
        </is>
      </c>
      <c r="G51" s="101" t="inlineStr">
        <is>
          <t>https://www.olo.com/case-studies/slim-chickens</t>
        </is>
      </c>
      <c r="H51" s="101" t="inlineStr">
        <is>
          <t>High</t>
        </is>
      </c>
      <c r="I51" s="101" t="inlineStr">
        <is>
          <t>Entrenched and expanding</t>
        </is>
      </c>
      <c r="J51" s="119" t="inlineStr">
        <is>
          <t>2026-07-20</t>
        </is>
      </c>
    </row>
    <row r="52" ht="26" customHeight="1" s="59">
      <c r="A52" s="100" t="inlineStr">
        <is>
          <t>FREDDY'S FROZEN CUSTARD LLC</t>
        </is>
      </c>
      <c r="B52" s="101" t="inlineStr">
        <is>
          <t>POS</t>
        </is>
      </c>
      <c r="C52" s="101" t="inlineStr">
        <is>
          <t>Current customer evidence</t>
        </is>
      </c>
      <c r="D52" s="118" t="n">
        <v>45436</v>
      </c>
      <c r="E52" s="101" t="inlineStr">
        <is>
          <t>PAR customer announcement</t>
        </is>
      </c>
      <c r="F52" s="101" t="inlineStr">
        <is>
          <t>PAR identifies Freddy’s as a Brink POS customer.</t>
        </is>
      </c>
      <c r="G52" s="101" t="inlineStr">
        <is>
          <t>https://partech.com/2024/05/24/congratulations-to-par-customers-2024-fast-casual-movers-and-shakers-honorees/</t>
        </is>
      </c>
      <c r="H52" s="101" t="inlineStr">
        <is>
          <t>High</t>
        </is>
      </c>
      <c r="I52" s="101" t="inlineStr">
        <is>
          <t>Established</t>
        </is>
      </c>
      <c r="J52" s="119" t="inlineStr">
        <is>
          <t>2026-07-20</t>
        </is>
      </c>
    </row>
    <row r="53">
      <c r="A53" s="100" t="inlineStr">
        <is>
          <t>BLACK BEAR DINER</t>
        </is>
      </c>
      <c r="B53" s="101" t="inlineStr">
        <is>
          <t>Digital / Catering</t>
        </is>
      </c>
      <c r="C53" s="101" t="inlineStr">
        <is>
          <t>Current customer evidence</t>
        </is>
      </c>
      <c r="D53" s="118" t="n"/>
      <c r="E53" s="101" t="inlineStr">
        <is>
          <t>Olo case-study directory</t>
        </is>
      </c>
      <c r="F53" s="101" t="inlineStr">
        <is>
          <t>Olo lists Black Bear Diner as a catering customer story.</t>
        </is>
      </c>
      <c r="G53" s="101" t="inlineStr">
        <is>
          <t>https://www.olo.com/case-studies</t>
        </is>
      </c>
      <c r="H53" s="101" t="inlineStr">
        <is>
          <t>Medium</t>
        </is>
      </c>
      <c r="I53" s="101" t="inlineStr">
        <is>
          <t>Current public evidence</t>
        </is>
      </c>
      <c r="J53" s="119" t="inlineStr">
        <is>
          <t>2026-07-20</t>
        </is>
      </c>
    </row>
    <row r="54" ht="26" customHeight="1" s="59">
      <c r="A54" s="100" t="inlineStr">
        <is>
          <t>CRACKER BARREL OLD COUNTRY STORE, INC.</t>
        </is>
      </c>
      <c r="B54" s="101" t="inlineStr">
        <is>
          <t>Digital / Catering</t>
        </is>
      </c>
      <c r="C54" s="101" t="inlineStr">
        <is>
          <t>Current customer evidence</t>
        </is>
      </c>
      <c r="D54" s="118" t="n"/>
      <c r="E54" s="101" t="inlineStr">
        <is>
          <t>Olo case-study directory</t>
        </is>
      </c>
      <c r="F54" s="101" t="inlineStr">
        <is>
          <t>Olo lists Cracker Barrel as a Catering+ customer story.</t>
        </is>
      </c>
      <c r="G54" s="101" t="inlineStr">
        <is>
          <t>https://www.olo.com/case-studies</t>
        </is>
      </c>
      <c r="H54" s="101" t="inlineStr">
        <is>
          <t>Medium</t>
        </is>
      </c>
      <c r="I54" s="101" t="inlineStr">
        <is>
          <t>Current public evidence</t>
        </is>
      </c>
      <c r="J54" s="119" t="inlineStr">
        <is>
          <t>2026-07-20</t>
        </is>
      </c>
    </row>
    <row r="55">
      <c r="A55" s="100" t="inlineStr">
        <is>
          <t>FREDDY'S FROZEN CUSTARD LLC</t>
        </is>
      </c>
      <c r="B55" s="101" t="inlineStr">
        <is>
          <t>Digital / Catering</t>
        </is>
      </c>
      <c r="C55" s="101" t="inlineStr">
        <is>
          <t>Current customer evidence</t>
        </is>
      </c>
      <c r="D55" s="118" t="n"/>
      <c r="E55" s="101" t="inlineStr">
        <is>
          <t>Olo case-study directory</t>
        </is>
      </c>
      <c r="F55" s="101" t="inlineStr">
        <is>
          <t>Olo lists Freddy’s as a Catering+ customer story.</t>
        </is>
      </c>
      <c r="G55" s="101" t="inlineStr">
        <is>
          <t>https://www.olo.com/case-studies</t>
        </is>
      </c>
      <c r="H55" s="101" t="inlineStr">
        <is>
          <t>Medium</t>
        </is>
      </c>
      <c r="I55" s="101" t="inlineStr">
        <is>
          <t>Current public evidence</t>
        </is>
      </c>
      <c r="J55" s="119" t="inlineStr">
        <is>
          <t>2026-07-20</t>
        </is>
      </c>
    </row>
    <row r="56" ht="26" customHeight="1" s="59">
      <c r="A56" s="100" t="inlineStr">
        <is>
          <t>SUBWAY</t>
        </is>
      </c>
      <c r="B56" s="101" t="inlineStr">
        <is>
          <t>POS</t>
        </is>
      </c>
      <c r="C56" s="101" t="inlineStr">
        <is>
          <t>Deployment report</t>
        </is>
      </c>
      <c r="D56" s="118" t="n">
        <v>46149</v>
      </c>
      <c r="E56" s="101" t="inlineStr">
        <is>
          <t>Payments Dive</t>
        </is>
      </c>
      <c r="F56" s="101" t="inlineStr">
        <is>
          <t>Reported Genius adoption at about 2,500 Subway stores; requires internal confirmation of scope and status.</t>
        </is>
      </c>
      <c r="G56" s="101" t="inlineStr">
        <is>
          <t>https://www.paymentsdive.com/news/global-payments-touts-genius-gains/819560/</t>
        </is>
      </c>
      <c r="H56" s="101" t="inlineStr">
        <is>
          <t>Medium</t>
        </is>
      </c>
      <c r="I56" s="101" t="inlineStr">
        <is>
          <t>Partial deployment / expansion</t>
        </is>
      </c>
      <c r="J56" s="119" t="inlineStr">
        <is>
          <t>2026-07-20</t>
        </is>
      </c>
    </row>
    <row r="57" ht="26" customHeight="1" s="59">
      <c r="A57" s="105" t="inlineStr">
        <is>
          <t>Portfolio</t>
        </is>
      </c>
      <c r="B57" s="106" t="inlineStr">
        <is>
          <t>Genius product scope</t>
        </is>
      </c>
      <c r="C57" s="106" t="inlineStr">
        <is>
          <t>Product launch</t>
        </is>
      </c>
      <c r="D57" s="120" t="n">
        <v>45793</v>
      </c>
      <c r="E57" s="106" t="inlineStr">
        <is>
          <t>Global Payments press release</t>
        </is>
      </c>
      <c r="F57" s="106" t="inlineStr">
        <is>
          <t>Genius launched as unified POS platform; restaurant edition launched first.</t>
        </is>
      </c>
      <c r="G57" s="106" t="inlineStr">
        <is>
          <t>https://investors.globalpayments.com/news-events/press-releases/detail/473/global-payments-launches-new-genius-pos-platform</t>
        </is>
      </c>
      <c r="H57" s="106" t="inlineStr">
        <is>
          <t>High</t>
        </is>
      </c>
      <c r="I57" s="106" t="inlineStr">
        <is>
          <t>Current product baseline</t>
        </is>
      </c>
      <c r="J57" s="121" t="inlineStr">
        <is>
          <t>2026-07-20</t>
        </is>
      </c>
    </row>
    <row r="58" ht="42" customHeight="1" s="59">
      <c r="A58" s="111" t="inlineStr">
        <is>
          <t>Portfolio</t>
        </is>
      </c>
      <c r="B58" s="111" t="inlineStr">
        <is>
          <t>Operating model</t>
        </is>
      </c>
      <c r="C58" s="111" t="inlineStr">
        <is>
          <t>Leadership feedback</t>
        </is>
      </c>
      <c r="D58" s="123" t="n">
        <v>46237</v>
      </c>
      <c r="E58" s="111" t="inlineStr">
        <is>
          <t>Ryan Hildebrand JPR</t>
        </is>
      </c>
      <c r="F58" s="111" t="inlineStr">
        <is>
          <t>Keep Blue Sheets; add Refine stage, RM economics, event access, account history and a payments capability map.</t>
        </is>
      </c>
      <c r="G58" s="111" t="inlineStr">
        <is>
          <t>system/account_intelligence/2026-08-03-ryan-hildebrand-worldpay-development-plan-feedback.md</t>
        </is>
      </c>
      <c r="H58" s="111" t="inlineStr">
        <is>
          <t>High</t>
        </is>
      </c>
      <c r="I58" s="111" t="inlineStr">
        <is>
          <t>Update the master-plan operating cadence</t>
        </is>
      </c>
      <c r="J58" s="123" t="n">
        <v>46248</v>
      </c>
    </row>
    <row r="59" ht="42" customHeight="1" s="59">
      <c r="A59" s="111" t="inlineStr">
        <is>
          <t>SUBWAY</t>
        </is>
      </c>
      <c r="B59" s="111" t="inlineStr">
        <is>
          <t>Genius scope</t>
        </is>
      </c>
      <c r="C59" s="111" t="inlineStr">
        <is>
          <t>Internal leadership feedback</t>
        </is>
      </c>
      <c r="D59" s="123" t="n">
        <v>46237</v>
      </c>
      <c r="E59" s="111" t="inlineStr">
        <is>
          <t>Ryan Hildebrand JPR</t>
        </is>
      </c>
      <c r="F59" s="111" t="inlineStr">
        <is>
          <t>Proprietary POS plus a reported global Genius KDS deployment conflicts with the prior DMB interpretation.</t>
        </is>
      </c>
      <c r="G59" s="111" t="inlineStr">
        <is>
          <t>system/account_intelligence/2026-08-03-ryan-hildebrand-worldpay-development-plan-feedback.md</t>
        </is>
      </c>
      <c r="H59" s="111" t="inlineStr">
        <is>
          <t>High internal / scope unverified</t>
        </is>
      </c>
      <c r="I59" s="111" t="inlineStr">
        <is>
          <t>Replace DMB assumption; keep conflict urgent</t>
        </is>
      </c>
      <c r="J59" s="123" t="n">
        <v>46248</v>
      </c>
    </row>
    <row r="60" ht="42" customHeight="1" s="59">
      <c r="A60" s="111" t="inlineStr">
        <is>
          <t>FIVE GUYS</t>
        </is>
      </c>
      <c r="B60" s="111" t="inlineStr">
        <is>
          <t>Buying event</t>
        </is>
      </c>
      <c r="C60" s="111" t="inlineStr">
        <is>
          <t>Field validation</t>
        </is>
      </c>
      <c r="D60" s="123" t="n">
        <v>46245</v>
      </c>
      <c r="E60" s="111" t="inlineStr">
        <is>
          <t>Jeff Staley JPR + independent checks</t>
        </is>
      </c>
      <c r="F60" s="111" t="inlineStr">
        <is>
          <t>Capability evaluation is plausible, but no formal RFP was found; MJ Worsham remains active and influential.</t>
        </is>
      </c>
      <c r="G60" s="111" t="inlineStr">
        <is>
          <t>system/account_intelligence/2026-08-11-jeff-staley-jpr-intelligence.md</t>
        </is>
      </c>
      <c r="H60" s="111" t="inlineStr">
        <is>
          <t>Mixed / independently checked</t>
        </is>
      </c>
      <c r="I60" s="111" t="inlineStr">
        <is>
          <t>Treat RFP and spring 2027 timing as unconfirmed</t>
        </is>
      </c>
      <c r="J60" s="123" t="n">
        <v>46248</v>
      </c>
    </row>
    <row r="61" ht="42" customHeight="1" s="59">
      <c r="A61" s="111" t="inlineStr">
        <is>
          <t>FIVE GUYS</t>
        </is>
      </c>
      <c r="B61" s="111" t="inlineStr">
        <is>
          <t>Commercial model</t>
        </is>
      </c>
      <c r="C61" s="111" t="inlineStr">
        <is>
          <t>Internal concept</t>
        </is>
      </c>
      <c r="D61" s="123" t="n">
        <v>46244</v>
      </c>
      <c r="E61" s="111" t="inlineStr">
        <is>
          <t>Worldpay/Genius executive concept</t>
        </is>
      </c>
      <c r="F61" s="111" t="inlineStr">
        <is>
          <t>Transaction-metered POS is an internal feasibility concept and is not approved for customer presentation.</t>
        </is>
      </c>
      <c r="G61" s="111" t="inlineStr">
        <is>
          <t>system/account_intelligence/2026-08-10-worldpay-transaction-funded-pos-executive-summary.md</t>
        </is>
      </c>
      <c r="H61" s="111" t="inlineStr">
        <is>
          <t>High internal</t>
        </is>
      </c>
      <c r="I61" s="111" t="inlineStr">
        <is>
          <t>Secure sponsorship and feasibility approval first</t>
        </is>
      </c>
      <c r="J61" s="123" t="n">
        <v>46248</v>
      </c>
    </row>
    <row r="62" ht="42" customHeight="1" s="59">
      <c r="A62" s="111" t="inlineStr">
        <is>
          <t>DEL TACO LLC</t>
        </is>
      </c>
      <c r="B62" s="111" t="inlineStr">
        <is>
          <t>Ownership</t>
        </is>
      </c>
      <c r="C62" s="111" t="inlineStr">
        <is>
          <t>Verified public event</t>
        </is>
      </c>
      <c r="D62" s="123" t="n">
        <v>46013</v>
      </c>
      <c r="E62" s="111" t="inlineStr">
        <is>
          <t>Jack in the Box investor release</t>
        </is>
      </c>
      <c r="F62" s="111" t="inlineStr">
        <is>
          <t>Yadav Enterprises completed the acquisition; active technology shopping remains unconfirmed.</t>
        </is>
      </c>
      <c r="G62" s="111" t="inlineStr">
        <is>
          <t>https://investors.jackinthebox.com/news/news-details/2025/Jack-in-the-Box-Inc--Completes-Sale-of-Del-Taco-Holdings-Inc-/default.aspx</t>
        </is>
      </c>
      <c r="H62" s="111" t="inlineStr">
        <is>
          <t>High</t>
        </is>
      </c>
      <c r="I62" s="111" t="inlineStr">
        <is>
          <t>Use ownership change for neutral discovery</t>
        </is>
      </c>
      <c r="J62" s="123" t="n">
        <v>46248</v>
      </c>
    </row>
    <row r="63" ht="42" customHeight="1" s="59">
      <c r="A63" s="111" t="inlineStr">
        <is>
          <t>FREDDY'S FROZEN CUSTARD LLC</t>
        </is>
      </c>
      <c r="B63" s="111" t="inlineStr">
        <is>
          <t>Channel / leadership</t>
        </is>
      </c>
      <c r="C63" s="111" t="inlineStr">
        <is>
          <t>RDS field intelligence</t>
        </is>
      </c>
      <c r="D63" s="123" t="n">
        <v>46247</v>
      </c>
      <c r="E63" s="111" t="inlineStr">
        <is>
          <t>Darren Heinze JPR</t>
        </is>
      </c>
      <c r="F63" s="111" t="inlineStr">
        <is>
          <t>RDS is deeply embedded; the new CIO reportedly favors PAR; Todd committed to no direct outreach.</t>
        </is>
      </c>
      <c r="G63" s="111" t="inlineStr">
        <is>
          <t>tmp/jpr-2026-08-13/2026-08-13-darren-heinze-rds-jpr-intelligence.md</t>
        </is>
      </c>
      <c r="H63" s="111" t="inlineStr">
        <is>
          <t>High field / decision unverified</t>
        </is>
      </c>
      <c r="I63" s="111" t="inlineStr">
        <is>
          <t>Downgrade to protected RDS watchlist</t>
        </is>
      </c>
      <c r="J63" s="123" t="n">
        <v>46248</v>
      </c>
    </row>
    <row r="64" ht="42" customHeight="1" s="59">
      <c r="A64" s="111" t="inlineStr">
        <is>
          <t>RDS FIVE-UNIT REBRAND PILOT</t>
        </is>
      </c>
      <c r="B64" s="111" t="inlineStr">
        <is>
          <t>Channel pilot</t>
        </is>
      </c>
      <c r="C64" s="111" t="inlineStr">
        <is>
          <t>RDS field intelligence</t>
        </is>
      </c>
      <c r="D64" s="123" t="n">
        <v>46247</v>
      </c>
      <c r="E64" s="111" t="inlineStr">
        <is>
          <t>Darren Heinze JPR</t>
        </is>
      </c>
      <c r="F64" s="111" t="inlineStr">
        <is>
          <t>Five former Taco Cabana sites are rebranding and evaluating a clean-slate stack/DMB; customer details require confirmation.</t>
        </is>
      </c>
      <c r="G64" s="111" t="inlineStr">
        <is>
          <t>tmp/jpr-2026-08-13/2026-08-13-darren-heinze-rds-jpr-intelligence.md</t>
        </is>
      </c>
      <c r="H64" s="111" t="inlineStr">
        <is>
          <t>High field / documentation required</t>
        </is>
      </c>
      <c r="I64" s="111" t="inlineStr">
        <is>
          <t>Qualify as the preferred near-term channel pilot</t>
        </is>
      </c>
      <c r="J64" s="123" t="n">
        <v>46248</v>
      </c>
    </row>
    <row r="65" ht="42" customHeight="1" s="59">
      <c r="A65" s="111" t="inlineStr">
        <is>
          <t>SLIM CHICKENS</t>
        </is>
      </c>
      <c r="B65" s="111" t="inlineStr">
        <is>
          <t>Channel rule</t>
        </is>
      </c>
      <c r="C65" s="111" t="inlineStr">
        <is>
          <t>RDS field intelligence</t>
        </is>
      </c>
      <c r="D65" s="123" t="n">
        <v>46247</v>
      </c>
      <c r="E65" s="111" t="inlineStr">
        <is>
          <t>Darren Heinze JPR</t>
        </is>
      </c>
      <c r="F65" s="111" t="inlineStr">
        <is>
          <t>Remain RDS-led; no direct outreach and no new buying event surfaced.</t>
        </is>
      </c>
      <c r="G65" s="111" t="inlineStr">
        <is>
          <t>tmp/jpr-2026-08-13/2026-08-13-darren-heinze-rds-jpr-intelligence.md</t>
        </is>
      </c>
      <c r="H65" s="111" t="inlineStr">
        <is>
          <t>High field</t>
        </is>
      </c>
      <c r="I65" s="111" t="inlineStr">
        <is>
          <t>Keep as relationship-map account</t>
        </is>
      </c>
      <c r="J65" s="123" t="n">
        <v>46248</v>
      </c>
    </row>
    <row r="66" ht="42" customHeight="1" s="59">
      <c r="A66" s="111" t="inlineStr">
        <is>
          <t>PAPA JOHN'S USA, INC.</t>
        </is>
      </c>
      <c r="B66" s="111" t="inlineStr">
        <is>
          <t>POS / Back Office</t>
        </is>
      </c>
      <c r="C66" s="111" t="inlineStr">
        <is>
          <t>PAR earnings evidence</t>
        </is>
      </c>
      <c r="D66" s="123" t="n">
        <v>46240</v>
      </c>
      <c r="E66" s="111" t="inlineStr">
        <is>
          <t>PAR Q2 2026 earnings materials</t>
        </is>
      </c>
      <c r="F66" s="111" t="inlineStr">
        <is>
          <t>Development milestones achieved; implementation expected later in 2026. Linux dependency is separate unverified field intelligence.</t>
        </is>
      </c>
      <c r="G66" s="111" t="inlineStr">
        <is>
          <t>https://partech.com/investor-relations/</t>
        </is>
      </c>
      <c r="H66" s="111" t="inlineStr">
        <is>
          <t>High public / field detail unverified</t>
        </is>
      </c>
      <c r="I66" s="111" t="inlineStr">
        <is>
          <t>Monitor deployment and validate technical dependency</t>
        </is>
      </c>
      <c r="J66" s="123" t="n">
        <v>46248</v>
      </c>
    </row>
    <row r="67" ht="42" customHeight="1" s="59">
      <c r="A67" s="111" t="inlineStr">
        <is>
          <t>Portfolio</t>
        </is>
      </c>
      <c r="B67" s="111" t="inlineStr">
        <is>
          <t>Competitive pattern</t>
        </is>
      </c>
      <c r="C67" s="111" t="inlineStr">
        <is>
          <t>PAR earnings evidence</t>
        </is>
      </c>
      <c r="D67" s="123" t="n">
        <v>46240</v>
      </c>
      <c r="E67" s="111" t="inlineStr">
        <is>
          <t>PAR Q2 2026 earnings call</t>
        </is>
      </c>
      <c r="F67" s="111" t="inlineStr">
        <is>
          <t>PAR uses POS/loyalty beachheads, multi-product bundles and mandatory payments attachment on ordering wins.</t>
        </is>
      </c>
      <c r="G67" s="111" t="inlineStr">
        <is>
          <t>https://partech.com/investor-relations/</t>
        </is>
      </c>
      <c r="H67" s="111" t="inlineStr">
        <is>
          <t>High company-reported</t>
        </is>
      </c>
      <c r="I67" s="111" t="inlineStr">
        <is>
          <t>Add platform/payment-attachment defense to account plans</t>
        </is>
      </c>
      <c r="J67" s="123" t="n">
        <v>46248</v>
      </c>
    </row>
    <row r="68" ht="42" customHeight="1" s="59">
      <c r="A68" s="111" t="inlineStr">
        <is>
          <t>POLLO CAMPERO</t>
        </is>
      </c>
      <c r="B68" s="111" t="inlineStr">
        <is>
          <t>POS / payments / DMB</t>
        </is>
      </c>
      <c r="C68" s="111" t="inlineStr">
        <is>
          <t>Internal account brief</t>
        </is>
      </c>
      <c r="D68" s="123" t="n">
        <v>46244</v>
      </c>
      <c r="E68" s="111" t="inlineStr">
        <is>
          <t>Pollo Campero account brief</t>
        </is>
      </c>
      <c r="F68" s="111" t="inlineStr">
        <is>
          <t>Oracle migration, NCR legacy, Fiserv in-store, Olo Pay/Stripe digital and potential RFI/DMB issues require qualification.</t>
        </is>
      </c>
      <c r="G68" s="111" t="inlineStr">
        <is>
          <t>system/account_intelligence/2026-08-10-pollo-campero-comprehensive-account-brief.md</t>
        </is>
      </c>
      <c r="H68" s="111" t="inlineStr">
        <is>
          <t>Strong internal / procurement unconfirmed</t>
        </is>
      </c>
      <c r="I68" s="111" t="inlineStr">
        <is>
          <t>Add as emerging opportunity with bid/no-bid gates</t>
        </is>
      </c>
      <c r="J68" s="123" t="n">
        <v>46248</v>
      </c>
    </row>
    <row r="69" ht="42" customHeight="1" s="59">
      <c r="A69" s="111" t="inlineStr">
        <is>
          <t>CHOICE HOTELS</t>
        </is>
      </c>
      <c r="B69" s="111" t="inlineStr">
        <is>
          <t>Gateway / acquiring</t>
        </is>
      </c>
      <c r="C69" s="111" t="inlineStr">
        <is>
          <t>Evidence aging</t>
        </is>
      </c>
      <c r="D69" s="123" t="n">
        <v>46248</v>
      </c>
      <c r="E69" s="111" t="inlineStr">
        <is>
          <t>Master-plan review</t>
        </is>
      </c>
      <c r="F69" s="111" t="inlineStr">
        <is>
          <t>July active-RFP intelligence now requires a current-stage and deadline refresh.</t>
        </is>
      </c>
      <c r="G69" s="111" t="inlineStr">
        <is>
          <t>Worldpay master-plan review 2026-08-14</t>
        </is>
      </c>
      <c r="H69" s="111" t="inlineStr">
        <is>
          <t>Review finding</t>
        </is>
      </c>
      <c r="I69" s="111" t="inlineStr">
        <is>
          <t>Do not retain 'active RFP' without refresh</t>
        </is>
      </c>
      <c r="J69" s="123" t="n">
        <v>46248</v>
      </c>
    </row>
    <row r="70" ht="42" customHeight="1" s="59">
      <c r="A70" s="111" t="inlineStr">
        <is>
          <t>FIVE GUYS</t>
        </is>
      </c>
      <c r="B70" s="111" t="inlineStr">
        <is>
          <t>Account governance</t>
        </is>
      </c>
      <c r="C70" s="111" t="inlineStr">
        <is>
          <t>RM field update</t>
        </is>
      </c>
      <c r="D70" s="139" t="n">
        <v>46269.5</v>
      </c>
      <c r="E70" s="111" t="inlineStr">
        <is>
          <t>Avery Churchwell</t>
        </is>
      </c>
      <c r="F70" s="111" t="inlineStr">
        <is>
          <t>Multiple uncoordinated Genius outreach attempts caused merchant concern. MJ and Zerick had not responded to FSTEC invitations; generic outreach is unlikely to work.</t>
        </is>
      </c>
      <c r="G70" s="111" t="inlineStr">
        <is>
          <t>Avery Churchwell account update call, 2026-09-04</t>
        </is>
      </c>
      <c r="H70" s="111" t="inlineStr">
        <is>
          <t>High (RM intelligence)</t>
        </is>
      </c>
      <c r="I70" s="111" t="inlineStr">
        <is>
          <t>Centralize outreach through Todd and Avery; buying event remains unconfirmed.</t>
        </is>
      </c>
      <c r="J70" s="139" t="n">
        <v>46269.5</v>
      </c>
    </row>
    <row r="71" ht="42" customHeight="1" s="59">
      <c r="A71" s="111" t="inlineStr">
        <is>
          <t>SLIM CHICKENS</t>
        </is>
      </c>
      <c r="B71" s="111" t="inlineStr">
        <is>
          <t>Relationship access</t>
        </is>
      </c>
      <c r="C71" s="111" t="inlineStr">
        <is>
          <t>RM field update</t>
        </is>
      </c>
      <c r="D71" s="139" t="n">
        <v>46269.5</v>
      </c>
      <c r="E71" s="111" t="inlineStr">
        <is>
          <t>Avery Churchwell</t>
        </is>
      </c>
      <c r="F71" s="111" t="inlineStr">
        <is>
          <t>A Slim Chickens contact plans to attend the FSTEC happy hour. Avery will provide Genius attendee contacts; RDS remains the coordinated account route.</t>
        </is>
      </c>
      <c r="G71" s="111" t="inlineStr">
        <is>
          <t>Avery Churchwell account update call, 2026-09-04</t>
        </is>
      </c>
      <c r="H71" s="111" t="inlineStr">
        <is>
          <t>High (RM intelligence)</t>
        </is>
      </c>
      <c r="I71" s="111" t="inlineStr">
        <is>
          <t>Use FSTEC for relationship mapping and keep follow-up RDS-led.</t>
        </is>
      </c>
      <c r="J71" s="139" t="n">
        <v>46269.5</v>
      </c>
    </row>
    <row r="72" ht="42" customHeight="1" s="59">
      <c r="A72" s="111" t="inlineStr">
        <is>
          <t>FREDDY'S FROZEN CUSTARD LLC</t>
        </is>
      </c>
      <c r="B72" s="111" t="inlineStr">
        <is>
          <t>Relationship access</t>
        </is>
      </c>
      <c r="C72" s="111" t="inlineStr">
        <is>
          <t>RM field update</t>
        </is>
      </c>
      <c r="D72" s="139" t="n">
        <v>46269.5</v>
      </c>
      <c r="E72" s="111" t="inlineStr">
        <is>
          <t>Avery Churchwell</t>
        </is>
      </c>
      <c r="F72" s="111" t="inlineStr">
        <is>
          <t>No response to FSTEC outreach. Avery and Todd agreed RDS is the best route; post-Genius World follow-through with Ryan requires confirmation.</t>
        </is>
      </c>
      <c r="G72" s="111" t="inlineStr">
        <is>
          <t>Avery Churchwell account update call, 2026-09-04</t>
        </is>
      </c>
      <c r="H72" s="111" t="inlineStr">
        <is>
          <t>High (RM intelligence)</t>
        </is>
      </c>
      <c r="I72" s="111" t="inlineStr">
        <is>
          <t>Remain RDS-led; no active displacement trigger verified.</t>
        </is>
      </c>
      <c r="J72" s="139" t="n">
        <v>46269.5</v>
      </c>
    </row>
    <row r="73">
      <c r="A73" s="111" t="inlineStr">
        <is>
          <t>Red Robin</t>
        </is>
      </c>
      <c r="B73" s="111" t="inlineStr">
        <is>
          <t>Account condition</t>
        </is>
      </c>
      <c r="C73" s="111" t="inlineStr">
        <is>
          <t>RM assessment</t>
        </is>
      </c>
      <c r="D73" s="139" t="n">
        <v>46269.5</v>
      </c>
      <c r="E73" s="111" t="inlineStr">
        <is>
          <t>Avery Churchwell</t>
        </is>
      </c>
      <c r="F73" s="111" t="inlineStr">
        <is>
          <t>Avery's recent reading suggests Red Robin may be in a better position and should be reconsidered as a prospecting possibility.</t>
        </is>
      </c>
      <c r="G73" s="111" t="inlineStr">
        <is>
          <t>Avery Churchwell account update call, 2026-09-04</t>
        </is>
      </c>
      <c r="H73" s="111" t="inlineStr">
        <is>
          <t>Medium (RM assessment)</t>
        </is>
      </c>
      <c r="I73" s="111" t="inlineStr">
        <is>
          <t>Validate operating improvement and customer buying trigger before increasing pursuit.</t>
        </is>
      </c>
      <c r="J73" s="139" t="n">
        <v>46269.5</v>
      </c>
    </row>
    <row r="74">
      <c r="A74" s="111" t="inlineStr">
        <is>
          <t>LITTLE CAESARS ENTERPRISE INC</t>
        </is>
      </c>
      <c r="B74" s="111" t="inlineStr">
        <is>
          <t>Relationship access</t>
        </is>
      </c>
      <c r="C74" s="111" t="inlineStr">
        <is>
          <t>RM field update</t>
        </is>
      </c>
      <c r="D74" s="139" t="n">
        <v>46269.5</v>
      </c>
      <c r="E74" s="111" t="inlineStr">
        <is>
          <t>Avery Churchwell</t>
        </is>
      </c>
      <c r="F74" s="111" t="inlineStr">
        <is>
          <t>Three follow-up items remained unanswered after roughly 1.5 weeks, although Avery participated in a technical-support call with the account earlier that week.</t>
        </is>
      </c>
      <c r="G74" s="111" t="inlineStr">
        <is>
          <t>Avery Churchwell account update call, 2026-09-04</t>
        </is>
      </c>
      <c r="H74" s="111" t="inlineStr">
        <is>
          <t>High (RM interaction)</t>
        </is>
      </c>
      <c r="I74" s="111" t="inlineStr">
        <is>
          <t>Use the support interaction to recover responsiveness and consolidate open requests.</t>
        </is>
      </c>
      <c r="J74" s="139" t="n">
        <v>46269.5</v>
      </c>
    </row>
    <row r="75">
      <c r="A75" s="111" t="n"/>
      <c r="B75" s="111" t="n"/>
      <c r="C75" s="111" t="n"/>
      <c r="D75" s="123" t="n"/>
      <c r="E75" s="111" t="n"/>
      <c r="F75" s="111" t="n"/>
      <c r="G75" s="111" t="n"/>
      <c r="H75" s="111" t="n"/>
      <c r="I75" s="111" t="n"/>
      <c r="J75" s="123" t="n"/>
    </row>
    <row r="76">
      <c r="A76" s="111" t="n"/>
      <c r="B76" s="111" t="n"/>
      <c r="C76" s="111" t="n"/>
      <c r="D76" s="123" t="n"/>
      <c r="E76" s="111" t="n"/>
      <c r="F76" s="111" t="n"/>
      <c r="G76" s="111" t="n"/>
      <c r="H76" s="111" t="n"/>
      <c r="I76" s="111" t="n"/>
      <c r="J76" s="123" t="n"/>
    </row>
    <row r="77">
      <c r="A77" s="111" t="n"/>
      <c r="B77" s="111" t="n"/>
      <c r="C77" s="111" t="n"/>
      <c r="D77" s="123" t="n"/>
      <c r="E77" s="111" t="n"/>
      <c r="F77" s="111" t="n"/>
      <c r="G77" s="111" t="n"/>
      <c r="H77" s="111" t="n"/>
      <c r="I77" s="111" t="n"/>
      <c r="J77" s="123" t="n"/>
    </row>
    <row r="78">
      <c r="A78" s="111" t="n"/>
      <c r="B78" s="111" t="n"/>
      <c r="C78" s="111" t="n"/>
      <c r="D78" s="123" t="n"/>
      <c r="E78" s="111" t="n"/>
      <c r="F78" s="111" t="n"/>
      <c r="G78" s="111" t="n"/>
      <c r="H78" s="111" t="n"/>
      <c r="I78" s="111" t="n"/>
      <c r="J78" s="123" t="n"/>
    </row>
    <row r="79">
      <c r="A79" s="111" t="n"/>
      <c r="B79" s="111" t="n"/>
      <c r="C79" s="111" t="n"/>
      <c r="D79" s="123" t="n"/>
      <c r="E79" s="111" t="n"/>
      <c r="F79" s="111" t="n"/>
      <c r="G79" s="111" t="n"/>
      <c r="H79" s="111" t="n"/>
      <c r="I79" s="111" t="n"/>
      <c r="J79" s="123" t="n"/>
    </row>
    <row r="80">
      <c r="A80" s="111" t="n"/>
      <c r="B80" s="111" t="n"/>
      <c r="C80" s="111" t="n"/>
      <c r="D80" s="123" t="n"/>
      <c r="E80" s="111" t="n"/>
      <c r="F80" s="111" t="n"/>
      <c r="G80" s="111" t="n"/>
      <c r="H80" s="111" t="n"/>
      <c r="I80" s="111" t="n"/>
      <c r="J80" s="123" t="n"/>
    </row>
    <row r="81">
      <c r="A81" s="111" t="n"/>
      <c r="B81" s="111" t="n"/>
      <c r="C81" s="111" t="n"/>
      <c r="D81" s="123" t="n"/>
      <c r="E81" s="111" t="n"/>
      <c r="F81" s="111" t="n"/>
      <c r="G81" s="111" t="n"/>
      <c r="H81" s="111" t="n"/>
      <c r="I81" s="111" t="n"/>
      <c r="J81" s="123" t="n"/>
    </row>
    <row r="82">
      <c r="A82" s="111" t="n"/>
      <c r="B82" s="111" t="n"/>
      <c r="C82" s="111" t="n"/>
      <c r="D82" s="123" t="n"/>
      <c r="E82" s="111" t="n"/>
      <c r="F82" s="111" t="n"/>
      <c r="G82" s="111" t="n"/>
      <c r="H82" s="111" t="n"/>
      <c r="I82" s="111" t="n"/>
      <c r="J82" s="123" t="n"/>
    </row>
    <row r="83">
      <c r="A83" s="111" t="n"/>
      <c r="B83" s="111" t="n"/>
      <c r="C83" s="111" t="n"/>
      <c r="D83" s="123" t="n"/>
      <c r="E83" s="111" t="n"/>
      <c r="F83" s="111" t="n"/>
      <c r="G83" s="111" t="n"/>
      <c r="H83" s="111" t="n"/>
      <c r="I83" s="111" t="n"/>
      <c r="J83" s="123" t="n"/>
    </row>
    <row r="84">
      <c r="A84" s="111" t="n"/>
      <c r="B84" s="111" t="n"/>
      <c r="C84" s="111" t="n"/>
      <c r="D84" s="123" t="n"/>
      <c r="E84" s="111" t="n"/>
      <c r="F84" s="111" t="n"/>
      <c r="G84" s="111" t="n"/>
      <c r="H84" s="111" t="n"/>
      <c r="I84" s="111" t="n"/>
      <c r="J84" s="123" t="n"/>
    </row>
    <row r="85">
      <c r="A85" s="111" t="inlineStr">
        <is>
          <t>DEL TACO LLC</t>
        </is>
      </c>
      <c r="B85" s="111" t="n"/>
      <c r="C85" s="111" t="inlineStr">
        <is>
          <t>vendor_relationship_formed</t>
        </is>
      </c>
      <c r="D85" s="111" t="inlineStr">
        <is>
          <t>2019-09-10</t>
        </is>
      </c>
      <c r="E85" s="111" t="n"/>
      <c r="F85" s="111" t="inlineStr">
        <is>
          <t>Del Taco Partners With Postmates To Bring Mexican And American Favorites Directly To Your Door - PR Newswire. Del Taco Partners With Postmates To Bring Mexican And American Favorites Directly To Your Door - PR Newswire</t>
        </is>
      </c>
      <c r="G85" s="111" t="n"/>
      <c r="H85" s="111" t="inlineStr">
        <is>
          <t>RBB-detected</t>
        </is>
      </c>
      <c r="I85" s="111" t="n"/>
      <c r="J85" s="111"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59" min="1" max="1"/>
    <col width="25" customWidth="1" style="59" min="2" max="2"/>
    <col width="40" customWidth="1" style="59" min="3" max="3"/>
    <col width="48" customWidth="1" style="59" min="4" max="4"/>
    <col width="24" customWidth="1" style="59" min="5" max="5"/>
    <col width="50" customWidth="1" style="59" min="6" max="6"/>
    <col width="12" customWidth="1" style="59" min="7" max="7"/>
  </cols>
  <sheetData>
    <row r="1" ht="32" customHeight="1" s="59">
      <c r="A1" s="63" t="inlineStr">
        <is>
          <t>Conflict &amp; Verification Register — 2026-08-14</t>
        </is>
      </c>
    </row>
    <row r="2" ht="30" customHeight="1" s="59">
      <c r="A2" s="91" t="inlineStr">
        <is>
          <t>Conflicts are preserved until resolved; newer evidence does not erase the historical source.</t>
        </is>
      </c>
    </row>
    <row r="4" ht="28" customHeight="1" s="59">
      <c r="A4" s="92" t="inlineStr">
        <is>
          <t>Account</t>
        </is>
      </c>
      <c r="B4" s="93" t="inlineStr">
        <is>
          <t>Issue</t>
        </is>
      </c>
      <c r="C4" s="93" t="inlineStr">
        <is>
          <t>Incoming / Legacy View</t>
        </is>
      </c>
      <c r="D4" s="93" t="inlineStr">
        <is>
          <t>Newer Evidence</t>
        </is>
      </c>
      <c r="E4" s="93" t="inlineStr">
        <is>
          <t>Evidence Type</t>
        </is>
      </c>
      <c r="F4" s="93" t="inlineStr">
        <is>
          <t>Resolution Action</t>
        </is>
      </c>
      <c r="G4" s="94" t="inlineStr">
        <is>
          <t>Status</t>
        </is>
      </c>
    </row>
    <row r="5">
      <c r="A5" s="95" t="inlineStr">
        <is>
          <t>PAPA JOHN'S USA, INC.</t>
        </is>
      </c>
      <c r="B5" s="96" t="inlineStr">
        <is>
          <t>Stale Worldpay opportunity</t>
        </is>
      </c>
      <c r="C5" s="96" t="inlineStr">
        <is>
          <t>Worldpay: evaluating gateway/POS</t>
        </is>
      </c>
      <c r="D5" s="96" t="inlineStr">
        <is>
          <t>PAR selected Jan. 12, 2026; rollout through 2027</t>
        </is>
      </c>
      <c r="E5" s="96" t="inlineStr">
        <is>
          <t>Verified public fact</t>
        </is>
      </c>
      <c r="F5" s="96" t="inlineStr">
        <is>
          <t>Supersede open POS opportunity; monitor deployment and adjacency</t>
        </is>
      </c>
      <c r="G5" s="99" t="inlineStr">
        <is>
          <t>RESOLVED</t>
        </is>
      </c>
    </row>
    <row r="6" ht="26" customHeight="1" s="59">
      <c r="A6" s="100" t="inlineStr">
        <is>
          <t>Focus Brands (GoTo Foods)</t>
        </is>
      </c>
      <c r="B6" s="101" t="inlineStr">
        <is>
          <t>Scope and deployment health</t>
        </is>
      </c>
      <c r="C6" s="101" t="inlineStr">
        <is>
          <t>Worldpay: moving all to Qu</t>
        </is>
      </c>
      <c r="D6" s="101" t="inlineStr">
        <is>
          <t>Qu confirms seven-brand POS selection; &gt;2,000 installs; user reports rollout delay</t>
        </is>
      </c>
      <c r="E6" s="101" t="inlineStr">
        <is>
          <t>Verified + user intelligence</t>
        </is>
      </c>
      <c r="F6" s="101" t="inlineStr">
        <is>
          <t>Validate rollout pace and sources of delay without overstating failure</t>
        </is>
      </c>
      <c r="G6" s="104" t="inlineStr">
        <is>
          <t>OPEN</t>
        </is>
      </c>
    </row>
    <row r="7">
      <c r="A7" s="100" t="inlineStr">
        <is>
          <t>WENDY'S INTERNATIONAL INC</t>
        </is>
      </c>
      <c r="B7" s="101" t="inlineStr">
        <is>
          <t>Ownership boundary</t>
        </is>
      </c>
      <c r="C7" s="101" t="inlineStr">
        <is>
          <t>Worldpay: NCR Aloha; user reported active decision</t>
        </is>
      </c>
      <c r="D7" s="101" t="inlineStr">
        <is>
          <t>Not an opportunity owned by Todd</t>
        </is>
      </c>
      <c r="E7" s="101" t="inlineStr">
        <is>
          <t>User correction</t>
        </is>
      </c>
      <c r="F7" s="101" t="inlineStr">
        <is>
          <t>Retain for intelligence only; no Todd pursuit action</t>
        </is>
      </c>
      <c r="G7" s="104" t="inlineStr">
        <is>
          <t>EXCLUDED</t>
        </is>
      </c>
    </row>
    <row r="8">
      <c r="A8" s="100" t="inlineStr">
        <is>
          <t>DEL TACO LLC</t>
        </is>
      </c>
      <c r="B8" s="101" t="inlineStr">
        <is>
          <t>Duplicate/unowned leads</t>
        </is>
      </c>
      <c r="C8" s="101" t="inlineStr">
        <is>
          <t>Worldpay: NCR/Olo stack</t>
        </is>
      </c>
      <c r="D8" s="101" t="inlineStr">
        <is>
          <t>User: leads exist across Global Payments</t>
        </is>
      </c>
      <c r="E8" s="101" t="inlineStr">
        <is>
          <t>User intelligence</t>
        </is>
      </c>
      <c r="F8" s="101" t="inlineStr">
        <is>
          <t>Inventory and merge leads; assign owner and next action</t>
        </is>
      </c>
      <c r="G8" s="104" t="inlineStr">
        <is>
          <t>URGENT</t>
        </is>
      </c>
    </row>
    <row r="9">
      <c r="A9" s="100" t="inlineStr">
        <is>
          <t>Dutch Bros</t>
        </is>
      </c>
      <c r="B9" s="101" t="inlineStr">
        <is>
          <t>Ownership boundary</t>
        </is>
      </c>
      <c r="C9" s="101" t="inlineStr">
        <is>
          <t>Worldpay: Xenial POS; user: existing Genius customer</t>
        </is>
      </c>
      <c r="D9" s="101" t="inlineStr">
        <is>
          <t>Managed by a Global Payments account manager; not Todd-owned</t>
        </is>
      </c>
      <c r="E9" s="101" t="inlineStr">
        <is>
          <t>User correction + public context</t>
        </is>
      </c>
      <c r="F9" s="101" t="inlineStr">
        <is>
          <t>Retain for intelligence only; account manager owns activity</t>
        </is>
      </c>
      <c r="G9" s="104" t="inlineStr">
        <is>
          <t>EXCLUDED</t>
        </is>
      </c>
    </row>
    <row r="10" ht="26" customHeight="1" s="59">
      <c r="A10" s="100" t="inlineStr">
        <is>
          <t>FREDDY'S FROZEN CUSTARD LLC</t>
        </is>
      </c>
      <c r="B10" s="101" t="inlineStr">
        <is>
          <t>Channel posture and buying event</t>
        </is>
      </c>
      <c r="C10" s="101" t="inlineStr">
        <is>
          <t>P2 adjacency/international opportunity</t>
        </is>
      </c>
      <c r="D10" s="101" t="inlineStr">
        <is>
          <t>RDS-protected account; new CIO reportedly reinforcing PAR; no direct outreach</t>
        </is>
      </c>
      <c r="E10" s="101" t="inlineStr">
        <is>
          <t>High RDS field intelligence</t>
        </is>
      </c>
      <c r="F10" s="101" t="inlineStr">
        <is>
          <t>Downgrade to watchlist; prove the smaller RDS pilot first</t>
        </is>
      </c>
      <c r="G10" s="104" t="inlineStr">
        <is>
          <t>REFRAMED</t>
        </is>
      </c>
    </row>
    <row r="11">
      <c r="A11" s="100" t="inlineStr">
        <is>
          <t>GRAETERS</t>
        </is>
      </c>
      <c r="B11" s="101" t="inlineStr">
        <is>
          <t>Product edition</t>
        </is>
      </c>
      <c r="C11" s="101" t="inlineStr">
        <is>
          <t>Worldpay: Brink</t>
        </is>
      </c>
      <c r="D11" s="101" t="inlineStr">
        <is>
          <t>User: PAR, but not Enterprise</t>
        </is>
      </c>
      <c r="E11" s="101" t="inlineStr">
        <is>
          <t>User intelligence</t>
        </is>
      </c>
      <c r="F11" s="101" t="inlineStr">
        <is>
          <t>Confirm SKU, reseller and enterprise migration fit</t>
        </is>
      </c>
      <c r="G11" s="104" t="inlineStr">
        <is>
          <t>OPEN</t>
        </is>
      </c>
    </row>
    <row r="12" ht="26" customHeight="1" s="59">
      <c r="A12" s="100" t="inlineStr">
        <is>
          <t>FIVE GUYS</t>
        </is>
      </c>
      <c r="B12" s="101" t="inlineStr">
        <is>
          <t>Buying-event certainty and timing</t>
        </is>
      </c>
      <c r="C12" s="101" t="inlineStr">
        <is>
          <t>Spring 2027 RFP assumed; MJ departure reported</t>
        </is>
      </c>
      <c r="D12" s="101" t="inlineStr">
        <is>
          <t>Capability evaluation plausible; no formal RFP found; MJ remains active</t>
        </is>
      </c>
      <c r="E12" s="101" t="inlineStr">
        <is>
          <t>Field intelligence + independent check</t>
        </is>
      </c>
      <c r="F12" s="101" t="inlineStr">
        <is>
          <t>Confirm evaluation type, expiration/notice dates, sponsor, scope and decision criteria</t>
        </is>
      </c>
      <c r="G12" s="104" t="inlineStr">
        <is>
          <t>URGENT</t>
        </is>
      </c>
    </row>
    <row r="13" ht="26" customHeight="1" s="59">
      <c r="A13" s="105" t="inlineStr">
        <is>
          <t>SUBWAY</t>
        </is>
      </c>
      <c r="B13" s="106" t="inlineStr">
        <is>
          <t>Genius product scope</t>
        </is>
      </c>
      <c r="C13" s="106" t="inlineStr">
        <is>
          <t>Prior record alternated between partial Genius POS and DMB</t>
        </is>
      </c>
      <c r="D13" s="106" t="inlineStr">
        <is>
          <t>Ryan reports proprietary POS plus global Genius KDS deployment; exact sites/status remain unverified</t>
        </is>
      </c>
      <c r="E13" s="106" t="inlineStr">
        <is>
          <t>Internal leadership intelligence</t>
        </is>
      </c>
      <c r="F13" s="106" t="inlineStr">
        <is>
          <t>Confirm product owner, KDS sites, deployment status, commitments and sponsor</t>
        </is>
      </c>
      <c r="G13" s="109" t="inlineStr">
        <is>
          <t>URGENT</t>
        </is>
      </c>
    </row>
    <row r="14" ht="15" customHeight="1" s="59">
      <c r="A14" s="90" t="inlineStr">
        <is>
          <t>CHOICE HOTELS</t>
        </is>
      </c>
      <c r="B14" s="90" t="inlineStr">
        <is>
          <t>RFP status aging</t>
        </is>
      </c>
      <c r="C14" s="90" t="inlineStr">
        <is>
          <t>Active RFP reported in July</t>
        </is>
      </c>
      <c r="D14" s="90" t="inlineStr">
        <is>
          <t>No August stage/deadline refresh found</t>
        </is>
      </c>
      <c r="E14" s="90" t="inlineStr">
        <is>
          <t>RM intelligence aging</t>
        </is>
      </c>
      <c r="F14" s="90" t="inlineStr">
        <is>
          <t>Confirm current stage, dates, sponsor and retained estate</t>
        </is>
      </c>
      <c r="G14" s="90" t="inlineStr">
        <is>
          <t>URGENT</t>
        </is>
      </c>
    </row>
    <row r="15" ht="30" customHeight="1" s="59">
      <c r="A15" s="90" t="inlineStr">
        <is>
          <t>PAPA JOHN'S USA, INC.</t>
        </is>
      </c>
      <c r="B15" s="90" t="inlineStr">
        <is>
          <t>Linux technical dependency</t>
        </is>
      </c>
      <c r="C15" s="90" t="inlineStr">
        <is>
          <t>PAR rollout tracked; no technical dependency recorded</t>
        </is>
      </c>
      <c r="D15" s="90" t="inlineStr">
        <is>
          <t>RDS claims Linux build is required; public sources do not confirm</t>
        </is>
      </c>
      <c r="E15" s="90" t="inlineStr">
        <is>
          <t>Confidential field intelligence</t>
        </is>
      </c>
      <c r="F15" s="90" t="inlineStr">
        <is>
          <t>Validate with technical/product owners; do not persist as fact</t>
        </is>
      </c>
      <c r="G15" s="90" t="inlineStr">
        <is>
          <t>OPEN</t>
        </is>
      </c>
    </row>
    <row r="16" ht="30" customHeight="1" s="59">
      <c r="A16" s="90" t="inlineStr">
        <is>
          <t>POLLO CAMPERO</t>
        </is>
      </c>
      <c r="B16" s="90" t="inlineStr">
        <is>
          <t>Decision openness and procurement scope</t>
        </is>
      </c>
      <c r="C16" s="90" t="inlineStr">
        <is>
          <t>Not present in prior portfolio</t>
        </is>
      </c>
      <c r="D16" s="90" t="inlineStr">
        <is>
          <t>Potential RFI and DMB issue; Oracle migration may already be advanced</t>
        </is>
      </c>
      <c r="E16" s="90" t="inlineStr">
        <is>
          <t>Internal account brief</t>
        </is>
      </c>
      <c r="F16" s="90" t="inlineStr">
        <is>
          <t>Obtain NDA/RFI and apply bid/no-bid gates</t>
        </is>
      </c>
      <c r="G16" s="90" t="inlineStr">
        <is>
          <t>URGENT</t>
        </is>
      </c>
    </row>
    <row r="17" ht="30" customHeight="1" s="59">
      <c r="A17" s="90" t="inlineStr">
        <is>
          <t>RDS FIVE-UNIT REBRAND PILOT</t>
        </is>
      </c>
      <c r="B17" s="90" t="inlineStr">
        <is>
          <t>Customer identity and authority</t>
        </is>
      </c>
      <c r="C17" s="90" t="inlineStr">
        <is>
          <t>Not present in prior portfolio</t>
        </is>
      </c>
      <c r="D17" s="90" t="inlineStr">
        <is>
          <t>Clean-slate rebrand offered as pilot; entity, concept and authority unconfirmed</t>
        </is>
      </c>
      <c r="E17" s="90" t="inlineStr">
        <is>
          <t>High channel field intelligence</t>
        </is>
      </c>
      <c r="F17" s="90" t="inlineStr">
        <is>
          <t>Document entity, authority, dates, budget, scope and protection terms</t>
        </is>
      </c>
      <c r="G17" s="9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59" min="1" max="1"/>
    <col width="14" customWidth="1" style="59" min="2" max="2"/>
    <col width="11" customWidth="1" style="59" min="3" max="3"/>
    <col width="12" customWidth="1" style="59" min="4" max="4"/>
    <col width="50" customWidth="1" style="59" min="5" max="5"/>
    <col width="60" customWidth="1" style="59" min="6" max="6"/>
    <col width="44" customWidth="1" style="59" min="7" max="7"/>
    <col width="48" customWidth="1" style="59" min="8" max="8"/>
  </cols>
  <sheetData>
    <row r="1" ht="32" customHeight="1" s="59">
      <c r="A1" s="110" t="inlineStr">
        <is>
          <t>RM Portfolio Briefings — 2026-09-04</t>
        </is>
      </c>
    </row>
    <row r="2" ht="30" customHeight="1" s="59">
      <c r="A2" s="112" t="inlineStr">
        <is>
          <t>Opportunity counts exclude Wendy's and Dutch Bros. Protected channel accounts remain governed by RDS engagement rules.</t>
        </is>
      </c>
    </row>
    <row r="3">
      <c r="A3" s="111" t="n"/>
      <c r="B3" s="111" t="n"/>
      <c r="C3" s="111" t="n"/>
      <c r="D3" s="111" t="n"/>
      <c r="E3" s="111" t="n"/>
      <c r="F3" s="111" t="n"/>
      <c r="G3" s="111" t="n"/>
      <c r="H3" s="111" t="n"/>
    </row>
    <row r="4" ht="28" customHeight="1" s="59">
      <c r="A4" s="113" t="inlineStr">
        <is>
          <t>RM</t>
        </is>
      </c>
      <c r="B4" s="114" t="inlineStr">
        <is>
          <t>Opportunity Accounts</t>
        </is>
      </c>
      <c r="C4" s="114" t="inlineStr">
        <is>
          <t>P1 Accounts</t>
        </is>
      </c>
      <c r="D4" s="114" t="inlineStr">
        <is>
          <t>Average Score</t>
        </is>
      </c>
      <c r="E4" s="114" t="inlineStr">
        <is>
          <t>Top Ranked Accounts</t>
        </is>
      </c>
      <c r="F4" s="114" t="inlineStr">
        <is>
          <t>Trigger Summary</t>
        </is>
      </c>
      <c r="G4" s="114" t="inlineStr">
        <is>
          <t>Workshop Focus</t>
        </is>
      </c>
      <c r="H4" s="115" t="inlineStr">
        <is>
          <t>Required Output</t>
        </is>
      </c>
    </row>
    <row r="5" ht="26" customHeight="1" s="59">
      <c r="A5" s="95" t="inlineStr">
        <is>
          <t>Avery Churchwell</t>
        </is>
      </c>
      <c r="B5" s="96" t="n">
        <v>11</v>
      </c>
      <c r="C5" s="96" t="n">
        <v>1</v>
      </c>
      <c r="D5" s="97" t="n">
        <v>57.1</v>
      </c>
      <c r="E5" s="96" t="inlineStr">
        <is>
          <t>FIVE GUYS, Red Robin, EAT'N PARK, MILLER'S ALE HOUSE, BLACK BEAR</t>
        </is>
      </c>
      <c r="F5" s="96" t="inlineStr">
        <is>
          <t>Five Guys outreach governance/FSTEC opening | Slim Chickens RDS-led FSTEC contact | Little Caesars follow-up stall | Red Robin reassessment</t>
        </is>
      </c>
      <c r="G5" s="96" t="inlineStr">
        <is>
          <t>Centralize Five Guys outreach with Avery/Todd; coordinate Slim Chickens and Freddy's through RDS; recover Little Caesars follow-ups; qualify Red Robin timing.</t>
        </is>
      </c>
      <c r="H5" s="99" t="inlineStr">
        <is>
          <t>Named owner and coordinated contact plan for each account; FSTEC connection plan; verified buying trigger, renewal dates and dated next action.</t>
        </is>
      </c>
    </row>
    <row r="6" ht="26" customHeight="1" s="59">
      <c r="A6" s="100" t="inlineStr">
        <is>
          <t>Brian Wood</t>
        </is>
      </c>
      <c r="B6" s="101" t="n">
        <v>8</v>
      </c>
      <c r="C6" s="101" t="n">
        <v>1</v>
      </c>
      <c r="D6" s="102" t="n">
        <v>59.6</v>
      </c>
      <c r="E6" s="101" t="inlineStr">
        <is>
          <t>GoTo Foods, CHOICE HOTELS, PAPA JOHN'S, CRACKER BARREL, BOB EVANS</t>
        </is>
      </c>
      <c r="F6" s="101" t="inlineStr">
        <is>
          <t>GoTo platform/payment defense | Choice RFP refresh | Papa Johns rollout watch</t>
        </is>
      </c>
      <c r="G6" s="101" t="inlineStr">
        <is>
          <t>GoTo DMB map; Choice status refresh; Papa Johns adjacency and implementation monitoring</t>
        </is>
      </c>
      <c r="H6" s="104" t="inlineStr">
        <is>
          <t>Named account owner, current scope, decision dates, buying-center map and warm introduction.</t>
        </is>
      </c>
    </row>
    <row r="7" ht="26" customHeight="1" s="59">
      <c r="A7" s="100" t="inlineStr">
        <is>
          <t>Maggie Lenhart</t>
        </is>
      </c>
      <c r="B7" s="101" t="n">
        <v>6</v>
      </c>
      <c r="C7" s="101" t="n">
        <v>1</v>
      </c>
      <c r="D7" s="102" t="n">
        <v>65.2</v>
      </c>
      <c r="E7" s="101" t="inlineStr">
        <is>
          <t>DEL TACO, STEAK N SHAKE, CHURCH'S, LAROSA'S, GOLDEN CORRAL</t>
        </is>
      </c>
      <c r="F7" s="101" t="inlineStr">
        <is>
          <t>Del Taco extension/Yadav event | Steak 'n Shake remediation | Church's decision unresolved</t>
        </is>
      </c>
      <c r="G7" s="101" t="inlineStr">
        <is>
          <t>Complete Del Taco extension and lead consolidation; establish dated kiosk remediation</t>
        </is>
      </c>
      <c r="H7" s="104" t="inlineStr">
        <is>
          <t>Verified buying event, owner map, technical issue owners and customer introduction.</t>
        </is>
      </c>
    </row>
    <row r="8" ht="26" customHeight="1" s="59">
      <c r="A8" s="105" t="inlineStr">
        <is>
          <t>Stacie Davis</t>
        </is>
      </c>
      <c r="B8" s="106" t="n">
        <v>3</v>
      </c>
      <c r="C8" s="106" t="n">
        <v>1</v>
      </c>
      <c r="D8" s="107" t="n">
        <v>63</v>
      </c>
      <c r="E8" s="106" t="inlineStr">
        <is>
          <t>SUBWAY, STARBUCKS, DOMINO'S</t>
        </is>
      </c>
      <c r="F8" s="106" t="inlineStr">
        <is>
          <t>Subway KDS scope conflict | Starbucks share recovery | Domino's reference posture</t>
        </is>
      </c>
      <c r="G8" s="106" t="inlineStr">
        <is>
          <t>Resolve Subway product/sites/owner before any new positioning</t>
        </is>
      </c>
      <c r="H8" s="109" t="inlineStr">
        <is>
          <t>Confirmed Genius KDS scope, customer sponsor, commitments and next relationship.</t>
        </is>
      </c>
    </row>
    <row r="9" ht="30" customHeight="1" s="59">
      <c r="A9" s="111" t="inlineStr">
        <is>
          <t>RDS / Darren Heinze</t>
        </is>
      </c>
      <c r="B9" s="111" t="n">
        <v>1</v>
      </c>
      <c r="C9" s="111" t="n">
        <v>0</v>
      </c>
      <c r="D9" s="111" t="n">
        <v>74</v>
      </c>
      <c r="E9" s="111" t="inlineStr">
        <is>
          <t>RDS FIVE-UNIT REBRAND PILOT</t>
        </is>
      </c>
      <c r="F9" s="111" t="inlineStr">
        <is>
          <t>Clean-slate pilot; protected-account operating model</t>
        </is>
      </c>
      <c r="G9" s="111" t="inlineStr">
        <is>
          <t>Document entity, scope, economics, support, protections and case-study rights</t>
        </is>
      </c>
      <c r="H9" s="111" t="inlineStr">
        <is>
          <t>Qualified customer facts, signed engagement rules and a dated pilot plan.</t>
        </is>
      </c>
    </row>
    <row r="10" ht="30" customHeight="1" s="59">
      <c r="A10" s="111" t="inlineStr">
        <is>
          <t>Unassigned / Worldpay</t>
        </is>
      </c>
      <c r="B10" s="111" t="n">
        <v>1</v>
      </c>
      <c r="C10" s="111" t="n">
        <v>0</v>
      </c>
      <c r="D10" s="111" t="n">
        <v>72</v>
      </c>
      <c r="E10" s="111" t="inlineStr">
        <is>
          <t>POLLO CAMPERO</t>
        </is>
      </c>
      <c r="F10" s="111" t="inlineStr">
        <is>
          <t>Potential RFI; Oracle migration; split payment stack</t>
        </is>
      </c>
      <c r="G10" s="111" t="inlineStr">
        <is>
          <t>Assign owner, obtain NDA/RFI and apply bid/no-bid gates</t>
        </is>
      </c>
      <c r="H10" s="111"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59" min="1" max="5"/>
    <col width="32" customWidth="1" style="59" min="6" max="6"/>
  </cols>
  <sheetData>
    <row r="1" ht="32" customHeight="1" s="59">
      <c r="A1" s="63" t="inlineStr">
        <is>
          <t>Portfolio Scoring Model — 2026-08-14</t>
        </is>
      </c>
    </row>
    <row r="2" ht="30" customHeight="1" s="59">
      <c r="A2" s="91" t="inlineStr">
        <is>
          <t>Score 1–5, then Refine after every material signal. Unknown is not whitespace; unverified triggers must not be scored as active decisions.</t>
        </is>
      </c>
    </row>
    <row r="4" ht="28" customHeight="1" s="59">
      <c r="A4" s="92" t="inlineStr">
        <is>
          <t>Dimension</t>
        </is>
      </c>
      <c r="B4" s="93" t="inlineStr">
        <is>
          <t>Weight</t>
        </is>
      </c>
      <c r="C4" s="93" t="inlineStr">
        <is>
          <t>1 = Low</t>
        </is>
      </c>
      <c r="D4" s="93" t="inlineStr">
        <is>
          <t>3 = Medium</t>
        </is>
      </c>
      <c r="E4" s="93" t="inlineStr">
        <is>
          <t>5 = High</t>
        </is>
      </c>
      <c r="F4" s="94" t="inlineStr">
        <is>
          <t>Interpretation</t>
        </is>
      </c>
    </row>
    <row r="5">
      <c r="A5" s="95" t="inlineStr">
        <is>
          <t>Strategic Value</t>
        </is>
      </c>
      <c r="B5" s="13" t="n">
        <v>0.2</v>
      </c>
      <c r="C5" s="96" t="inlineStr">
        <is>
          <t>Small/low leverage</t>
        </is>
      </c>
      <c r="D5" s="96" t="inlineStr">
        <is>
          <t>Meaningful footprint</t>
        </is>
      </c>
      <c r="E5" s="96" t="inlineStr">
        <is>
          <t>Transformational scale</t>
        </is>
      </c>
      <c r="F5" s="99" t="inlineStr">
        <is>
          <t>Account size, tier, franchise leverage</t>
        </is>
      </c>
    </row>
    <row r="6">
      <c r="A6" s="100" t="inlineStr">
        <is>
          <t>Active Buying Trigger</t>
        </is>
      </c>
      <c r="B6" s="14" t="n">
        <v>0.2</v>
      </c>
      <c r="C6" s="101" t="inlineStr">
        <is>
          <t>No trigger</t>
        </is>
      </c>
      <c r="D6" s="101" t="inlineStr">
        <is>
          <t>Research/discovery signal</t>
        </is>
      </c>
      <c r="E6" s="101" t="inlineStr">
        <is>
          <t>Active decision or internal lead</t>
        </is>
      </c>
      <c r="F6" s="104" t="inlineStr">
        <is>
          <t>Time-sensitive commercial motion</t>
        </is>
      </c>
    </row>
    <row r="7">
      <c r="A7" s="100" t="inlineStr">
        <is>
          <t>Relationship / Access</t>
        </is>
      </c>
      <c r="B7" s="14" t="n">
        <v>0.15</v>
      </c>
      <c r="C7" s="101" t="inlineStr">
        <is>
          <t>No path</t>
        </is>
      </c>
      <c r="D7" s="101" t="inlineStr">
        <is>
          <t>Named RM/internal route</t>
        </is>
      </c>
      <c r="E7" s="101" t="inlineStr">
        <is>
          <t>Active customer access</t>
        </is>
      </c>
      <c r="F7" s="104" t="inlineStr">
        <is>
          <t>Ability to influence outcome</t>
        </is>
      </c>
    </row>
    <row r="8">
      <c r="A8" s="100" t="inlineStr">
        <is>
          <t>Incumbent Lifecycle</t>
        </is>
      </c>
      <c r="B8" s="14" t="n">
        <v>0.15</v>
      </c>
      <c r="C8" s="101" t="inlineStr">
        <is>
          <t>New/locked</t>
        </is>
      </c>
      <c r="D8" s="101" t="inlineStr">
        <is>
          <t>Established or unclear</t>
        </is>
      </c>
      <c r="E8" s="101" t="inlineStr">
        <is>
          <t>Decision window/aging</t>
        </is>
      </c>
      <c r="F8" s="104" t="inlineStr">
        <is>
          <t>Switchability, not just age</t>
        </is>
      </c>
    </row>
    <row r="9">
      <c r="A9" s="100" t="inlineStr">
        <is>
          <t>Deployment Health</t>
        </is>
      </c>
      <c r="B9" s="14" t="n">
        <v>0.1</v>
      </c>
      <c r="C9" s="101" t="inlineStr">
        <is>
          <t>Healthy/positive</t>
        </is>
      </c>
      <c r="D9" s="101" t="inlineStr">
        <is>
          <t>Unknown/mixed</t>
        </is>
      </c>
      <c r="E9" s="101" t="inlineStr">
        <is>
          <t>Material issue reported</t>
        </is>
      </c>
      <c r="F9" s="104" t="inlineStr">
        <is>
          <t>Crack signal or implementation need</t>
        </is>
      </c>
    </row>
    <row r="10">
      <c r="A10" s="100" t="inlineStr">
        <is>
          <t>Adjacent Whitespace</t>
        </is>
      </c>
      <c r="B10" s="14" t="n">
        <v>0.15</v>
      </c>
      <c r="C10" s="101" t="inlineStr">
        <is>
          <t>Stack entrenched</t>
        </is>
      </c>
      <c r="D10" s="101" t="inlineStr">
        <is>
          <t>Some gaps</t>
        </is>
      </c>
      <c r="E10" s="101" t="inlineStr">
        <is>
          <t>Many verified/qualifiable gaps</t>
        </is>
      </c>
      <c r="F10" s="104" t="inlineStr">
        <is>
          <t>Unknown is not automatically whitespace</t>
        </is>
      </c>
    </row>
    <row r="11">
      <c r="A11" s="105" t="inlineStr">
        <is>
          <t>Internal Coordination</t>
        </is>
      </c>
      <c r="B11" s="15" t="n">
        <v>0.05</v>
      </c>
      <c r="C11" s="106" t="inlineStr">
        <is>
          <t>Simple</t>
        </is>
      </c>
      <c r="D11" s="106" t="inlineStr">
        <is>
          <t>Several owners</t>
        </is>
      </c>
      <c r="E11" s="106" t="inlineStr">
        <is>
          <t>Urgent cross-team alignment</t>
        </is>
      </c>
      <c r="F11" s="109" t="inlineStr">
        <is>
          <t>Need to merge leads/owners/actions</t>
        </is>
      </c>
    </row>
    <row r="13" ht="15" customHeight="1" s="59">
      <c r="A13" s="16" t="inlineStr">
        <is>
          <t>Formula</t>
        </is>
      </c>
      <c r="B13" s="16" t="n"/>
      <c r="C13" s="16" t="n"/>
      <c r="D13" s="16" t="n"/>
      <c r="E13" s="16" t="n"/>
      <c r="F13" s="16" t="n"/>
    </row>
    <row r="14" ht="45" customHeight="1" s="59">
      <c r="A14" s="17" t="inlineStr">
        <is>
          <t>Total Score</t>
        </is>
      </c>
      <c r="B14" s="17" t="inlineStr">
        <is>
          <t>SUM of each (dimension score ÷ 5 × dimension weight)</t>
        </is>
      </c>
      <c r="C14" s="17" t="n"/>
      <c r="D14" s="17" t="n"/>
      <c r="E14" s="17" t="n"/>
      <c r="F14" s="17" t="n"/>
    </row>
    <row r="15" ht="30" customHeight="1" s="59">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59" min="1" max="1"/>
    <col width="15" customWidth="1" style="59" min="2" max="15"/>
    <col width="20" customWidth="1" style="59" min="16" max="19"/>
    <col width="36" customWidth="1" style="59" min="20" max="20"/>
    <col width="28" customWidth="1" style="59" min="21" max="26"/>
    <col width="15" customWidth="1" style="59" min="27" max="45"/>
  </cols>
  <sheetData>
    <row r="1" ht="28" customHeight="1" s="59">
      <c r="A1" s="92" t="inlineStr">
        <is>
          <t>Merchant</t>
        </is>
      </c>
      <c r="B1" s="93" t="inlineStr">
        <is>
          <t>DIrect ID</t>
        </is>
      </c>
      <c r="C1" s="93" t="inlineStr">
        <is>
          <t>Superchain/Corp Chain</t>
        </is>
      </c>
      <c r="D1" s="93" t="inlineStr">
        <is>
          <t>Franchise Code</t>
        </is>
      </c>
      <c r="E1" s="93" t="inlineStr">
        <is>
          <t>National Bank</t>
        </is>
      </c>
      <c r="F1" s="93" t="inlineStr">
        <is>
          <t>CP/Ecom</t>
        </is>
      </c>
      <c r="G1" s="93" t="inlineStr">
        <is>
          <t>Owner</t>
        </is>
      </c>
      <c r="H1" s="93" t="inlineStr">
        <is>
          <t>Vertical</t>
        </is>
      </c>
      <c r="I1" s="93" t="inlineStr">
        <is>
          <t>2022
Jan-Sep</t>
        </is>
      </c>
      <c r="J1" s="93" t="inlineStr">
        <is>
          <t>2022
Forecast</t>
        </is>
      </c>
      <c r="K1" s="93" t="inlineStr">
        <is>
          <t>Tier</t>
        </is>
      </c>
      <c r="L1" s="93" t="inlineStr">
        <is>
          <t># of Locations</t>
        </is>
      </c>
      <c r="M1" s="93" t="inlineStr">
        <is>
          <t>% Corporated Owned</t>
        </is>
      </c>
      <c r="N1" s="93" t="inlineStr">
        <is>
          <t>% Franchise Owned.</t>
        </is>
      </c>
      <c r="O1" s="93" t="inlineStr">
        <is>
          <t>Int'l?</t>
        </is>
      </c>
      <c r="P1" s="93" t="inlineStr">
        <is>
          <t>RM</t>
        </is>
      </c>
      <c r="Q1" s="93" t="inlineStr">
        <is>
          <t>CSM</t>
        </is>
      </c>
      <c r="R1" s="93" t="inlineStr">
        <is>
          <t>PCO?</t>
        </is>
      </c>
      <c r="S1" s="93" t="inlineStr">
        <is>
          <t>Franchise Relationship Manager</t>
        </is>
      </c>
      <c r="T1" s="93" t="inlineStr">
        <is>
          <t>Notes</t>
        </is>
      </c>
      <c r="U1" s="93" t="inlineStr">
        <is>
          <t>POS</t>
        </is>
      </c>
      <c r="V1" s="93" t="inlineStr">
        <is>
          <t>ISV</t>
        </is>
      </c>
      <c r="W1" s="93" t="inlineStr">
        <is>
          <t>Terminals</t>
        </is>
      </c>
      <c r="X1" s="93" t="inlineStr">
        <is>
          <t>Kiosk</t>
        </is>
      </c>
      <c r="Y1" s="93" t="inlineStr">
        <is>
          <t>Ecommerce-Worldpay</t>
        </is>
      </c>
      <c r="Z1" s="93" t="inlineStr">
        <is>
          <t>Ecommerce-Other</t>
        </is>
      </c>
      <c r="AA1" s="93" t="inlineStr">
        <is>
          <t>Tier Adj
(Susan)</t>
        </is>
      </c>
      <c r="AB1" s="93" t="inlineStr">
        <is>
          <t>Vertical Adj
(James)</t>
        </is>
      </c>
      <c r="AC1" s="93" t="inlineStr">
        <is>
          <t>Tier Adj
(James)</t>
        </is>
      </c>
      <c r="AD1" s="93" t="inlineStr">
        <is>
          <t>James</t>
        </is>
      </c>
      <c r="AE1" s="93" t="inlineStr">
        <is>
          <t>Notes.1</t>
        </is>
      </c>
      <c r="AF1" s="93" t="inlineStr">
        <is>
          <t>Missing</t>
        </is>
      </c>
      <c r="AG1" s="93" t="inlineStr">
        <is>
          <t>Unnamed: 32</t>
        </is>
      </c>
      <c r="AH1" s="93" t="inlineStr">
        <is>
          <t>Unnamed: 33</t>
        </is>
      </c>
      <c r="AI1" s="93" t="inlineStr">
        <is>
          <t>Unnamed: 34</t>
        </is>
      </c>
      <c r="AJ1" s="93" t="inlineStr">
        <is>
          <t>Unnamed: 35</t>
        </is>
      </c>
      <c r="AK1" s="93" t="inlineStr">
        <is>
          <t>Unnamed: 36</t>
        </is>
      </c>
      <c r="AL1" s="93" t="inlineStr">
        <is>
          <t>Unnamed: 37</t>
        </is>
      </c>
      <c r="AM1" s="93" t="inlineStr">
        <is>
          <t>Unnamed: 38</t>
        </is>
      </c>
      <c r="AN1" s="93" t="inlineStr">
        <is>
          <t>Unnamed: 39</t>
        </is>
      </c>
      <c r="AO1" s="93" t="inlineStr">
        <is>
          <t>Unnamed: 40</t>
        </is>
      </c>
      <c r="AP1" s="93" t="inlineStr">
        <is>
          <t>Unnamed: 41</t>
        </is>
      </c>
      <c r="AQ1" s="93" t="inlineStr">
        <is>
          <t>Unnamed: 42</t>
        </is>
      </c>
      <c r="AR1" s="93" t="inlineStr">
        <is>
          <t>Unnamed: 43</t>
        </is>
      </c>
      <c r="AS1" s="94" t="inlineStr">
        <is>
          <t>Unnamed: 44</t>
        </is>
      </c>
    </row>
    <row r="2">
      <c r="A2" s="95" t="inlineStr">
        <is>
          <t>Barbara B Mann PAH</t>
        </is>
      </c>
      <c r="B2" s="96" t="n"/>
      <c r="C2" s="96" t="n"/>
      <c r="D2" s="96" t="n"/>
      <c r="E2" s="96" t="n"/>
      <c r="F2" s="96" t="inlineStr">
        <is>
          <t>CP</t>
        </is>
      </c>
      <c r="G2" s="96" t="inlineStr">
        <is>
          <t>Susan</t>
        </is>
      </c>
      <c r="H2" s="96" t="inlineStr">
        <is>
          <t>Hospitality</t>
        </is>
      </c>
      <c r="I2" s="33" t="n"/>
      <c r="J2" s="33" t="n">
        <v>398196</v>
      </c>
      <c r="K2" s="96" t="inlineStr">
        <is>
          <t>Tier 2</t>
        </is>
      </c>
      <c r="L2" s="96" t="n"/>
      <c r="M2" s="13" t="n"/>
      <c r="N2" s="13" t="n"/>
      <c r="O2" s="96" t="inlineStr">
        <is>
          <t>No</t>
        </is>
      </c>
      <c r="P2" s="96" t="inlineStr">
        <is>
          <t>Brian Wood</t>
        </is>
      </c>
      <c r="Q2" s="96" t="inlineStr">
        <is>
          <t>Ashlee Strete</t>
        </is>
      </c>
      <c r="R2" s="96" t="n"/>
      <c r="S2" s="96" t="n"/>
      <c r="T2" s="96" t="n"/>
      <c r="U2" s="96" t="inlineStr">
        <is>
          <t>Cybersource</t>
        </is>
      </c>
      <c r="V2" s="96" t="n"/>
      <c r="W2" s="96" t="n"/>
      <c r="X2" s="96" t="n"/>
      <c r="Y2" s="96" t="inlineStr">
        <is>
          <t>Yes</t>
        </is>
      </c>
      <c r="Z2" s="96" t="inlineStr">
        <is>
          <t>No</t>
        </is>
      </c>
      <c r="AA2" s="96" t="n"/>
      <c r="AB2" s="96" t="n"/>
      <c r="AC2" s="96" t="n"/>
      <c r="AD2" s="96" t="n"/>
      <c r="AE2" s="96" t="n"/>
      <c r="AF2" s="96" t="n"/>
      <c r="AG2" s="96" t="n"/>
      <c r="AH2" s="96" t="n"/>
      <c r="AI2" s="96" t="n"/>
      <c r="AJ2" s="96" t="n"/>
      <c r="AK2" s="96" t="n"/>
      <c r="AL2" s="96" t="n"/>
      <c r="AM2" s="96" t="n"/>
      <c r="AN2" s="96" t="n"/>
      <c r="AO2" s="96" t="n"/>
      <c r="AP2" s="96" t="n"/>
      <c r="AQ2" s="96" t="n"/>
      <c r="AR2" s="96" t="n"/>
      <c r="AS2" s="99" t="n"/>
    </row>
    <row r="3" ht="26" customHeight="1" s="59">
      <c r="A3" s="100" t="inlineStr">
        <is>
          <t>BLACK BEAR DINER</t>
        </is>
      </c>
      <c r="B3" s="101" t="inlineStr">
        <is>
          <t>DRCT - 000639- VREL</t>
        </is>
      </c>
      <c r="C3" s="101" t="inlineStr">
        <is>
          <t>S000000058</t>
        </is>
      </c>
      <c r="D3" s="101" t="inlineStr">
        <is>
          <t>BLCKBR</t>
        </is>
      </c>
      <c r="E3" s="101" t="n"/>
      <c r="F3" s="101" t="inlineStr">
        <is>
          <t>CP</t>
        </is>
      </c>
      <c r="G3" s="101" t="inlineStr">
        <is>
          <t>Susan</t>
        </is>
      </c>
      <c r="H3" s="101" t="inlineStr">
        <is>
          <t>Hospitality</t>
        </is>
      </c>
      <c r="I3" s="34" t="n">
        <v>249980.0417493</v>
      </c>
      <c r="J3" s="34" t="n">
        <v>333306.7223324</v>
      </c>
      <c r="K3" s="101" t="inlineStr">
        <is>
          <t>Tier 2</t>
        </is>
      </c>
      <c r="L3" s="101" t="n">
        <v>217</v>
      </c>
      <c r="M3" s="14" t="n">
        <v>0.6</v>
      </c>
      <c r="N3" s="14" t="n">
        <v>0.4</v>
      </c>
      <c r="O3" s="101" t="n">
        <v>0</v>
      </c>
      <c r="P3" s="101" t="inlineStr">
        <is>
          <t>Avery Churchwell</t>
        </is>
      </c>
      <c r="Q3" s="101" t="inlineStr">
        <is>
          <t>Michelle Weddington</t>
        </is>
      </c>
      <c r="R3" s="101" t="inlineStr">
        <is>
          <t>Melissa Douglas</t>
        </is>
      </c>
      <c r="S3" s="101" t="inlineStr">
        <is>
          <t>Gaynor Baker</t>
        </is>
      </c>
      <c r="T3" s="101" t="inlineStr">
        <is>
          <t>CP is moving to Toast, will likely move to unmanaged</t>
        </is>
      </c>
      <c r="U3" s="101" t="inlineStr">
        <is>
          <t>Toast / Olo</t>
        </is>
      </c>
      <c r="V3" s="101" t="inlineStr">
        <is>
          <t>Toast</t>
        </is>
      </c>
      <c r="W3" s="101" t="inlineStr">
        <is>
          <t>Toast</t>
        </is>
      </c>
      <c r="X3" s="101" t="n"/>
      <c r="Y3" s="101" t="inlineStr">
        <is>
          <t>Olo</t>
        </is>
      </c>
      <c r="Z3" s="101" t="n"/>
      <c r="AA3" s="101" t="n"/>
      <c r="AB3" s="101" t="n"/>
      <c r="AC3" s="101" t="n"/>
      <c r="AD3" s="101" t="n"/>
      <c r="AE3" s="101" t="n"/>
      <c r="AF3" s="101" t="n"/>
      <c r="AG3" s="101" t="n"/>
      <c r="AH3" s="101" t="n"/>
      <c r="AI3" s="101" t="n"/>
      <c r="AJ3" s="101" t="n"/>
      <c r="AK3" s="101" t="n"/>
      <c r="AL3" s="101" t="n"/>
      <c r="AM3" s="101" t="n"/>
      <c r="AN3" s="101" t="n"/>
      <c r="AO3" s="101" t="n"/>
      <c r="AP3" s="101" t="n"/>
      <c r="AQ3" s="101" t="n"/>
      <c r="AR3" s="101" t="n"/>
      <c r="AS3" s="104" t="n"/>
    </row>
    <row r="4">
      <c r="A4" s="100" t="inlineStr">
        <is>
          <t>BOB EVANS RESTAURANTS, LLC</t>
        </is>
      </c>
      <c r="B4" s="101" t="n"/>
      <c r="C4" s="101" t="inlineStr">
        <is>
          <t>000131</t>
        </is>
      </c>
      <c r="D4" s="101" t="n"/>
      <c r="E4" s="101" t="n"/>
      <c r="F4" s="101" t="inlineStr">
        <is>
          <t>CP</t>
        </is>
      </c>
      <c r="G4" s="101" t="inlineStr">
        <is>
          <t>Susan</t>
        </is>
      </c>
      <c r="H4" s="101" t="inlineStr">
        <is>
          <t>Hospitality</t>
        </is>
      </c>
      <c r="I4" s="34" t="n">
        <v>310354.0705699999</v>
      </c>
      <c r="J4" s="34" t="n">
        <v>413805.4274266665</v>
      </c>
      <c r="K4" s="101" t="inlineStr">
        <is>
          <t>Tier 2</t>
        </is>
      </c>
      <c r="L4" s="101" t="n">
        <v>450</v>
      </c>
      <c r="M4" s="14" t="n">
        <v>1</v>
      </c>
      <c r="N4" s="14" t="n">
        <v>0</v>
      </c>
      <c r="O4" s="101" t="inlineStr">
        <is>
          <t>No</t>
        </is>
      </c>
      <c r="P4" s="101" t="inlineStr">
        <is>
          <t>Brian Wood</t>
        </is>
      </c>
      <c r="Q4" s="101" t="inlineStr">
        <is>
          <t>Ashlee Strete</t>
        </is>
      </c>
      <c r="R4" s="101" t="inlineStr">
        <is>
          <t>Melissa Douglas</t>
        </is>
      </c>
      <c r="S4" s="101" t="n"/>
      <c r="T4" s="101" t="n"/>
      <c r="U4" s="101" t="inlineStr">
        <is>
          <t>NCR Aloha/Connected Payments</t>
        </is>
      </c>
      <c r="V4" s="101" t="inlineStr">
        <is>
          <t>NCR Connected Payments</t>
        </is>
      </c>
      <c r="W4" s="101" t="n"/>
      <c r="X4" s="101" t="n"/>
      <c r="Y4" s="101" t="inlineStr">
        <is>
          <t>Yes</t>
        </is>
      </c>
      <c r="Z4" s="101" t="inlineStr">
        <is>
          <t>No</t>
        </is>
      </c>
      <c r="AA4" s="101" t="n"/>
      <c r="AB4" s="101" t="n"/>
      <c r="AC4" s="101" t="n"/>
      <c r="AD4" s="101" t="n"/>
      <c r="AE4" s="101" t="n"/>
      <c r="AF4" s="101" t="n"/>
      <c r="AG4" s="101" t="n"/>
      <c r="AH4" s="101" t="n"/>
      <c r="AI4" s="101" t="n"/>
      <c r="AJ4" s="101" t="n"/>
      <c r="AK4" s="101" t="n"/>
      <c r="AL4" s="101" t="n"/>
      <c r="AM4" s="101" t="n"/>
      <c r="AN4" s="101" t="n"/>
      <c r="AO4" s="101" t="n"/>
      <c r="AP4" s="101" t="n"/>
      <c r="AQ4" s="101" t="n"/>
      <c r="AR4" s="101" t="n"/>
      <c r="AS4" s="104" t="n"/>
    </row>
    <row r="5" ht="26" customHeight="1" s="59">
      <c r="A5" s="100" t="inlineStr">
        <is>
          <t>BOYNE USA INC</t>
        </is>
      </c>
      <c r="B5" s="101" t="inlineStr">
        <is>
          <t>DRCT - 000723- VREL</t>
        </is>
      </c>
      <c r="C5" s="101" t="inlineStr">
        <is>
          <t>SCBYNHGLDS</t>
        </is>
      </c>
      <c r="D5" s="101" t="n"/>
      <c r="E5" s="101" t="n"/>
      <c r="F5" s="101" t="inlineStr">
        <is>
          <t>CP</t>
        </is>
      </c>
      <c r="G5" s="101" t="inlineStr">
        <is>
          <t>Susan</t>
        </is>
      </c>
      <c r="H5" s="101" t="inlineStr">
        <is>
          <t>Hospitality</t>
        </is>
      </c>
      <c r="I5" s="34" t="n">
        <v>252196.4004900001</v>
      </c>
      <c r="J5" s="34" t="n">
        <v>336261.8673200002</v>
      </c>
      <c r="K5" s="101" t="inlineStr">
        <is>
          <t>Tier 2</t>
        </is>
      </c>
      <c r="L5" s="101" t="n">
        <v>17</v>
      </c>
      <c r="M5" s="14" t="n">
        <v>1</v>
      </c>
      <c r="N5" s="14" t="n">
        <v>0</v>
      </c>
      <c r="O5" s="101" t="n">
        <v>0.05</v>
      </c>
      <c r="P5" s="101" t="inlineStr">
        <is>
          <t>Avery Churchwell</t>
        </is>
      </c>
      <c r="Q5" s="101" t="inlineStr">
        <is>
          <t>Michelle Weddington</t>
        </is>
      </c>
      <c r="R5" s="101" t="inlineStr">
        <is>
          <t>Melissa Douglas</t>
        </is>
      </c>
      <c r="S5" s="101" t="n"/>
      <c r="T5" s="101" t="inlineStr">
        <is>
          <t>1 Canadian location</t>
        </is>
      </c>
      <c r="U5" s="101" t="inlineStr">
        <is>
          <t>FreedomPay</t>
        </is>
      </c>
      <c r="V5" s="101" t="inlineStr">
        <is>
          <t>Agilysys, RTP</t>
        </is>
      </c>
      <c r="W5" s="101" t="inlineStr">
        <is>
          <t>Swipe Simple B250 &amp; FB Terminals</t>
        </is>
      </c>
      <c r="X5" s="101" t="inlineStr">
        <is>
          <t>Mashgin</t>
        </is>
      </c>
      <c r="Y5" s="101" t="inlineStr">
        <is>
          <t>Flaik</t>
        </is>
      </c>
      <c r="Z5" s="101" t="n"/>
      <c r="AA5" s="101" t="n"/>
      <c r="AB5" s="101" t="n"/>
      <c r="AC5" s="101" t="n"/>
      <c r="AD5" s="101" t="n"/>
      <c r="AE5" s="101" t="n"/>
      <c r="AF5" s="101" t="inlineStr">
        <is>
          <t>MISSING</t>
        </is>
      </c>
      <c r="AG5" s="101" t="n"/>
      <c r="AH5" s="101" t="n"/>
      <c r="AI5" s="101" t="n"/>
      <c r="AJ5" s="101" t="n"/>
      <c r="AK5" s="101" t="n"/>
      <c r="AL5" s="101" t="n"/>
      <c r="AM5" s="101" t="n"/>
      <c r="AN5" s="101" t="n"/>
      <c r="AO5" s="101" t="n"/>
      <c r="AP5" s="101" t="n"/>
      <c r="AQ5" s="101" t="n"/>
      <c r="AR5" s="101" t="n"/>
      <c r="AS5" s="104" t="n"/>
    </row>
    <row r="6">
      <c r="A6" s="100" t="inlineStr">
        <is>
          <t>CHOICE HOTELS</t>
        </is>
      </c>
      <c r="B6" s="101" t="n"/>
      <c r="C6" s="101" t="n"/>
      <c r="D6" s="101" t="inlineStr">
        <is>
          <t>CH2019</t>
        </is>
      </c>
      <c r="E6" s="101" t="n"/>
      <c r="F6" s="101" t="inlineStr">
        <is>
          <t>CP</t>
        </is>
      </c>
      <c r="G6" s="101" t="inlineStr">
        <is>
          <t>Susan</t>
        </is>
      </c>
      <c r="H6" s="101" t="inlineStr">
        <is>
          <t>Hospitality</t>
        </is>
      </c>
      <c r="I6" s="34" t="n">
        <v>1422373.611799999</v>
      </c>
      <c r="J6" s="34" t="n">
        <v>1896498.149066666</v>
      </c>
      <c r="K6" s="101" t="inlineStr">
        <is>
          <t>Tier 2</t>
        </is>
      </c>
      <c r="L6" s="101" t="n"/>
      <c r="M6" s="14" t="n">
        <v>0</v>
      </c>
      <c r="N6" s="14" t="n">
        <v>1</v>
      </c>
      <c r="O6" s="101" t="inlineStr">
        <is>
          <t>No</t>
        </is>
      </c>
      <c r="P6" s="101" t="inlineStr">
        <is>
          <t>Brian Wood</t>
        </is>
      </c>
      <c r="Q6" s="101" t="inlineStr">
        <is>
          <t>Michelle Weddington</t>
        </is>
      </c>
      <c r="R6" s="101" t="n"/>
      <c r="S6" s="101" t="n"/>
      <c r="T6" s="101" t="inlineStr">
        <is>
          <t>Deconverting</t>
        </is>
      </c>
      <c r="U6" s="101" t="inlineStr">
        <is>
          <t>Shift4</t>
        </is>
      </c>
      <c r="V6" s="101" t="n"/>
      <c r="W6" s="101" t="n"/>
      <c r="X6" s="101" t="n"/>
      <c r="Y6" s="101" t="inlineStr">
        <is>
          <t>Yes</t>
        </is>
      </c>
      <c r="Z6" s="101" t="inlineStr">
        <is>
          <t>No</t>
        </is>
      </c>
      <c r="AA6" s="101" t="n"/>
      <c r="AB6" s="101" t="n"/>
      <c r="AC6" s="101" t="n"/>
      <c r="AD6" s="101" t="n"/>
      <c r="AE6" s="101" t="n"/>
      <c r="AF6" s="101" t="n"/>
      <c r="AG6" s="101" t="n"/>
      <c r="AH6" s="101" t="n"/>
      <c r="AI6" s="101" t="n"/>
      <c r="AJ6" s="101" t="n"/>
      <c r="AK6" s="101" t="n"/>
      <c r="AL6" s="101" t="n"/>
      <c r="AM6" s="101" t="n"/>
      <c r="AN6" s="101" t="n"/>
      <c r="AO6" s="101" t="n"/>
      <c r="AP6" s="101" t="n"/>
      <c r="AQ6" s="101" t="n"/>
      <c r="AR6" s="101" t="n"/>
      <c r="AS6" s="104" t="n"/>
    </row>
    <row r="7" ht="39" customHeight="1" s="59">
      <c r="A7" s="100" t="inlineStr">
        <is>
          <t>CHURCHS CHICKEN 558</t>
        </is>
      </c>
      <c r="B7" s="101" t="inlineStr">
        <is>
          <t>DRCT - 006011- VREL</t>
        </is>
      </c>
      <c r="C7" s="101" t="inlineStr">
        <is>
          <t>S000002085, S000002083, SC0CHURCHA</t>
        </is>
      </c>
      <c r="D7" s="101" t="inlineStr">
        <is>
          <t>CHRCKN</t>
        </is>
      </c>
      <c r="E7" s="101" t="inlineStr">
        <is>
          <t>N000089</t>
        </is>
      </c>
      <c r="F7" s="101" t="inlineStr">
        <is>
          <t>CP</t>
        </is>
      </c>
      <c r="G7" s="101" t="inlineStr">
        <is>
          <t>Susan</t>
        </is>
      </c>
      <c r="H7" s="101" t="inlineStr">
        <is>
          <t>Hospitality</t>
        </is>
      </c>
      <c r="I7" s="34" t="n">
        <v>658127.70825</v>
      </c>
      <c r="J7" s="34" t="n">
        <v>877503.611</v>
      </c>
      <c r="K7" s="101" t="inlineStr">
        <is>
          <t>Tier 2</t>
        </is>
      </c>
      <c r="L7" s="101" t="n">
        <v>832</v>
      </c>
      <c r="M7" s="14" t="n">
        <v>0.2</v>
      </c>
      <c r="N7" s="14" t="n">
        <v>0.8</v>
      </c>
      <c r="O7" s="101" t="n"/>
      <c r="P7" s="101" t="inlineStr">
        <is>
          <t>Maggie Lenhart</t>
        </is>
      </c>
      <c r="Q7" s="101" t="inlineStr">
        <is>
          <t>Michelle Weddington</t>
        </is>
      </c>
      <c r="R7" s="101" t="inlineStr">
        <is>
          <t>Melissa Douglas</t>
        </is>
      </c>
      <c r="S7" s="101" t="inlineStr">
        <is>
          <t>Gaynor Baker</t>
        </is>
      </c>
      <c r="T7" s="101" t="n"/>
      <c r="U7" s="101" t="inlineStr">
        <is>
          <t>QuPOS</t>
        </is>
      </c>
      <c r="V7" s="101" t="inlineStr">
        <is>
          <t>Aurus</t>
        </is>
      </c>
      <c r="W7" s="101" t="inlineStr">
        <is>
          <t>Lane 3000</t>
        </is>
      </c>
      <c r="X7" s="101" t="inlineStr">
        <is>
          <t>Pilot with Bite (Express)</t>
        </is>
      </c>
      <c r="Y7" s="101" t="inlineStr">
        <is>
          <t>Olo</t>
        </is>
      </c>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4" t="n"/>
    </row>
    <row r="8" ht="39" customHeight="1" s="59">
      <c r="A8" s="100" t="inlineStr">
        <is>
          <t>CRACKER BARREL OLD COUNTRY STORE, INC.</t>
        </is>
      </c>
      <c r="B8" s="101" t="n"/>
      <c r="C8" s="101" t="inlineStr">
        <is>
          <t>0F6695, 0XX626</t>
        </is>
      </c>
      <c r="D8" s="101" t="n"/>
      <c r="E8" s="101" t="n"/>
      <c r="F8" s="101" t="inlineStr">
        <is>
          <t>CP</t>
        </is>
      </c>
      <c r="G8" s="101" t="inlineStr">
        <is>
          <t>Susan</t>
        </is>
      </c>
      <c r="H8" s="101" t="inlineStr">
        <is>
          <t>Hospitality</t>
        </is>
      </c>
      <c r="I8" s="34" t="n">
        <v>775765.3531000012</v>
      </c>
      <c r="J8" s="34" t="n">
        <v>1034353.804133335</v>
      </c>
      <c r="K8" s="101" t="inlineStr">
        <is>
          <t>Tier 2</t>
        </is>
      </c>
      <c r="L8" s="101" t="n">
        <v>600</v>
      </c>
      <c r="M8" s="14" t="n">
        <v>1</v>
      </c>
      <c r="N8" s="14" t="n">
        <v>0</v>
      </c>
      <c r="O8" s="101" t="inlineStr">
        <is>
          <t>No</t>
        </is>
      </c>
      <c r="P8" s="101" t="inlineStr">
        <is>
          <t>Brian Wood</t>
        </is>
      </c>
      <c r="Q8" s="101" t="inlineStr">
        <is>
          <t>Michelle Weddington</t>
        </is>
      </c>
      <c r="R8" s="101" t="inlineStr">
        <is>
          <t>Melissa Douglas</t>
        </is>
      </c>
      <c r="S8" s="101" t="n"/>
      <c r="T8" s="101" t="inlineStr">
        <is>
          <t>In Conversion for new POS with FP</t>
        </is>
      </c>
      <c r="U8" s="101" t="inlineStr">
        <is>
          <t>RAFT 610 for POS, Express for OLO ISV for mobile, and eComm is on VAP.  Moving to Oracle Symphony</t>
        </is>
      </c>
      <c r="V8" s="101" t="inlineStr">
        <is>
          <t>FreedomPay</t>
        </is>
      </c>
      <c r="W8" s="101" t="n"/>
      <c r="X8" s="101" t="n"/>
      <c r="Y8" s="101" t="inlineStr">
        <is>
          <t>Yes</t>
        </is>
      </c>
      <c r="Z8" s="101" t="inlineStr">
        <is>
          <t>No</t>
        </is>
      </c>
      <c r="AA8" s="101" t="n"/>
      <c r="AB8" s="101" t="n"/>
      <c r="AC8" s="101" t="n"/>
      <c r="AD8" s="101" t="n"/>
      <c r="AE8" s="101" t="n"/>
      <c r="AF8" s="101" t="n"/>
      <c r="AG8" s="101" t="n"/>
      <c r="AH8" s="101" t="n"/>
      <c r="AI8" s="101" t="n"/>
      <c r="AJ8" s="101" t="n"/>
      <c r="AK8" s="101" t="n"/>
      <c r="AL8" s="101" t="n"/>
      <c r="AM8" s="101" t="n"/>
      <c r="AN8" s="101" t="n"/>
      <c r="AO8" s="101" t="n"/>
      <c r="AP8" s="101" t="n"/>
      <c r="AQ8" s="101" t="n"/>
      <c r="AR8" s="101" t="n"/>
      <c r="AS8" s="104" t="n"/>
    </row>
    <row r="9" ht="26" customHeight="1" s="59">
      <c r="A9" s="100" t="inlineStr">
        <is>
          <t>DEL TACO LLC</t>
        </is>
      </c>
      <c r="B9" s="101" t="inlineStr">
        <is>
          <t>DRCT - 006020- VREL</t>
        </is>
      </c>
      <c r="C9" s="101" t="inlineStr">
        <is>
          <t>S000001636</t>
        </is>
      </c>
      <c r="D9" s="101" t="inlineStr">
        <is>
          <t>DLTACO</t>
        </is>
      </c>
      <c r="E9" s="101" t="n"/>
      <c r="F9" s="101" t="inlineStr">
        <is>
          <t>CP</t>
        </is>
      </c>
      <c r="G9" s="101" t="inlineStr">
        <is>
          <t>Susan</t>
        </is>
      </c>
      <c r="H9" s="101" t="inlineStr">
        <is>
          <t>Hospitality</t>
        </is>
      </c>
      <c r="I9" s="34" t="n">
        <v>559666.2787000004</v>
      </c>
      <c r="J9" s="34" t="n">
        <v>746221.7049333338</v>
      </c>
      <c r="K9" s="101" t="inlineStr">
        <is>
          <t>Tier 2</t>
        </is>
      </c>
      <c r="L9" s="101" t="n">
        <v>537</v>
      </c>
      <c r="M9" s="14" t="n">
        <v>0.3</v>
      </c>
      <c r="N9" s="14" t="n">
        <v>0.7</v>
      </c>
      <c r="O9" s="101" t="n"/>
      <c r="P9" s="101" t="inlineStr">
        <is>
          <t>Maggie Lenhart</t>
        </is>
      </c>
      <c r="Q9" s="101" t="inlineStr">
        <is>
          <t>Michelle Weddington</t>
        </is>
      </c>
      <c r="R9" s="101" t="inlineStr">
        <is>
          <t>Melissa Douglas</t>
        </is>
      </c>
      <c r="S9" s="101" t="inlineStr">
        <is>
          <t>Gaynor Baker</t>
        </is>
      </c>
      <c r="T9" s="101" t="n"/>
      <c r="U9" s="101" t="inlineStr">
        <is>
          <t>NCR</t>
        </is>
      </c>
      <c r="V9" s="101" t="inlineStr">
        <is>
          <t>NCR Connected Payments</t>
        </is>
      </c>
      <c r="W9" s="101" t="n"/>
      <c r="X9" s="101" t="inlineStr">
        <is>
          <t>Bite (Express)</t>
        </is>
      </c>
      <c r="Y9" s="101" t="inlineStr">
        <is>
          <t>OLO corporate</t>
        </is>
      </c>
      <c r="Z9" s="101" t="inlineStr">
        <is>
          <t>We don't have all Franchise locations. Multiple acquirers utilized.  OloPay</t>
        </is>
      </c>
      <c r="AA9" s="101" t="n"/>
      <c r="AB9" s="101" t="n"/>
      <c r="AC9" s="101" t="n"/>
      <c r="AD9" s="101" t="n"/>
      <c r="AE9" s="101" t="n"/>
      <c r="AF9" s="101" t="n"/>
      <c r="AG9" s="101" t="n"/>
      <c r="AH9" s="101" t="n"/>
      <c r="AI9" s="101" t="n"/>
      <c r="AJ9" s="101" t="n"/>
      <c r="AK9" s="101" t="n"/>
      <c r="AL9" s="101" t="n"/>
      <c r="AM9" s="101" t="n"/>
      <c r="AN9" s="101" t="n"/>
      <c r="AO9" s="101" t="n"/>
      <c r="AP9" s="101" t="n"/>
      <c r="AQ9" s="101" t="n"/>
      <c r="AR9" s="101" t="n"/>
      <c r="AS9" s="104" t="n"/>
    </row>
    <row r="10" ht="26" customHeight="1" s="59">
      <c r="A10" s="100" t="inlineStr">
        <is>
          <t>DOMINO'S PIZZA</t>
        </is>
      </c>
      <c r="B10" s="101" t="inlineStr">
        <is>
          <t>DRCT - 001429- VREL</t>
        </is>
      </c>
      <c r="C10" s="101" t="inlineStr">
        <is>
          <t>SCNDMNOPZA</t>
        </is>
      </c>
      <c r="D10" s="101" t="n"/>
      <c r="E10" s="101" t="inlineStr">
        <is>
          <t>NDMNPZA</t>
        </is>
      </c>
      <c r="F10" s="101" t="inlineStr">
        <is>
          <t>CP</t>
        </is>
      </c>
      <c r="G10" s="101" t="inlineStr">
        <is>
          <t>Susan</t>
        </is>
      </c>
      <c r="H10" s="101" t="inlineStr">
        <is>
          <t>Hospitality</t>
        </is>
      </c>
      <c r="I10" s="34" t="n">
        <v>6034262.601999998</v>
      </c>
      <c r="J10" s="34" t="n">
        <v>8045683.46933333</v>
      </c>
      <c r="K10" s="101" t="inlineStr">
        <is>
          <t>Tier 1</t>
        </is>
      </c>
      <c r="L10" s="101" t="n">
        <v>7000</v>
      </c>
      <c r="M10" s="14" t="n">
        <v>0.05</v>
      </c>
      <c r="N10" s="14" t="n">
        <v>0.95</v>
      </c>
      <c r="O10" s="101" t="inlineStr">
        <is>
          <t>Yes</t>
        </is>
      </c>
      <c r="P10" s="101" t="inlineStr">
        <is>
          <t>Stacie Davis</t>
        </is>
      </c>
      <c r="Q10" s="101" t="inlineStr">
        <is>
          <t>Greg Cappel</t>
        </is>
      </c>
      <c r="R10" s="101" t="inlineStr">
        <is>
          <t>Melissa Douglas</t>
        </is>
      </c>
      <c r="S10" s="101" t="inlineStr">
        <is>
          <t>Gaynor Baker</t>
        </is>
      </c>
      <c r="T10" s="101" t="n"/>
      <c r="U10" s="101" t="inlineStr">
        <is>
          <t>Proprietary</t>
        </is>
      </c>
      <c r="V10" s="101" t="inlineStr">
        <is>
          <t>ACI/Cybersource</t>
        </is>
      </c>
      <c r="W10" s="101" t="inlineStr">
        <is>
          <t>Ingenico, Variable</t>
        </is>
      </c>
      <c r="X10" s="101" t="inlineStr">
        <is>
          <t>Yes</t>
        </is>
      </c>
      <c r="Y10" s="101" t="inlineStr">
        <is>
          <t>Yes</t>
        </is>
      </c>
      <c r="Z10" s="101" t="n"/>
      <c r="AA10" s="101" t="n"/>
      <c r="AB10" s="101" t="n"/>
      <c r="AC10" s="101" t="n"/>
      <c r="AD10" s="101" t="n"/>
      <c r="AE10" s="101" t="n"/>
      <c r="AF10" s="101" t="n"/>
      <c r="AG10" s="101" t="n"/>
      <c r="AH10" s="101" t="n"/>
      <c r="AI10" s="101" t="n"/>
      <c r="AJ10" s="101" t="n"/>
      <c r="AK10" s="101" t="n"/>
      <c r="AL10" s="101" t="n"/>
      <c r="AM10" s="101" t="n"/>
      <c r="AN10" s="101" t="n"/>
      <c r="AO10" s="101" t="n"/>
      <c r="AP10" s="101" t="n"/>
      <c r="AQ10" s="101" t="n"/>
      <c r="AR10" s="101" t="n"/>
      <c r="AS10" s="104" t="n"/>
    </row>
    <row r="11" ht="26" customHeight="1" s="59">
      <c r="A11" s="100" t="inlineStr">
        <is>
          <t>Dutch Bros</t>
        </is>
      </c>
      <c r="B11" s="101" t="inlineStr">
        <is>
          <t>DRCT - 007676- VREL</t>
        </is>
      </c>
      <c r="C11" s="101" t="inlineStr">
        <is>
          <t>S000005309</t>
        </is>
      </c>
      <c r="D11" s="101" t="inlineStr">
        <is>
          <t>DUTCHB</t>
        </is>
      </c>
      <c r="E11" s="101" t="inlineStr">
        <is>
          <t>N001348</t>
        </is>
      </c>
      <c r="F11" s="101" t="inlineStr">
        <is>
          <t>CP</t>
        </is>
      </c>
      <c r="G11" s="101" t="inlineStr">
        <is>
          <t>Susan</t>
        </is>
      </c>
      <c r="H11" s="101" t="inlineStr">
        <is>
          <t>Hospitality</t>
        </is>
      </c>
      <c r="I11" s="34" t="n"/>
      <c r="J11" s="34" t="n">
        <v>1400000</v>
      </c>
      <c r="K11" s="101" t="inlineStr">
        <is>
          <t>Tier 1</t>
        </is>
      </c>
      <c r="L11" s="101" t="n">
        <v>1316</v>
      </c>
      <c r="M11" s="14" t="n">
        <v>0.72</v>
      </c>
      <c r="N11" s="14" t="n">
        <v>0.28</v>
      </c>
      <c r="O11" s="101" t="n"/>
      <c r="P11" s="101" t="inlineStr">
        <is>
          <t>Maggie Lenhart</t>
        </is>
      </c>
      <c r="Q11" s="101" t="inlineStr">
        <is>
          <t>Michelle Weddington</t>
        </is>
      </c>
      <c r="R11" s="101" t="inlineStr">
        <is>
          <t>Melissa Douglas</t>
        </is>
      </c>
      <c r="S11" s="101" t="inlineStr">
        <is>
          <t>Gaynor Baker</t>
        </is>
      </c>
      <c r="T11" s="101" t="n"/>
      <c r="U11" s="101" t="inlineStr">
        <is>
          <t>Xenial Cloud POS</t>
        </is>
      </c>
      <c r="V11" s="101" t="inlineStr">
        <is>
          <t>Verifone SCA Gateway</t>
        </is>
      </c>
      <c r="W11" s="101" t="inlineStr">
        <is>
          <t>Verifone e285 (Xenial iPads)</t>
        </is>
      </c>
      <c r="X11" s="101" t="n"/>
      <c r="Y11" s="101" t="n"/>
      <c r="Z11" s="101" t="inlineStr">
        <is>
          <t>OloPay, Braintree, Paytronix</t>
        </is>
      </c>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4" t="n"/>
    </row>
    <row r="12" ht="39" customHeight="1" s="59">
      <c r="A12" s="100" t="inlineStr">
        <is>
          <t>EAT'N PARK HOSPITALITY GRP INC</t>
        </is>
      </c>
      <c r="B12" s="101" t="inlineStr">
        <is>
          <t>DRCT - 00073880</t>
        </is>
      </c>
      <c r="C12" s="101" t="n">
        <v>72452</v>
      </c>
      <c r="D12" s="101" t="n"/>
      <c r="E12" s="101" t="n"/>
      <c r="F12" s="101" t="inlineStr">
        <is>
          <t>CP</t>
        </is>
      </c>
      <c r="G12" s="101" t="inlineStr">
        <is>
          <t>Susan</t>
        </is>
      </c>
      <c r="H12" s="101" t="inlineStr">
        <is>
          <t>Hospitality</t>
        </is>
      </c>
      <c r="I12" s="34" t="n">
        <v>235629.40641</v>
      </c>
      <c r="J12" s="34" t="n">
        <v>314172.54188</v>
      </c>
      <c r="K12" s="101" t="inlineStr">
        <is>
          <t>Tier 2</t>
        </is>
      </c>
      <c r="L12" s="101" t="n">
        <v>137</v>
      </c>
      <c r="M12" s="14" t="n">
        <v>1</v>
      </c>
      <c r="N12" s="14" t="n">
        <v>0</v>
      </c>
      <c r="O12" s="101" t="n">
        <v>0</v>
      </c>
      <c r="P12" s="101" t="inlineStr">
        <is>
          <t>Avery Churchwell</t>
        </is>
      </c>
      <c r="Q12" s="101" t="inlineStr">
        <is>
          <t>Ashlee Strete</t>
        </is>
      </c>
      <c r="R12" s="101" t="inlineStr">
        <is>
          <t>Melissa Douglas</t>
        </is>
      </c>
      <c r="S12" s="101" t="n"/>
      <c r="T12" s="101" t="inlineStr">
        <is>
          <t>Four concepts under EAPK - VAR is based on concept. Parkhurst was on IP but is converting to Core</t>
        </is>
      </c>
      <c r="U12" s="101" t="inlineStr">
        <is>
          <t>FreedomPay, Tillster, Olo</t>
        </is>
      </c>
      <c r="V12" s="101" t="inlineStr">
        <is>
          <t>Oracle Simphony, PayMyTab, Catertrax</t>
        </is>
      </c>
      <c r="W12" s="101" t="inlineStr">
        <is>
          <t>Desk 3500s, T650c</t>
        </is>
      </c>
      <c r="X12" s="101" t="n"/>
      <c r="Y12" s="101" t="inlineStr">
        <is>
          <t>Olo, Tillster (wallets), Nextep</t>
        </is>
      </c>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4" t="n"/>
    </row>
    <row r="13">
      <c r="A13" s="100" t="inlineStr">
        <is>
          <t>FESTIVA REAL ESTATE HOLDINGS</t>
        </is>
      </c>
      <c r="B13" s="101" t="n"/>
      <c r="C13" s="101" t="inlineStr">
        <is>
          <t>SCFESTIVAG</t>
        </is>
      </c>
      <c r="D13" s="101" t="n"/>
      <c r="E13" s="101" t="n"/>
      <c r="F13" s="101" t="inlineStr">
        <is>
          <t>CP</t>
        </is>
      </c>
      <c r="G13" s="101" t="inlineStr">
        <is>
          <t>Susan</t>
        </is>
      </c>
      <c r="H13" s="101" t="inlineStr">
        <is>
          <t>Hospitality</t>
        </is>
      </c>
      <c r="I13" s="34" t="n">
        <v>383181.434033</v>
      </c>
      <c r="J13" s="34" t="n">
        <v>510908.5787106667</v>
      </c>
      <c r="K13" s="101" t="inlineStr">
        <is>
          <t>Tier 2</t>
        </is>
      </c>
      <c r="L13" s="101" t="n"/>
      <c r="M13" s="14" t="n"/>
      <c r="N13" s="14" t="n"/>
      <c r="O13" s="101" t="inlineStr">
        <is>
          <t>No</t>
        </is>
      </c>
      <c r="P13" s="101" t="inlineStr">
        <is>
          <t>Brian Wood</t>
        </is>
      </c>
      <c r="Q13" s="101" t="inlineStr">
        <is>
          <t>Michelle Weddington</t>
        </is>
      </c>
      <c r="R13" s="101" t="n"/>
      <c r="S13" s="101" t="n"/>
      <c r="T13" s="101" t="inlineStr">
        <is>
          <t>Formerly part of Choice Hotels</t>
        </is>
      </c>
      <c r="U13" s="101" t="inlineStr">
        <is>
          <t>Shift4 &amp; other</t>
        </is>
      </c>
      <c r="V13" s="101" t="inlineStr">
        <is>
          <t>Shift4 &amp; other</t>
        </is>
      </c>
      <c r="W13" s="101" t="n"/>
      <c r="X13" s="101" t="n"/>
      <c r="Y13" s="101" t="inlineStr">
        <is>
          <t>Yes</t>
        </is>
      </c>
      <c r="Z13" s="101" t="inlineStr">
        <is>
          <t>No</t>
        </is>
      </c>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4" t="n"/>
    </row>
    <row r="14">
      <c r="A14" s="100" t="inlineStr">
        <is>
          <t>FIREHOUSE RESTAURANT</t>
        </is>
      </c>
      <c r="B14" s="101" t="n"/>
      <c r="C14" s="101" t="inlineStr">
        <is>
          <t>SCFHSUBSCO</t>
        </is>
      </c>
      <c r="D14" s="101" t="inlineStr">
        <is>
          <t>FHSUBS</t>
        </is>
      </c>
      <c r="E14" s="101" t="inlineStr">
        <is>
          <t>NFHSUBS</t>
        </is>
      </c>
      <c r="F14" s="101" t="inlineStr">
        <is>
          <t>CP</t>
        </is>
      </c>
      <c r="G14" s="101" t="inlineStr">
        <is>
          <t>Susan</t>
        </is>
      </c>
      <c r="H14" s="101" t="inlineStr">
        <is>
          <t>Hospitality</t>
        </is>
      </c>
      <c r="I14" s="34" t="n">
        <v>646798.5981999997</v>
      </c>
      <c r="J14" s="34" t="n">
        <v>862398.130933333</v>
      </c>
      <c r="K14" s="101" t="inlineStr">
        <is>
          <t>Tier 2</t>
        </is>
      </c>
      <c r="L14" s="101" t="n">
        <v>1200</v>
      </c>
      <c r="M14" s="14" t="n">
        <v>0.1</v>
      </c>
      <c r="N14" s="14" t="n">
        <v>0.9</v>
      </c>
      <c r="O14" s="101" t="inlineStr">
        <is>
          <t>No</t>
        </is>
      </c>
      <c r="P14" s="101" t="inlineStr">
        <is>
          <t>Brian Wood</t>
        </is>
      </c>
      <c r="Q14" s="101" t="inlineStr">
        <is>
          <t>Greg Cappel</t>
        </is>
      </c>
      <c r="R14" s="101" t="inlineStr">
        <is>
          <t>Melissa Douglas</t>
        </is>
      </c>
      <c r="S14" s="101" t="inlineStr">
        <is>
          <t>Gaynor Baker</t>
        </is>
      </c>
      <c r="T14" s="101" t="inlineStr">
        <is>
          <t>GC in-store eGiftify via Toast</t>
        </is>
      </c>
      <c r="U14" s="101" t="inlineStr">
        <is>
          <t>Toast</t>
        </is>
      </c>
      <c r="V14" s="101" t="inlineStr">
        <is>
          <t>Toast</t>
        </is>
      </c>
      <c r="W14" s="101" t="n"/>
      <c r="X14" s="101" t="n"/>
      <c r="Y14" s="101" t="inlineStr">
        <is>
          <t>Yes, CP No</t>
        </is>
      </c>
      <c r="Z14" s="101" t="inlineStr">
        <is>
          <t>No</t>
        </is>
      </c>
      <c r="AA14" s="101" t="n"/>
      <c r="AB14" s="101" t="n"/>
      <c r="AC14" s="101" t="n"/>
      <c r="AD14" s="101" t="n"/>
      <c r="AE14" s="101" t="n"/>
      <c r="AF14" s="101" t="n"/>
      <c r="AG14" s="101" t="n"/>
      <c r="AH14" s="101" t="n"/>
      <c r="AI14" s="101" t="n"/>
      <c r="AJ14" s="101" t="n"/>
      <c r="AK14" s="101" t="n"/>
      <c r="AL14" s="101" t="n"/>
      <c r="AM14" s="101" t="n"/>
      <c r="AN14" s="101" t="n"/>
      <c r="AO14" s="101" t="n"/>
      <c r="AP14" s="101" t="n"/>
      <c r="AQ14" s="101" t="n"/>
      <c r="AR14" s="101" t="n"/>
      <c r="AS14" s="104" t="n"/>
    </row>
    <row r="15" ht="26" customHeight="1" s="59">
      <c r="A15" s="100" t="inlineStr">
        <is>
          <t>FIVE GUYS</t>
        </is>
      </c>
      <c r="B15" s="101" t="inlineStr">
        <is>
          <t>DRCT - 001783- VREL</t>
        </is>
      </c>
      <c r="C15" s="101" t="inlineStr">
        <is>
          <t>S5GUYSFRAN/ 0M9131</t>
        </is>
      </c>
      <c r="D15" s="101" t="inlineStr">
        <is>
          <t>5GUYS</t>
        </is>
      </c>
      <c r="E15" s="101" t="inlineStr">
        <is>
          <t>NB5GUYS</t>
        </is>
      </c>
      <c r="F15" s="101" t="inlineStr">
        <is>
          <t>CP</t>
        </is>
      </c>
      <c r="G15" s="101" t="inlineStr">
        <is>
          <t>Susan</t>
        </is>
      </c>
      <c r="H15" s="101" t="inlineStr">
        <is>
          <t>Hospitality</t>
        </is>
      </c>
      <c r="I15" s="34" t="n">
        <v>1965606.73958453</v>
      </c>
      <c r="J15" s="34" t="n">
        <v>2620808.986112706</v>
      </c>
      <c r="K15" s="101" t="inlineStr">
        <is>
          <t>Tier 1</t>
        </is>
      </c>
      <c r="L15" s="101" t="n">
        <v>1500</v>
      </c>
      <c r="M15" s="14" t="n">
        <v>0.4</v>
      </c>
      <c r="N15" s="14" t="n">
        <v>0.6</v>
      </c>
      <c r="O15" s="101" t="n">
        <v>0</v>
      </c>
      <c r="P15" s="101" t="inlineStr">
        <is>
          <t>Avery Churchwell</t>
        </is>
      </c>
      <c r="Q15" s="101" t="inlineStr">
        <is>
          <t>Ashlee Strete</t>
        </is>
      </c>
      <c r="R15" s="101" t="inlineStr">
        <is>
          <t>Melissa Douglas</t>
        </is>
      </c>
      <c r="S15" s="101" t="inlineStr">
        <is>
          <t>Anne-Marie Cloutier</t>
        </is>
      </c>
      <c r="T15" s="101" t="inlineStr">
        <is>
          <t>Int'l stores, not with WP</t>
        </is>
      </c>
      <c r="U15" s="101" t="inlineStr">
        <is>
          <t>Par, Verifone SCA, Olo</t>
        </is>
      </c>
      <c r="V15" s="101" t="inlineStr">
        <is>
          <t>PAR</t>
        </is>
      </c>
      <c r="W15" s="101" t="inlineStr">
        <is>
          <t>M400s</t>
        </is>
      </c>
      <c r="X15" s="101" t="inlineStr">
        <is>
          <t>LineTen</t>
        </is>
      </c>
      <c r="Y15" s="101" t="inlineStr">
        <is>
          <t>Olo</t>
        </is>
      </c>
      <c r="Z15" s="101" t="n"/>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4" t="n"/>
    </row>
    <row r="16" ht="169" customHeight="1" s="59">
      <c r="A16" s="100" t="inlineStr">
        <is>
          <t>Focus Brands (GoTo Foods)</t>
        </is>
      </c>
      <c r="B16" s="101" t="n"/>
      <c r="C16" s="101" t="n"/>
      <c r="D16" s="101" t="inlineStr">
        <is>
          <t>ANTANN - Auntie Anne's
CARVEL - Carvel
CINBON – Cinnabon
CSWIRL – Cinnabon Swirl
JAMBA - Jamba
MCADEL - McAlister's
MOESSW - Moe's
SCHLKY - Schlotzsky's</t>
        </is>
      </c>
      <c r="E16" s="101" t="inlineStr">
        <is>
          <t>NCARVEL - Carvel
NANTANN - Auntie Anne's
NCINBON - Cinnabon
CCSWIRL - Cinnabon Swirl
N0JAMBA - Jamba
NMCADEL - McAlister's
NMOESSW - Moe's
NSCHLKY - Schlotzsky's</t>
        </is>
      </c>
      <c r="F16" s="101" t="inlineStr">
        <is>
          <t>CP</t>
        </is>
      </c>
      <c r="G16" s="101" t="inlineStr">
        <is>
          <t>Susan</t>
        </is>
      </c>
      <c r="H16" s="101" t="inlineStr">
        <is>
          <t>Hospitality</t>
        </is>
      </c>
      <c r="I16" s="34" t="n">
        <v>493273.2181129481</v>
      </c>
      <c r="J16" s="34" t="n">
        <v>657697.6241505975</v>
      </c>
      <c r="K16" s="101" t="inlineStr">
        <is>
          <t>Tier 2</t>
        </is>
      </c>
      <c r="L16" s="101" t="n">
        <v>2600</v>
      </c>
      <c r="M16" s="14" t="n"/>
      <c r="N16" s="14" t="inlineStr">
        <is>
          <t>YES</t>
        </is>
      </c>
      <c r="O16" s="101" t="inlineStr">
        <is>
          <t>No</t>
        </is>
      </c>
      <c r="P16" s="101" t="inlineStr">
        <is>
          <t>Brian Wood</t>
        </is>
      </c>
      <c r="Q16" s="101" t="inlineStr">
        <is>
          <t>Ashlee Strete</t>
        </is>
      </c>
      <c r="R16" s="101" t="inlineStr">
        <is>
          <t>Melissa Douglas</t>
        </is>
      </c>
      <c r="S16" s="101" t="inlineStr">
        <is>
          <t>Anne-Marie Cloutier</t>
        </is>
      </c>
      <c r="T16" s="101" t="inlineStr">
        <is>
          <t>FreedomPay</t>
        </is>
      </c>
      <c r="U16" s="101" t="inlineStr">
        <is>
          <t>FreedomPay (in-store), OLO (online), Monkey Media (catering), moving all to Qu</t>
        </is>
      </c>
      <c r="V16" s="101" t="inlineStr">
        <is>
          <t>FreedomPay</t>
        </is>
      </c>
      <c r="W16" s="101" t="n"/>
      <c r="X16" s="101" t="inlineStr">
        <is>
          <t>8 MIDs have Verifone</t>
        </is>
      </c>
      <c r="Y16" s="101" t="inlineStr">
        <is>
          <t>Yes</t>
        </is>
      </c>
      <c r="Z16" s="101" t="inlineStr">
        <is>
          <t>No</t>
        </is>
      </c>
      <c r="AA16" s="101" t="n"/>
      <c r="AB16" s="101" t="n"/>
      <c r="AC16" s="101" t="n"/>
      <c r="AD16" s="101" t="n"/>
      <c r="AE16" s="101" t="n"/>
      <c r="AF16" s="101" t="n"/>
      <c r="AG16" s="101" t="n"/>
      <c r="AH16" s="101" t="n"/>
      <c r="AI16" s="101" t="n"/>
      <c r="AJ16" s="101" t="n"/>
      <c r="AK16" s="101" t="n"/>
      <c r="AL16" s="101" t="n"/>
      <c r="AM16" s="101" t="n"/>
      <c r="AN16" s="101" t="n"/>
      <c r="AO16" s="101" t="n"/>
      <c r="AP16" s="101" t="n"/>
      <c r="AQ16" s="101" t="n"/>
      <c r="AR16" s="101" t="n"/>
      <c r="AS16" s="104" t="n">
        <v>110000000</v>
      </c>
    </row>
    <row r="17" ht="26" customHeight="1" s="59">
      <c r="A17" s="100" t="inlineStr">
        <is>
          <t>FREDDY'S FROZEN CUSTARD LLC</t>
        </is>
      </c>
      <c r="B17" s="101" t="inlineStr">
        <is>
          <t>DRCT - 001867- VREL</t>
        </is>
      </c>
      <c r="C17" s="101" t="inlineStr">
        <is>
          <t>S000000027</t>
        </is>
      </c>
      <c r="D17" s="101" t="inlineStr">
        <is>
          <t>FREFRO</t>
        </is>
      </c>
      <c r="E17" s="101" t="inlineStr">
        <is>
          <t>N001420</t>
        </is>
      </c>
      <c r="F17" s="101" t="inlineStr">
        <is>
          <t>CP</t>
        </is>
      </c>
      <c r="G17" s="101" t="inlineStr">
        <is>
          <t>Susan</t>
        </is>
      </c>
      <c r="H17" s="101" t="inlineStr">
        <is>
          <t>Hospitality</t>
        </is>
      </c>
      <c r="I17" s="34" t="n">
        <v>261286.7743999996</v>
      </c>
      <c r="J17" s="34" t="n">
        <v>348382.3658666662</v>
      </c>
      <c r="K17" s="101" t="inlineStr">
        <is>
          <t>Tier 2</t>
        </is>
      </c>
      <c r="L17" s="101" t="n">
        <v>500</v>
      </c>
      <c r="M17" s="14" t="n">
        <v>0.1</v>
      </c>
      <c r="N17" s="14" t="n">
        <v>0.9</v>
      </c>
      <c r="O17" s="101" t="n">
        <v>0</v>
      </c>
      <c r="P17" s="101" t="inlineStr">
        <is>
          <t>Avery Churchwell</t>
        </is>
      </c>
      <c r="Q17" s="101" t="inlineStr">
        <is>
          <t>Deb Cunningham</t>
        </is>
      </c>
      <c r="R17" s="101" t="inlineStr">
        <is>
          <t>Melissa Douglas</t>
        </is>
      </c>
      <c r="S17" s="101" t="n"/>
      <c r="T17" s="101" t="inlineStr">
        <is>
          <t>Beginning to move to franchise pod</t>
        </is>
      </c>
      <c r="U17" s="101" t="inlineStr">
        <is>
          <t>PAR Brink (VAR -Verifone Classic)</t>
        </is>
      </c>
      <c r="V17" s="101" t="inlineStr">
        <is>
          <t>PAR Brink</t>
        </is>
      </c>
      <c r="W17" s="101" t="inlineStr">
        <is>
          <t>P400s and E285</t>
        </is>
      </c>
      <c r="X17" s="101" t="n"/>
      <c r="Y17" s="101" t="n"/>
      <c r="Z17" s="101" t="inlineStr">
        <is>
          <t>OloPay</t>
        </is>
      </c>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4" t="n"/>
    </row>
    <row r="18" ht="39" customHeight="1" s="59">
      <c r="A18" s="100" t="inlineStr">
        <is>
          <t>GOLDEN CORRAL</t>
        </is>
      </c>
      <c r="B18" s="101" t="inlineStr">
        <is>
          <t>DRCT - 006011- VREL</t>
        </is>
      </c>
      <c r="C18" s="101" t="inlineStr">
        <is>
          <t>SCGDCRFRAN, SCGOLDENCR, SCGDCRHOME</t>
        </is>
      </c>
      <c r="D18" s="101" t="inlineStr">
        <is>
          <t>GOLCOR</t>
        </is>
      </c>
      <c r="E18" s="101" t="inlineStr">
        <is>
          <t>NGOLCOR</t>
        </is>
      </c>
      <c r="F18" s="101" t="inlineStr">
        <is>
          <t>CP</t>
        </is>
      </c>
      <c r="G18" s="101" t="inlineStr">
        <is>
          <t>Susan</t>
        </is>
      </c>
      <c r="H18" s="101" t="inlineStr">
        <is>
          <t>Hospitality</t>
        </is>
      </c>
      <c r="I18" s="34" t="n">
        <v>752621.4497</v>
      </c>
      <c r="J18" s="34" t="n">
        <v>1003495.266266667</v>
      </c>
      <c r="K18" s="101" t="inlineStr">
        <is>
          <t>Tier 2</t>
        </is>
      </c>
      <c r="L18" s="101" t="n">
        <v>640</v>
      </c>
      <c r="M18" s="14" t="n">
        <v>0.01</v>
      </c>
      <c r="N18" s="14" t="n">
        <v>0.99</v>
      </c>
      <c r="O18" s="101" t="n"/>
      <c r="P18" s="101" t="inlineStr">
        <is>
          <t>Maggie Lenhart</t>
        </is>
      </c>
      <c r="Q18" s="101" t="inlineStr">
        <is>
          <t>Michelle Weddington</t>
        </is>
      </c>
      <c r="R18" s="101" t="inlineStr">
        <is>
          <t>Melissa Douglas</t>
        </is>
      </c>
      <c r="S18" s="101" t="inlineStr">
        <is>
          <t>Gaynor Baker</t>
        </is>
      </c>
      <c r="T18" s="101" t="n"/>
      <c r="U18" s="101" t="inlineStr">
        <is>
          <t>QuPOS</t>
        </is>
      </c>
      <c r="V18" s="101" t="inlineStr">
        <is>
          <t>Aurus</t>
        </is>
      </c>
      <c r="W18" s="101" t="n"/>
      <c r="X18" s="101" t="n"/>
      <c r="Y18" s="101" t="inlineStr">
        <is>
          <t>Olo</t>
        </is>
      </c>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4" t="n"/>
    </row>
    <row r="19" ht="26" customHeight="1" s="59">
      <c r="A19" s="100" t="inlineStr">
        <is>
          <t>GRAETERS</t>
        </is>
      </c>
      <c r="B19" s="101" t="inlineStr">
        <is>
          <t>DRCT - 002101- VREL</t>
        </is>
      </c>
      <c r="C19" s="101" t="inlineStr">
        <is>
          <t>S000006768</t>
        </is>
      </c>
      <c r="D19" s="101" t="n"/>
      <c r="E19" s="101" t="n"/>
      <c r="F19" s="101" t="inlineStr">
        <is>
          <t>CP</t>
        </is>
      </c>
      <c r="G19" s="101" t="inlineStr">
        <is>
          <t>Susan</t>
        </is>
      </c>
      <c r="H19" s="101" t="inlineStr">
        <is>
          <t>Hospitality</t>
        </is>
      </c>
      <c r="I19" s="34" t="n">
        <v>283860.713798</v>
      </c>
      <c r="J19" s="34" t="n">
        <v>378480.9517306666</v>
      </c>
      <c r="K19" s="101" t="inlineStr">
        <is>
          <t>Tier 2</t>
        </is>
      </c>
      <c r="L19" s="101" t="n">
        <v>67</v>
      </c>
      <c r="M19" s="14" t="n">
        <v>1</v>
      </c>
      <c r="N19" s="14" t="n">
        <v>0</v>
      </c>
      <c r="O19" s="101" t="n"/>
      <c r="P19" s="101" t="inlineStr">
        <is>
          <t>Maggie Lenhart</t>
        </is>
      </c>
      <c r="Q19" s="101" t="inlineStr">
        <is>
          <t>Ashlee Strete</t>
        </is>
      </c>
      <c r="R19" s="101" t="inlineStr">
        <is>
          <t>Melissa Douglas</t>
        </is>
      </c>
      <c r="S19" s="101" t="n"/>
      <c r="T19" s="101" t="n"/>
      <c r="U19" s="101" t="inlineStr">
        <is>
          <t>Brink</t>
        </is>
      </c>
      <c r="V19" s="101" t="inlineStr">
        <is>
          <t>Brink Software</t>
        </is>
      </c>
      <c r="W19" s="101" t="n"/>
      <c r="X19" s="101" t="n"/>
      <c r="Y19" s="101" t="inlineStr">
        <is>
          <t>Olo</t>
        </is>
      </c>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4" t="n"/>
    </row>
    <row r="20" ht="26" customHeight="1" s="59">
      <c r="A20" s="100" t="inlineStr">
        <is>
          <t>LAROSA'S INC</t>
        </is>
      </c>
      <c r="B20" s="101" t="inlineStr">
        <is>
          <t>DRCT - 002844- VREL</t>
        </is>
      </c>
      <c r="C20" s="101" t="inlineStr">
        <is>
          <t>SCLAROSAZZ</t>
        </is>
      </c>
      <c r="D20" s="101" t="n"/>
      <c r="E20" s="101" t="n"/>
      <c r="F20" s="101" t="inlineStr">
        <is>
          <t>CP</t>
        </is>
      </c>
      <c r="G20" s="101" t="inlineStr">
        <is>
          <t>Susan</t>
        </is>
      </c>
      <c r="H20" s="101" t="inlineStr">
        <is>
          <t>Hospitality</t>
        </is>
      </c>
      <c r="I20" s="34" t="n">
        <v>364928.6947299999</v>
      </c>
      <c r="J20" s="34" t="n">
        <v>486571.5929733332</v>
      </c>
      <c r="K20" s="101" t="inlineStr">
        <is>
          <t>Tier 2</t>
        </is>
      </c>
      <c r="L20" s="101" t="n">
        <v>76</v>
      </c>
      <c r="M20" s="14" t="n">
        <v>0.26</v>
      </c>
      <c r="N20" s="14" t="n">
        <v>0.74</v>
      </c>
      <c r="O20" s="101" t="n"/>
      <c r="P20" s="101" t="inlineStr">
        <is>
          <t>Maggie Lenhart</t>
        </is>
      </c>
      <c r="Q20" s="101" t="inlineStr">
        <is>
          <t>Ashlee Strete</t>
        </is>
      </c>
      <c r="R20" s="101" t="inlineStr">
        <is>
          <t>Melissa Douglas</t>
        </is>
      </c>
      <c r="S20" s="101" t="n"/>
      <c r="T20" s="101" t="n"/>
      <c r="U20" s="101" t="inlineStr">
        <is>
          <t>Point of Sale.Cloud</t>
        </is>
      </c>
      <c r="V20" s="101" t="inlineStr">
        <is>
          <t>Mainstreet Monetray, TriPOS</t>
        </is>
      </c>
      <c r="W20" s="101" t="inlineStr">
        <is>
          <t>Varies-majority are non-EMV through Montera</t>
        </is>
      </c>
      <c r="X20" s="101" t="n"/>
      <c r="Y20" s="101" t="inlineStr">
        <is>
          <t>Same as instore</t>
        </is>
      </c>
      <c r="Z20" s="101" t="n"/>
      <c r="AA20" s="101" t="n"/>
      <c r="AB20" s="101" t="n"/>
      <c r="AC20" s="101" t="n"/>
      <c r="AD20" s="101" t="n"/>
      <c r="AE20" s="101" t="n"/>
      <c r="AF20" s="101" t="n"/>
      <c r="AG20" s="101" t="n"/>
      <c r="AH20" s="101" t="n"/>
      <c r="AI20" s="101" t="n"/>
      <c r="AJ20" s="101" t="n"/>
      <c r="AK20" s="101" t="n"/>
      <c r="AL20" s="101" t="n"/>
      <c r="AM20" s="101" t="n"/>
      <c r="AN20" s="101" t="n"/>
      <c r="AO20" s="101" t="n"/>
      <c r="AP20" s="101" t="n"/>
      <c r="AQ20" s="101" t="n"/>
      <c r="AR20" s="101" t="n"/>
      <c r="AS20" s="104" t="n"/>
    </row>
    <row r="21" ht="26" customHeight="1" s="59">
      <c r="A21" s="100" t="inlineStr">
        <is>
          <t>LATRELLES MANAGEMENT CORP (Bullritos)</t>
        </is>
      </c>
      <c r="B21" s="101" t="inlineStr">
        <is>
          <t>DRCT - 010312- VREL</t>
        </is>
      </c>
      <c r="C21" s="101" t="inlineStr">
        <is>
          <t>S0LATRELLE</t>
        </is>
      </c>
      <c r="D21" s="101" t="n"/>
      <c r="E21" s="101" t="n"/>
      <c r="F21" s="101" t="inlineStr">
        <is>
          <t>CP</t>
        </is>
      </c>
      <c r="G21" s="101" t="inlineStr">
        <is>
          <t>Susan</t>
        </is>
      </c>
      <c r="H21" s="101" t="inlineStr">
        <is>
          <t>Hospitality</t>
        </is>
      </c>
      <c r="I21" s="34" t="n">
        <v>241138.569088</v>
      </c>
      <c r="J21" s="34" t="n">
        <v>321518.0921173333</v>
      </c>
      <c r="K21" s="101" t="inlineStr">
        <is>
          <t>Tier 2</t>
        </is>
      </c>
      <c r="L21" s="101" t="n">
        <v>35</v>
      </c>
      <c r="M21" s="14" t="n">
        <v>1</v>
      </c>
      <c r="N21" s="14" t="n">
        <v>0</v>
      </c>
      <c r="O21" s="101" t="n">
        <v>0</v>
      </c>
      <c r="P21" s="101" t="inlineStr">
        <is>
          <t>Avery Churchwell</t>
        </is>
      </c>
      <c r="Q21" s="101" t="inlineStr">
        <is>
          <t>Michelle Weddington</t>
        </is>
      </c>
      <c r="R21" s="101" t="inlineStr">
        <is>
          <t>Melissa Douglas</t>
        </is>
      </c>
      <c r="S21" s="101" t="n"/>
      <c r="T21" s="101" t="n"/>
      <c r="U21" s="101" t="inlineStr">
        <is>
          <t>NCR Aloha/Connected Payments</t>
        </is>
      </c>
      <c r="V21" s="101" t="inlineStr">
        <is>
          <t>NCR Aloha</t>
        </is>
      </c>
      <c r="W21" s="101" t="n"/>
      <c r="X21" s="101" t="n"/>
      <c r="Y21" s="101" t="n"/>
      <c r="Z21" s="101" t="n"/>
      <c r="AA21" s="101" t="n"/>
      <c r="AB21" s="101" t="n"/>
      <c r="AC21" s="101" t="n"/>
      <c r="AD21" s="101" t="n"/>
      <c r="AE21" s="101" t="n"/>
      <c r="AF21" s="101" t="n"/>
      <c r="AG21" s="101" t="n"/>
      <c r="AH21" s="101" t="n"/>
      <c r="AI21" s="101" t="n"/>
      <c r="AJ21" s="101" t="n"/>
      <c r="AK21" s="101" t="n"/>
      <c r="AL21" s="101" t="n"/>
      <c r="AM21" s="101" t="n"/>
      <c r="AN21" s="101" t="n"/>
      <c r="AO21" s="101" t="n"/>
      <c r="AP21" s="101" t="n"/>
      <c r="AQ21" s="101" t="n"/>
      <c r="AR21" s="101" t="n"/>
      <c r="AS21" s="104" t="n"/>
    </row>
    <row r="22" ht="26" customHeight="1" s="59">
      <c r="A22" s="100" t="inlineStr">
        <is>
          <t>LITTLE CAESARS ENTERPRISE INC</t>
        </is>
      </c>
      <c r="B22" s="101" t="inlineStr">
        <is>
          <t>DRCT - 002926- VREL</t>
        </is>
      </c>
      <c r="C22" s="101" t="inlineStr">
        <is>
          <t>SCLITCSARS/ 071106</t>
        </is>
      </c>
      <c r="D22" s="101" t="inlineStr">
        <is>
          <t>LCEI</t>
        </is>
      </c>
      <c r="E22" s="101" t="inlineStr">
        <is>
          <t>NLITCSR</t>
        </is>
      </c>
      <c r="F22" s="101" t="inlineStr">
        <is>
          <t>CP</t>
        </is>
      </c>
      <c r="G22" s="101" t="inlineStr">
        <is>
          <t>Susan</t>
        </is>
      </c>
      <c r="H22" s="101" t="inlineStr">
        <is>
          <t>Hospitality</t>
        </is>
      </c>
      <c r="I22" s="34" t="n">
        <v>4946098.475699998</v>
      </c>
      <c r="J22" s="34" t="n">
        <v>6594797.967599997</v>
      </c>
      <c r="K22" s="101" t="inlineStr">
        <is>
          <t>Tier 1</t>
        </is>
      </c>
      <c r="L22" s="101" t="n">
        <v>4200</v>
      </c>
      <c r="M22" s="14" t="n">
        <v>0.1</v>
      </c>
      <c r="N22" s="14" t="n">
        <v>0.9</v>
      </c>
      <c r="O22" s="101" t="n">
        <v>0</v>
      </c>
      <c r="P22" s="101" t="inlineStr">
        <is>
          <t>Avery Churchwell</t>
        </is>
      </c>
      <c r="Q22" s="101" t="inlineStr">
        <is>
          <t>Ashlee Strete</t>
        </is>
      </c>
      <c r="R22" s="101" t="inlineStr">
        <is>
          <t>Sam Merkle</t>
        </is>
      </c>
      <c r="S22" s="101" t="inlineStr">
        <is>
          <t>Anne-Marie Cloutier</t>
        </is>
      </c>
      <c r="T22" s="101" t="inlineStr">
        <is>
          <t>Int'l stores, not with WP</t>
        </is>
      </c>
      <c r="U22" s="101" t="inlineStr">
        <is>
          <t>CaesarVision</t>
        </is>
      </c>
      <c r="V22" s="101" t="inlineStr">
        <is>
          <t>CaesarVision (via Verifone SCA)</t>
        </is>
      </c>
      <c r="W22" s="101" t="inlineStr">
        <is>
          <t>M400s and P400s</t>
        </is>
      </c>
      <c r="X22" s="101" t="inlineStr">
        <is>
          <t>Mashgin</t>
        </is>
      </c>
      <c r="Y22" s="101" t="inlineStr">
        <is>
          <t>CaesarVision (via eProtect)</t>
        </is>
      </c>
      <c r="Z22" s="101" t="n"/>
      <c r="AA22" s="101" t="n"/>
      <c r="AB22" s="101" t="n"/>
      <c r="AC22" s="101" t="n"/>
      <c r="AD22" s="101" t="n"/>
      <c r="AE22" s="101" t="n"/>
      <c r="AF22" s="101" t="n"/>
      <c r="AG22" s="101" t="n"/>
      <c r="AH22" s="101" t="n"/>
      <c r="AI22" s="101" t="n"/>
      <c r="AJ22" s="101" t="n"/>
      <c r="AK22" s="101" t="n"/>
      <c r="AL22" s="101" t="n"/>
      <c r="AM22" s="101" t="n"/>
      <c r="AN22" s="101" t="n"/>
      <c r="AO22" s="101" t="n"/>
      <c r="AP22" s="101" t="n"/>
      <c r="AQ22" s="101" t="n"/>
      <c r="AR22" s="101" t="n"/>
      <c r="AS22" s="104" t="n"/>
    </row>
    <row r="23">
      <c r="A23" s="100" t="inlineStr">
        <is>
          <t>MILLLER'S ALE HOUSE</t>
        </is>
      </c>
      <c r="B23" s="101" t="inlineStr">
        <is>
          <t>DRCT - 00235448</t>
        </is>
      </c>
      <c r="C23" s="101" t="inlineStr">
        <is>
          <t>02131A</t>
        </is>
      </c>
      <c r="D23" s="101" t="n"/>
      <c r="E23" s="101" t="n"/>
      <c r="F23" s="101" t="inlineStr">
        <is>
          <t>CP</t>
        </is>
      </c>
      <c r="G23" s="101" t="inlineStr">
        <is>
          <t>Susan</t>
        </is>
      </c>
      <c r="H23" s="101" t="inlineStr">
        <is>
          <t>Hospitality</t>
        </is>
      </c>
      <c r="I23" s="34" t="n">
        <v>182432</v>
      </c>
      <c r="J23" s="34" t="n">
        <v>243243</v>
      </c>
      <c r="K23" s="101" t="inlineStr">
        <is>
          <t>Tier 2</t>
        </is>
      </c>
      <c r="L23" s="101" t="n">
        <v>112</v>
      </c>
      <c r="M23" s="14" t="n">
        <v>1</v>
      </c>
      <c r="N23" s="14" t="n">
        <v>0</v>
      </c>
      <c r="O23" s="101" t="n">
        <v>0</v>
      </c>
      <c r="P23" s="101" t="inlineStr">
        <is>
          <t>Avery Churchwell</t>
        </is>
      </c>
      <c r="Q23" s="101" t="inlineStr">
        <is>
          <t>Michelle Weddington</t>
        </is>
      </c>
      <c r="R23" s="101" t="inlineStr">
        <is>
          <t>Melissa Douglas</t>
        </is>
      </c>
      <c r="S23" s="101" t="n"/>
      <c r="T23" s="101" t="inlineStr">
        <is>
          <t>CNP has moved to Olo direct</t>
        </is>
      </c>
      <c r="U23" s="101" t="inlineStr">
        <is>
          <t>NCR Connected Payments, Ziosk</t>
        </is>
      </c>
      <c r="V23" s="101" t="inlineStr">
        <is>
          <t>NCR, Ziosk</t>
        </is>
      </c>
      <c r="W23" s="101" t="inlineStr">
        <is>
          <t>Swipe Simple B250 &amp; NCR Terminals</t>
        </is>
      </c>
      <c r="X23" s="101" t="n"/>
      <c r="Y23" s="101" t="n"/>
      <c r="Z23" s="101" t="inlineStr">
        <is>
          <t>OloPay</t>
        </is>
      </c>
      <c r="AA23" s="101" t="n"/>
      <c r="AB23" s="101" t="n"/>
      <c r="AC23" s="101" t="n"/>
      <c r="AD23" s="101" t="n"/>
      <c r="AE23" s="101" t="n"/>
      <c r="AF23" s="101" t="n"/>
      <c r="AG23" s="101" t="n"/>
      <c r="AH23" s="101" t="n"/>
      <c r="AI23" s="101" t="n"/>
      <c r="AJ23" s="101" t="n"/>
      <c r="AK23" s="101" t="n"/>
      <c r="AL23" s="101" t="n"/>
      <c r="AM23" s="101" t="n"/>
      <c r="AN23" s="101" t="n"/>
      <c r="AO23" s="101" t="n"/>
      <c r="AP23" s="101" t="n"/>
      <c r="AQ23" s="101" t="n"/>
      <c r="AR23" s="101" t="n"/>
      <c r="AS23" s="104" t="n"/>
    </row>
    <row r="24" ht="26" customHeight="1" s="59">
      <c r="A24" s="100" t="inlineStr">
        <is>
          <t>PAPA JOHN'S USA, INC.</t>
        </is>
      </c>
      <c r="B24" s="101" t="n"/>
      <c r="C24" s="101" t="inlineStr">
        <is>
          <t>SCPAPACORP/0T3849</t>
        </is>
      </c>
      <c r="D24" s="101" t="inlineStr">
        <is>
          <t>PAPAJN &amp; PAPCAD</t>
        </is>
      </c>
      <c r="E24" s="101" t="inlineStr">
        <is>
          <t>NPAPASJ, NPAPCAD</t>
        </is>
      </c>
      <c r="F24" s="101" t="inlineStr">
        <is>
          <t>CP</t>
        </is>
      </c>
      <c r="G24" s="101" t="inlineStr">
        <is>
          <t>Susan</t>
        </is>
      </c>
      <c r="H24" s="101" t="inlineStr">
        <is>
          <t>Hospitality</t>
        </is>
      </c>
      <c r="I24" s="34" t="n">
        <v>2382458.324000003</v>
      </c>
      <c r="J24" s="34" t="n">
        <v>3176611.098666671</v>
      </c>
      <c r="K24" s="101" t="inlineStr">
        <is>
          <t>Tier 1</t>
        </is>
      </c>
      <c r="L24" s="101" t="n">
        <v>3300</v>
      </c>
      <c r="M24" s="14" t="n">
        <v>0.15</v>
      </c>
      <c r="N24" s="14" t="n">
        <v>0.85</v>
      </c>
      <c r="O24" s="101" t="inlineStr">
        <is>
          <t>Yes</t>
        </is>
      </c>
      <c r="P24" s="101" t="inlineStr">
        <is>
          <t>Brian Wood</t>
        </is>
      </c>
      <c r="Q24" s="101" t="inlineStr">
        <is>
          <t>Ashlee Strete</t>
        </is>
      </c>
      <c r="R24" s="101" t="inlineStr">
        <is>
          <t>Melissa Douglas</t>
        </is>
      </c>
      <c r="S24" s="101" t="inlineStr">
        <is>
          <t>Anne-Marie Cloutier</t>
        </is>
      </c>
      <c r="T24" s="101" t="inlineStr">
        <is>
          <t>Evaluating Gateway/POS options</t>
        </is>
      </c>
      <c r="U24" s="101" t="inlineStr">
        <is>
          <t>Mainstreet Monetra</t>
        </is>
      </c>
      <c r="V24" s="101" t="inlineStr">
        <is>
          <t>Mainstreet Monetra</t>
        </is>
      </c>
      <c r="W24" s="101" t="inlineStr">
        <is>
          <t>Ingenico Lane 3000/ipp320/Lane 3600</t>
        </is>
      </c>
      <c r="X24" s="101" t="n"/>
      <c r="Y24" s="101" t="inlineStr">
        <is>
          <t>Yes</t>
        </is>
      </c>
      <c r="Z24" s="101" t="inlineStr">
        <is>
          <t>No</t>
        </is>
      </c>
      <c r="AA24" s="101" t="n"/>
      <c r="AB24" s="101" t="n"/>
      <c r="AC24" s="101" t="n"/>
      <c r="AD24" s="101" t="n"/>
      <c r="AE24" s="101" t="n"/>
      <c r="AF24" s="101" t="n"/>
      <c r="AG24" s="101" t="n"/>
      <c r="AH24" s="101" t="n"/>
      <c r="AI24" s="101" t="n"/>
      <c r="AJ24" s="101" t="n"/>
      <c r="AK24" s="101" t="n"/>
      <c r="AL24" s="101" t="n"/>
      <c r="AM24" s="101" t="n"/>
      <c r="AN24" s="101" t="n"/>
      <c r="AO24" s="101" t="n"/>
      <c r="AP24" s="101" t="n"/>
      <c r="AQ24" s="101" t="n"/>
      <c r="AR24" s="101" t="n"/>
      <c r="AS24" s="104" t="n"/>
    </row>
    <row r="25" ht="52" customHeight="1" s="59">
      <c r="A25" s="100" t="inlineStr">
        <is>
          <t>Red Robin</t>
        </is>
      </c>
      <c r="B25" s="101" t="inlineStr">
        <is>
          <t>IPP - 004107- VREL, IPP - 007950- IPREL, DRCT - 006112- VREL</t>
        </is>
      </c>
      <c r="C25" s="101" t="inlineStr">
        <is>
          <t>SCREDROBIN/0N1781</t>
        </is>
      </c>
      <c r="D25" s="101" t="inlineStr">
        <is>
          <t>RRGB</t>
        </is>
      </c>
      <c r="E25" s="101" t="n"/>
      <c r="F25" s="101" t="inlineStr">
        <is>
          <t>CP</t>
        </is>
      </c>
      <c r="G25" s="101" t="inlineStr">
        <is>
          <t>Susan</t>
        </is>
      </c>
      <c r="H25" s="101" t="inlineStr">
        <is>
          <t>Hospitality</t>
        </is>
      </c>
      <c r="I25" s="34" t="n"/>
      <c r="J25" s="34" t="n">
        <v>315000</v>
      </c>
      <c r="K25" s="101" t="inlineStr">
        <is>
          <t>Tier 2</t>
        </is>
      </c>
      <c r="L25" s="101" t="n">
        <v>500</v>
      </c>
      <c r="M25" s="14" t="n">
        <v>0.9</v>
      </c>
      <c r="N25" s="14" t="n">
        <v>0.1</v>
      </c>
      <c r="O25" s="101" t="n">
        <v>0</v>
      </c>
      <c r="P25" s="101" t="inlineStr">
        <is>
          <t>Avery Churchwell</t>
        </is>
      </c>
      <c r="Q25" s="101" t="inlineStr">
        <is>
          <t>Ashlee Strete</t>
        </is>
      </c>
      <c r="R25" s="101" t="inlineStr">
        <is>
          <t>Melissa Douglas</t>
        </is>
      </c>
      <c r="S25" s="101" t="n"/>
      <c r="T25" s="101" t="n"/>
      <c r="U25" s="101" t="inlineStr">
        <is>
          <t>Ziosk, NCR Aloha and Olo for eCom</t>
        </is>
      </c>
      <c r="V25" s="101" t="inlineStr">
        <is>
          <t>NCR, Ziosk</t>
        </is>
      </c>
      <c r="W25" s="101" t="n"/>
      <c r="X25" s="101" t="n"/>
      <c r="Y25" s="101" t="inlineStr">
        <is>
          <t>Monkey Media, Olo, Bounteous (wallet)</t>
        </is>
      </c>
      <c r="Z25" s="101" t="n"/>
      <c r="AA25" s="101" t="n"/>
      <c r="AB25" s="101" t="n"/>
      <c r="AC25" s="101" t="n"/>
      <c r="AD25" s="101" t="n"/>
      <c r="AE25" s="101" t="n"/>
      <c r="AF25" s="101" t="n"/>
      <c r="AG25" s="101" t="n"/>
      <c r="AH25" s="101" t="n"/>
      <c r="AI25" s="101" t="n"/>
      <c r="AJ25" s="101" t="n"/>
      <c r="AK25" s="101" t="n"/>
      <c r="AL25" s="101" t="n"/>
      <c r="AM25" s="101" t="n"/>
      <c r="AN25" s="101" t="n"/>
      <c r="AO25" s="101" t="n"/>
      <c r="AP25" s="101" t="n"/>
      <c r="AQ25" s="101" t="n"/>
      <c r="AR25" s="101" t="n"/>
      <c r="AS25" s="104" t="n"/>
    </row>
    <row r="26" ht="26" customHeight="1" s="59">
      <c r="A26" s="100" t="inlineStr">
        <is>
          <t>SLIM CHICKENS</t>
        </is>
      </c>
      <c r="B26" s="101" t="inlineStr">
        <is>
          <t>DRCT - 007749- VREL</t>
        </is>
      </c>
      <c r="C26" s="101" t="inlineStr">
        <is>
          <t>S000004054</t>
        </is>
      </c>
      <c r="D26" s="101" t="inlineStr">
        <is>
          <t>SLMCKN</t>
        </is>
      </c>
      <c r="E26" s="101" t="inlineStr">
        <is>
          <t>N001421</t>
        </is>
      </c>
      <c r="F26" s="101" t="inlineStr">
        <is>
          <t>CP</t>
        </is>
      </c>
      <c r="G26" s="101" t="inlineStr">
        <is>
          <t>Susan</t>
        </is>
      </c>
      <c r="H26" s="101" t="inlineStr">
        <is>
          <t>Hospitality</t>
        </is>
      </c>
      <c r="I26" s="34" t="n"/>
      <c r="J26" s="34" t="n"/>
      <c r="K26" s="101" t="inlineStr">
        <is>
          <t>Tier 2</t>
        </is>
      </c>
      <c r="L26" s="101" t="n">
        <v>250</v>
      </c>
      <c r="M26" s="14" t="n">
        <v>0.8</v>
      </c>
      <c r="N26" s="14" t="n">
        <v>0.2</v>
      </c>
      <c r="O26" s="101" t="n">
        <v>0</v>
      </c>
      <c r="P26" s="101" t="inlineStr">
        <is>
          <t>Avery Churchwell</t>
        </is>
      </c>
      <c r="Q26" s="101" t="inlineStr">
        <is>
          <t>Deb Cunningham</t>
        </is>
      </c>
      <c r="R26" s="101" t="inlineStr">
        <is>
          <t>Melissa Douglas</t>
        </is>
      </c>
      <c r="S26" s="101" t="n"/>
      <c r="T26" s="101" t="n"/>
      <c r="U26" s="101" t="inlineStr">
        <is>
          <t>PAR Brink (VAR - Verifone Classic) and Olo</t>
        </is>
      </c>
      <c r="V26" s="101" t="inlineStr">
        <is>
          <t>PAR Brink</t>
        </is>
      </c>
      <c r="W26" s="101" t="inlineStr">
        <is>
          <t>P400 and E285</t>
        </is>
      </c>
      <c r="X26" s="101" t="inlineStr">
        <is>
          <t>PAR - Lane 300s</t>
        </is>
      </c>
      <c r="Y26" s="101" t="inlineStr">
        <is>
          <t>Olo</t>
        </is>
      </c>
      <c r="Z26" s="101" t="n"/>
      <c r="AA26" s="101" t="n"/>
      <c r="AB26" s="101" t="n"/>
      <c r="AC26" s="101" t="n"/>
      <c r="AD26" s="101" t="n"/>
      <c r="AE26" s="101" t="n"/>
      <c r="AF26" s="101" t="n"/>
      <c r="AG26" s="101" t="n"/>
      <c r="AH26" s="101" t="n"/>
      <c r="AI26" s="101" t="n"/>
      <c r="AJ26" s="101" t="n"/>
      <c r="AK26" s="101" t="n"/>
      <c r="AL26" s="101" t="n"/>
      <c r="AM26" s="101" t="n"/>
      <c r="AN26" s="101" t="n"/>
      <c r="AO26" s="101" t="n"/>
      <c r="AP26" s="101" t="n"/>
      <c r="AQ26" s="101" t="n"/>
      <c r="AR26" s="101" t="n"/>
      <c r="AS26" s="104" t="n"/>
    </row>
    <row r="27">
      <c r="A27" s="100" t="inlineStr">
        <is>
          <t>STARBUCKS CORPORATION</t>
        </is>
      </c>
      <c r="B27" s="101" t="inlineStr">
        <is>
          <t>DRCT - 02432125</t>
        </is>
      </c>
      <c r="C27" s="101" t="inlineStr">
        <is>
          <t>NSTBKUS</t>
        </is>
      </c>
      <c r="D27" s="101" t="n"/>
      <c r="E27" s="101" t="inlineStr">
        <is>
          <t>NSTBKUS</t>
        </is>
      </c>
      <c r="F27" s="101" t="inlineStr">
        <is>
          <t>CP</t>
        </is>
      </c>
      <c r="G27" s="101" t="inlineStr">
        <is>
          <t>Susan</t>
        </is>
      </c>
      <c r="H27" s="101" t="inlineStr">
        <is>
          <t>Hospitality</t>
        </is>
      </c>
      <c r="I27" s="34" t="n">
        <v>28197.93468896606</v>
      </c>
      <c r="J27" s="34" t="n">
        <v>4000000</v>
      </c>
      <c r="K27" s="101" t="inlineStr">
        <is>
          <t>Tier 1</t>
        </is>
      </c>
      <c r="L27" s="101" t="n">
        <v>10000</v>
      </c>
      <c r="M27" s="14" t="n">
        <v>1</v>
      </c>
      <c r="N27" s="14" t="inlineStr">
        <is>
          <t>Licensed</t>
        </is>
      </c>
      <c r="O27" s="101" t="inlineStr">
        <is>
          <t>yes</t>
        </is>
      </c>
      <c r="P27" s="101" t="inlineStr">
        <is>
          <t>Stacie Davis</t>
        </is>
      </c>
      <c r="Q27" s="101" t="inlineStr">
        <is>
          <t>Greg Cappel</t>
        </is>
      </c>
      <c r="R27" s="101" t="inlineStr">
        <is>
          <t>Melissa Douglas</t>
        </is>
      </c>
      <c r="S27" s="101" t="n"/>
      <c r="T27" s="101" t="inlineStr">
        <is>
          <t>only 20% volume comes to WP</t>
        </is>
      </c>
      <c r="U27" s="101" t="inlineStr">
        <is>
          <t>VF PWC</t>
        </is>
      </c>
      <c r="V27" s="101" t="n"/>
      <c r="W27" s="101" t="inlineStr">
        <is>
          <t>Verifone, Variable</t>
        </is>
      </c>
      <c r="X27" s="101" t="inlineStr">
        <is>
          <t>Yes</t>
        </is>
      </c>
      <c r="Y27" s="101" t="inlineStr">
        <is>
          <t>Yes</t>
        </is>
      </c>
      <c r="Z27" s="101" t="n"/>
      <c r="AA27" s="101" t="n"/>
      <c r="AB27" s="101" t="n"/>
      <c r="AC27" s="101" t="n"/>
      <c r="AD27" s="101" t="n"/>
      <c r="AE27" s="101" t="n"/>
      <c r="AF27" s="101" t="n"/>
      <c r="AG27" s="101" t="n"/>
      <c r="AH27" s="101" t="n"/>
      <c r="AI27" s="101" t="n"/>
      <c r="AJ27" s="101" t="n"/>
      <c r="AK27" s="101" t="n"/>
      <c r="AL27" s="101" t="n"/>
      <c r="AM27" s="101" t="n"/>
      <c r="AN27" s="101" t="n"/>
      <c r="AO27" s="101" t="n"/>
      <c r="AP27" s="101" t="n"/>
      <c r="AQ27" s="101" t="n"/>
      <c r="AR27" s="101" t="n"/>
      <c r="AS27" s="104" t="n"/>
    </row>
    <row r="28" ht="26" customHeight="1" s="59">
      <c r="A28" s="100" t="inlineStr">
        <is>
          <t>STATION CASINO</t>
        </is>
      </c>
      <c r="B28" s="101" t="inlineStr">
        <is>
          <t>DRCT - 010469- VREL</t>
        </is>
      </c>
      <c r="C28" s="101" t="inlineStr">
        <is>
          <t xml:space="preserve">S000008464 </t>
        </is>
      </c>
      <c r="D28" s="101" t="n"/>
      <c r="E28" s="101" t="n"/>
      <c r="F28" s="101" t="inlineStr">
        <is>
          <t>CP</t>
        </is>
      </c>
      <c r="G28" s="101" t="inlineStr">
        <is>
          <t>Susan</t>
        </is>
      </c>
      <c r="H28" s="101" t="inlineStr">
        <is>
          <t>Hospitality</t>
        </is>
      </c>
      <c r="I28" s="34" t="n"/>
      <c r="J28" s="34" t="n"/>
      <c r="K28" s="101" t="inlineStr">
        <is>
          <t>Tier 2</t>
        </is>
      </c>
      <c r="L28" s="101" t="n">
        <v>18</v>
      </c>
      <c r="M28" s="14" t="n">
        <v>1</v>
      </c>
      <c r="N28" s="14" t="n">
        <v>0</v>
      </c>
      <c r="O28" s="101" t="n">
        <v>0</v>
      </c>
      <c r="P28" s="101" t="inlineStr">
        <is>
          <t>Avery Churchwell</t>
        </is>
      </c>
      <c r="Q28" s="101" t="inlineStr">
        <is>
          <t>Kat Briggs</t>
        </is>
      </c>
      <c r="R28" s="101" t="inlineStr">
        <is>
          <t>Melissa Douglas</t>
        </is>
      </c>
      <c r="S28" s="101" t="n"/>
      <c r="T28" s="101" t="n"/>
      <c r="U28" s="101" t="inlineStr">
        <is>
          <t>FreedomPay</t>
        </is>
      </c>
      <c r="V28" s="101" t="inlineStr">
        <is>
          <t>Agilysys</t>
        </is>
      </c>
      <c r="W28" s="101" t="inlineStr">
        <is>
          <t>FP Terminals</t>
        </is>
      </c>
      <c r="X28" s="101" t="n"/>
      <c r="Y28" s="101" t="inlineStr">
        <is>
          <t>OnDemand</t>
        </is>
      </c>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4" t="n"/>
    </row>
    <row r="29" ht="26" customHeight="1" s="59">
      <c r="A29" s="100" t="inlineStr">
        <is>
          <t>SUBWAY</t>
        </is>
      </c>
      <c r="B29" s="101" t="n"/>
      <c r="C29" s="101" t="inlineStr">
        <is>
          <t>NSUBWAY</t>
        </is>
      </c>
      <c r="D29" s="101" t="inlineStr">
        <is>
          <t>SBWYFR/SUBCAN</t>
        </is>
      </c>
      <c r="E29" s="101" t="inlineStr">
        <is>
          <t>NSUBUSA/NSUBCAN</t>
        </is>
      </c>
      <c r="F29" s="101" t="inlineStr">
        <is>
          <t>CP</t>
        </is>
      </c>
      <c r="G29" s="101" t="n"/>
      <c r="H29" s="101" t="inlineStr">
        <is>
          <t>Hospitality</t>
        </is>
      </c>
      <c r="I29" s="34" t="n"/>
      <c r="J29" s="34" t="n"/>
      <c r="K29" s="101" t="inlineStr">
        <is>
          <t>Tier 1</t>
        </is>
      </c>
      <c r="L29" s="101" t="n">
        <v>20000</v>
      </c>
      <c r="M29" s="14" t="n">
        <v>0</v>
      </c>
      <c r="N29" s="14" t="n">
        <v>1</v>
      </c>
      <c r="O29" s="101" t="inlineStr">
        <is>
          <t>Yes</t>
        </is>
      </c>
      <c r="P29" s="101" t="inlineStr">
        <is>
          <t>Stacie Davis</t>
        </is>
      </c>
      <c r="Q29" s="101" t="inlineStr">
        <is>
          <t>Greg Cappel</t>
        </is>
      </c>
      <c r="R29" s="101" t="inlineStr">
        <is>
          <t>TBD</t>
        </is>
      </c>
      <c r="S29" s="101" t="inlineStr">
        <is>
          <t>Gaynor Baker</t>
        </is>
      </c>
      <c r="T29" s="101" t="inlineStr">
        <is>
          <t>Dual acquirers via FreedomPay</t>
        </is>
      </c>
      <c r="U29" s="101" t="inlineStr">
        <is>
          <t>Proprietary</t>
        </is>
      </c>
      <c r="V29" s="101" t="inlineStr">
        <is>
          <t>FreedomPay</t>
        </is>
      </c>
      <c r="W29" s="101" t="inlineStr">
        <is>
          <t>Ingenico Desk 3500</t>
        </is>
      </c>
      <c r="X29" s="101" t="inlineStr">
        <is>
          <t>Yes</t>
        </is>
      </c>
      <c r="Y29" s="101" t="inlineStr">
        <is>
          <t>Yes</t>
        </is>
      </c>
      <c r="Z29" s="101" t="n"/>
      <c r="AA29" s="101" t="n"/>
      <c r="AB29" s="101" t="n"/>
      <c r="AC29" s="101" t="n"/>
      <c r="AD29" s="101" t="n"/>
      <c r="AE29" s="101" t="n"/>
      <c r="AF29" s="101" t="n"/>
      <c r="AG29" s="101" t="n"/>
      <c r="AH29" s="101" t="n"/>
      <c r="AI29" s="101" t="n"/>
      <c r="AJ29" s="101" t="n"/>
      <c r="AK29" s="101" t="n"/>
      <c r="AL29" s="101" t="n"/>
      <c r="AM29" s="101" t="n"/>
      <c r="AN29" s="101" t="n"/>
      <c r="AO29" s="101" t="n"/>
      <c r="AP29" s="101" t="n"/>
      <c r="AQ29" s="101" t="n"/>
      <c r="AR29" s="101" t="n"/>
      <c r="AS29" s="104" t="n"/>
    </row>
    <row r="30" ht="26" customHeight="1" s="59">
      <c r="A30" s="100" t="inlineStr">
        <is>
          <t>THE STEAK N SHAKE CO</t>
        </is>
      </c>
      <c r="B30" s="101" t="inlineStr">
        <is>
          <t>DRCT - 004673- VREL</t>
        </is>
      </c>
      <c r="C30" s="101" t="inlineStr">
        <is>
          <t>SCSTKNSHKE</t>
        </is>
      </c>
      <c r="D30" s="101" t="inlineStr">
        <is>
          <t>SKNK</t>
        </is>
      </c>
      <c r="E30" s="101" t="inlineStr">
        <is>
          <t>NSTKSHK</t>
        </is>
      </c>
      <c r="F30" s="101" t="inlineStr">
        <is>
          <t>CP</t>
        </is>
      </c>
      <c r="G30" s="101" t="inlineStr">
        <is>
          <t>Susan</t>
        </is>
      </c>
      <c r="H30" s="101" t="inlineStr">
        <is>
          <t>Hospitality</t>
        </is>
      </c>
      <c r="I30" s="34" t="n">
        <v>514334.9602400001</v>
      </c>
      <c r="J30" s="34" t="n">
        <v>685779.9469866669</v>
      </c>
      <c r="K30" s="101" t="inlineStr">
        <is>
          <t>Tier 2</t>
        </is>
      </c>
      <c r="L30" s="101" t="n">
        <v>550</v>
      </c>
      <c r="M30" s="14" t="n">
        <v>0.83</v>
      </c>
      <c r="N30" s="14" t="n">
        <v>0.17</v>
      </c>
      <c r="O30" s="101" t="n"/>
      <c r="P30" s="101" t="inlineStr">
        <is>
          <t>Maggie Lenhart</t>
        </is>
      </c>
      <c r="Q30" s="101" t="inlineStr">
        <is>
          <t>Michelle Weddington</t>
        </is>
      </c>
      <c r="R30" s="101" t="inlineStr">
        <is>
          <t>Melissa Douglas</t>
        </is>
      </c>
      <c r="S30" s="101" t="inlineStr">
        <is>
          <t>Gaynor Baker</t>
        </is>
      </c>
      <c r="T30" s="101" t="n"/>
      <c r="U30" s="101" t="inlineStr">
        <is>
          <t>NCR</t>
        </is>
      </c>
      <c r="V30" s="101" t="inlineStr">
        <is>
          <t>NCR Connected Payments</t>
        </is>
      </c>
      <c r="W30" s="101" t="n"/>
      <c r="X30" s="101" t="inlineStr">
        <is>
          <t>NCR-Moving to QikServe (FreedomPay)</t>
        </is>
      </c>
      <c r="Y30" s="101" t="inlineStr">
        <is>
          <t>Olo- moving to direct Express cert with NovaTab</t>
        </is>
      </c>
      <c r="Z30" s="101" t="inlineStr">
        <is>
          <t>Moving mobile app to Direct Express Cert with NovaTab</t>
        </is>
      </c>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4" t="n"/>
    </row>
    <row r="31" ht="26" customHeight="1" s="59">
      <c r="A31" s="105" t="inlineStr">
        <is>
          <t>WENDY'S INTERNATIONAL INC</t>
        </is>
      </c>
      <c r="B31" s="106" t="inlineStr">
        <is>
          <t>DRCT - 005449- VREL</t>
        </is>
      </c>
      <c r="C31" s="106" t="inlineStr">
        <is>
          <t>NWENDYS</t>
        </is>
      </c>
      <c r="D31" s="106" t="inlineStr">
        <is>
          <t>WENDYS</t>
        </is>
      </c>
      <c r="E31" s="106" t="inlineStr">
        <is>
          <t>NWENDYS</t>
        </is>
      </c>
      <c r="F31" s="106" t="inlineStr">
        <is>
          <t>CP</t>
        </is>
      </c>
      <c r="G31" s="106" t="inlineStr">
        <is>
          <t>Susan</t>
        </is>
      </c>
      <c r="H31" s="106" t="inlineStr">
        <is>
          <t>Hospitality</t>
        </is>
      </c>
      <c r="I31" s="35" t="n">
        <v>3462603.688000003</v>
      </c>
      <c r="J31" s="35" t="n">
        <v>4616804.917333337</v>
      </c>
      <c r="K31" s="106" t="inlineStr">
        <is>
          <t>Tier 1</t>
        </is>
      </c>
      <c r="L31" s="106" t="n">
        <v>6000</v>
      </c>
      <c r="M31" s="15" t="n">
        <v>0.05</v>
      </c>
      <c r="N31" s="15" t="n">
        <v>0.95</v>
      </c>
      <c r="O31" s="106" t="inlineStr">
        <is>
          <t>Yes</t>
        </is>
      </c>
      <c r="P31" s="106" t="inlineStr">
        <is>
          <t>Stacie Davis</t>
        </is>
      </c>
      <c r="Q31" s="106" t="inlineStr">
        <is>
          <t>Greg Cappel</t>
        </is>
      </c>
      <c r="R31" s="106" t="inlineStr">
        <is>
          <t>Stacey Johnson</t>
        </is>
      </c>
      <c r="S31" s="106" t="inlineStr">
        <is>
          <t>Gaynor Baker</t>
        </is>
      </c>
      <c r="T31" s="106" t="inlineStr">
        <is>
          <t>~10% of stores are on Fiserv</t>
        </is>
      </c>
      <c r="U31" s="106" t="inlineStr">
        <is>
          <t>NCR Aloha</t>
        </is>
      </c>
      <c r="V31" s="106" t="inlineStr">
        <is>
          <t>ACI</t>
        </is>
      </c>
      <c r="W31" s="106" t="inlineStr">
        <is>
          <t>Ingenico, Variable</t>
        </is>
      </c>
      <c r="X31" s="106" t="inlineStr">
        <is>
          <t>Yes</t>
        </is>
      </c>
      <c r="Y31" s="106" t="inlineStr">
        <is>
          <t>Yes</t>
        </is>
      </c>
      <c r="Z31" s="106" t="n"/>
      <c r="AA31" s="106" t="n"/>
      <c r="AB31" s="106" t="n"/>
      <c r="AC31" s="106" t="n"/>
      <c r="AD31" s="106" t="n"/>
      <c r="AE31" s="106" t="n"/>
      <c r="AF31" s="106" t="n"/>
      <c r="AG31" s="106" t="n"/>
      <c r="AH31" s="106" t="n"/>
      <c r="AI31" s="106" t="n"/>
      <c r="AJ31" s="106" t="n"/>
      <c r="AK31" s="106" t="n"/>
      <c r="AL31" s="106" t="n"/>
      <c r="AM31" s="106" t="n"/>
      <c r="AN31" s="106" t="n"/>
      <c r="AO31" s="106" t="n"/>
      <c r="AP31" s="106" t="n"/>
      <c r="AQ31" s="106" t="n"/>
      <c r="AR31" s="106" t="n"/>
      <c r="AS31" s="10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59" min="1" max="1"/>
    <col width="24" customWidth="1" style="59" min="2" max="2"/>
    <col width="42" customWidth="1" style="59" min="3" max="3"/>
    <col width="26" customWidth="1" style="59" min="4" max="4"/>
    <col width="25" customWidth="1" style="59" min="5" max="5"/>
    <col width="48" customWidth="1" style="59" min="6" max="6"/>
    <col width="22" customWidth="1" style="59" min="7" max="7"/>
    <col width="14" customWidth="1" style="59" min="8" max="8"/>
  </cols>
  <sheetData>
    <row r="1" ht="37.25" customHeight="1" s="59">
      <c r="A1" s="136" t="inlineStr">
        <is>
          <t>Worldpay Master Account Plan — 2026-09-04 Change Log</t>
        </is>
      </c>
    </row>
    <row r="2" ht="40" customHeight="1" s="59">
      <c r="A2" s="137" t="inlineStr">
        <is>
          <t>Material changes through 2026-09-04. Validation items remain explicit; scores and tiers require human approval to change.</t>
        </is>
      </c>
    </row>
    <row r="3">
      <c r="A3" s="111" t="n"/>
      <c r="B3" s="111" t="n"/>
      <c r="C3" s="111" t="n"/>
      <c r="D3" s="111" t="n"/>
      <c r="E3" s="111" t="n"/>
      <c r="F3" s="111" t="n"/>
      <c r="G3" s="111" t="n"/>
      <c r="H3" s="111" t="n"/>
    </row>
    <row r="4" ht="40" customHeight="1" s="59">
      <c r="A4" s="138" t="inlineStr">
        <is>
          <t>Priority</t>
        </is>
      </c>
      <c r="B4" s="138" t="inlineStr">
        <is>
          <t>Account / Theme</t>
        </is>
      </c>
      <c r="C4" s="138" t="inlineStr">
        <is>
          <t>Change</t>
        </is>
      </c>
      <c r="D4" s="138" t="inlineStr">
        <is>
          <t>New Status</t>
        </is>
      </c>
      <c r="E4" s="138" t="inlineStr">
        <is>
          <t>Confidence</t>
        </is>
      </c>
      <c r="F4" s="138" t="inlineStr">
        <is>
          <t>Immediate Next Action</t>
        </is>
      </c>
      <c r="G4" s="138" t="inlineStr">
        <is>
          <t>Owner / Route</t>
        </is>
      </c>
      <c r="H4" s="138" t="inlineStr">
        <is>
          <t>Review By</t>
        </is>
      </c>
    </row>
    <row r="5" ht="69.25" customHeight="1" s="59">
      <c r="A5" s="128" t="inlineStr">
        <is>
          <t>P1</t>
        </is>
      </c>
      <c r="B5" s="128" t="inlineStr">
        <is>
          <t>Del Taco</t>
        </is>
      </c>
      <c r="C5" s="128" t="inlineStr">
        <is>
          <t>Added verified Yadav ownership event; sourcing remains a hypothesis</t>
        </is>
      </c>
      <c r="D5" s="128" t="inlineStr">
        <is>
          <t>Active / validate event</t>
        </is>
      </c>
      <c r="E5" s="128" t="inlineStr">
        <is>
          <t>High ownership; event unverified</t>
        </is>
      </c>
      <c r="F5" s="128" t="inlineStr">
        <is>
          <t>Finish extension, merge GP leads and map Yadav governance</t>
        </is>
      </c>
      <c r="G5" s="128" t="inlineStr">
        <is>
          <t>Maggie Lenhart</t>
        </is>
      </c>
      <c r="H5" s="129" t="n">
        <v>46255</v>
      </c>
    </row>
    <row r="6" ht="69.25" customHeight="1" s="59">
      <c r="A6" s="130" t="inlineStr">
        <is>
          <t>P1</t>
        </is>
      </c>
      <c r="B6" s="130" t="inlineStr">
        <is>
          <t>Five Guys</t>
        </is>
      </c>
      <c r="C6" s="130" t="inlineStr">
        <is>
          <t>Removed certainty around formal spring 2027 RFP; added internal pricing feasibility gate</t>
        </is>
      </c>
      <c r="D6" s="130" t="inlineStr">
        <is>
          <t>Account shaping / validate</t>
        </is>
      </c>
      <c r="E6" s="130" t="inlineStr">
        <is>
          <t>Mixed</t>
        </is>
      </c>
      <c r="F6" s="130" t="inlineStr">
        <is>
          <t>Confirm evaluation, sponsor, renewal/notice dates and internal approval</t>
        </is>
      </c>
      <c r="G6" s="130" t="inlineStr">
        <is>
          <t>Avery Churchwell</t>
        </is>
      </c>
      <c r="H6" s="131" t="n">
        <v>46255</v>
      </c>
    </row>
    <row r="7" ht="69.25" customHeight="1" s="59">
      <c r="A7" s="132" t="inlineStr">
        <is>
          <t>P1</t>
        </is>
      </c>
      <c r="B7" s="132" t="inlineStr">
        <is>
          <t>Subway</t>
        </is>
      </c>
      <c r="C7" s="132" t="inlineStr">
        <is>
          <t>Changed reported Genius scope from DMB to KDS</t>
        </is>
      </c>
      <c r="D7" s="132" t="inlineStr">
        <is>
          <t>Urgent scope verification</t>
        </is>
      </c>
      <c r="E7" s="132" t="inlineStr">
        <is>
          <t>High internal / scope unverified</t>
        </is>
      </c>
      <c r="F7" s="132" t="inlineStr">
        <is>
          <t>Confirm product owner, sites, status, commitments and sponsor</t>
        </is>
      </c>
      <c r="G7" s="132" t="inlineStr">
        <is>
          <t>Stacie Davis</t>
        </is>
      </c>
      <c r="H7" s="133" t="n">
        <v>46252</v>
      </c>
    </row>
    <row r="8" ht="69.25" customHeight="1" s="59">
      <c r="A8" s="130" t="inlineStr">
        <is>
          <t>P2</t>
        </is>
      </c>
      <c r="B8" s="130" t="inlineStr">
        <is>
          <t>RDS five-unit rebrand</t>
        </is>
      </c>
      <c r="C8" s="130" t="inlineStr">
        <is>
          <t>Added clean-slate reseller pilot</t>
        </is>
      </c>
      <c r="D8" s="130" t="inlineStr">
        <is>
          <t>Qualify pilot</t>
        </is>
      </c>
      <c r="E8" s="130" t="inlineStr">
        <is>
          <t>High field / customer facts unverified</t>
        </is>
      </c>
      <c r="F8" s="130" t="inlineStr">
        <is>
          <t>Document entity, authority, scope, economics, support and protections</t>
        </is>
      </c>
      <c r="G8" s="130" t="inlineStr">
        <is>
          <t>RDS / Darren Heinze</t>
        </is>
      </c>
      <c r="H8" s="131" t="n">
        <v>46255</v>
      </c>
    </row>
    <row r="9" ht="69.25" customHeight="1" s="59">
      <c r="A9" s="132" t="inlineStr">
        <is>
          <t>P2</t>
        </is>
      </c>
      <c r="B9" s="132" t="inlineStr">
        <is>
          <t>Pollo Campero</t>
        </is>
      </c>
      <c r="C9" s="132" t="inlineStr">
        <is>
          <t>Added emerging RFI/international platform opportunity</t>
        </is>
      </c>
      <c r="D9" s="132" t="inlineStr">
        <is>
          <t>Qualification / bid-no-bid</t>
        </is>
      </c>
      <c r="E9" s="132" t="inlineStr">
        <is>
          <t>Strong internal / procurement unconfirmed</t>
        </is>
      </c>
      <c r="F9" s="132" t="inlineStr">
        <is>
          <t>Obtain NDA/RFI, assign owner and confirm Oracle/Worldpay scope</t>
        </is>
      </c>
      <c r="G9" s="132" t="inlineStr">
        <is>
          <t>Unassigned / Worldpay</t>
        </is>
      </c>
      <c r="H9" s="133" t="n">
        <v>46255</v>
      </c>
    </row>
    <row r="10" ht="69.25" customHeight="1" s="59">
      <c r="A10" s="130" t="inlineStr">
        <is>
          <t>P3</t>
        </is>
      </c>
      <c r="B10" s="130" t="inlineStr">
        <is>
          <t>Freddy's</t>
        </is>
      </c>
      <c r="C10" s="130" t="inlineStr">
        <is>
          <t>Downgraded from active P2 to protected RDS watchlist</t>
        </is>
      </c>
      <c r="D10" s="130" t="inlineStr">
        <is>
          <t>RDS-led / no direct outreach</t>
        </is>
      </c>
      <c r="E10" s="130" t="inlineStr">
        <is>
          <t>High field</t>
        </is>
      </c>
      <c r="F10" s="130" t="inlineStr">
        <is>
          <t>Prove pilot and protection model before CFO value discussion</t>
        </is>
      </c>
      <c r="G10" s="130" t="inlineStr">
        <is>
          <t>RDS</t>
        </is>
      </c>
      <c r="H10" s="131" t="n">
        <v>46269</v>
      </c>
    </row>
    <row r="11" ht="69.25" customHeight="1" s="59">
      <c r="A11" s="132" t="inlineStr">
        <is>
          <t>P3</t>
        </is>
      </c>
      <c r="B11" s="132" t="inlineStr">
        <is>
          <t>Papa John's</t>
        </is>
      </c>
      <c r="C11" s="132" t="inlineStr">
        <is>
          <t>Corrected rank; added implementation milestones and Linux-risk lead</t>
        </is>
      </c>
      <c r="D11" s="132" t="inlineStr">
        <is>
          <t>Deployment/adjacency watch</t>
        </is>
      </c>
      <c r="E11" s="132" t="inlineStr">
        <is>
          <t>High public; technical claim unverified</t>
        </is>
      </c>
      <c r="F11" s="132" t="inlineStr">
        <is>
          <t>Monitor rollout and validate technical dependency</t>
        </is>
      </c>
      <c r="G11" s="132" t="inlineStr">
        <is>
          <t>Brian Wood</t>
        </is>
      </c>
      <c r="H11" s="133" t="n">
        <v>46262</v>
      </c>
    </row>
    <row r="12" ht="69.25" customHeight="1" s="59">
      <c r="A12" s="130" t="inlineStr">
        <is>
          <t>P3</t>
        </is>
      </c>
      <c r="B12" s="130" t="inlineStr">
        <is>
          <t>Slim Chickens</t>
        </is>
      </c>
      <c r="C12" s="130" t="inlineStr">
        <is>
          <t>Codified RDS-led/no-direct-outreach rule; no new trigger</t>
        </is>
      </c>
      <c r="D12" s="130" t="inlineStr">
        <is>
          <t>Relationship map</t>
        </is>
      </c>
      <c r="E12" s="130" t="inlineStr">
        <is>
          <t>High field</t>
        </is>
      </c>
      <c r="F12" s="130" t="inlineStr">
        <is>
          <t>Wait for RDS-validated customer problem</t>
        </is>
      </c>
      <c r="G12" s="130" t="inlineStr">
        <is>
          <t>RDS / Avery</t>
        </is>
      </c>
      <c r="H12" s="131" t="n">
        <v>46269</v>
      </c>
    </row>
    <row r="13" ht="69.25" customHeight="1" s="59">
      <c r="A13" s="132" t="inlineStr">
        <is>
          <t>Portfolio</t>
        </is>
      </c>
      <c r="B13" s="132" t="inlineStr">
        <is>
          <t>PAR competitive signal</t>
        </is>
      </c>
      <c r="C13" s="132" t="inlineStr">
        <is>
          <t>Added POS/loyalty beachhead, multi-product bundling and payments-attachment pattern</t>
        </is>
      </c>
      <c r="D13" s="132" t="inlineStr">
        <is>
          <t>Portfolio-wide threat</t>
        </is>
      </c>
      <c r="E13" s="132" t="inlineStr">
        <is>
          <t>High company-reported</t>
        </is>
      </c>
      <c r="F13" s="132" t="inlineStr">
        <is>
          <t>Update discovery and battlecards; counter with modularity and proof</t>
        </is>
      </c>
      <c r="G13" s="132" t="inlineStr">
        <is>
          <t>Todd / Genius</t>
        </is>
      </c>
      <c r="H13" s="133" t="n">
        <v>46262</v>
      </c>
    </row>
    <row r="14" ht="69.25" customHeight="1" s="59">
      <c r="A14" s="134" t="inlineStr">
        <is>
          <t>Data quality</t>
        </is>
      </c>
      <c r="B14" s="134" t="inlineStr">
        <is>
          <t>Dashboard and rankings</t>
        </is>
      </c>
      <c r="C14" s="134" t="inlineStr">
        <is>
          <t>Corrected P1 count, RM mapping, Papa Johns rank and stack verification wording</t>
        </is>
      </c>
      <c r="D14" s="134" t="inlineStr">
        <is>
          <t>Resolved</t>
        </is>
      </c>
      <c r="E14" s="134" t="inlineStr">
        <is>
          <t>Verified workbook issue</t>
        </is>
      </c>
      <c r="F14" s="134" t="inlineStr">
        <is>
          <t>Use Ranked Portfolio as the source of truth</t>
        </is>
      </c>
      <c r="G14" s="134" t="inlineStr">
        <is>
          <t>Todd</t>
        </is>
      </c>
      <c r="H14" s="135" t="n">
        <v>46248</v>
      </c>
    </row>
    <row r="15">
      <c r="A15" s="111" t="inlineStr">
        <is>
          <t>P1</t>
        </is>
      </c>
      <c r="B15" s="111" t="inlineStr">
        <is>
          <t>Five Guys</t>
        </is>
      </c>
      <c r="C15" s="111" t="inlineStr">
        <is>
          <t>Added outreach-governance risk, FSTEC status and internal funding-model guardrail</t>
        </is>
      </c>
      <c r="D15" s="111" t="inlineStr">
        <is>
          <t>Account shaping / coordinated access</t>
        </is>
      </c>
      <c r="E15" s="111" t="inlineStr">
        <is>
          <t>High RM; buying event unverified</t>
        </is>
      </c>
      <c r="F15" s="111" t="inlineStr">
        <is>
          <t>Centralize outreach through Todd and Avery; validate event and scope</t>
        </is>
      </c>
      <c r="G15" s="111" t="inlineStr">
        <is>
          <t>Todd / Avery Churchwell</t>
        </is>
      </c>
      <c r="H15" s="139" t="n">
        <v>46276.5</v>
      </c>
    </row>
    <row r="16">
      <c r="A16" s="111" t="inlineStr">
        <is>
          <t>P3</t>
        </is>
      </c>
      <c r="B16" s="111" t="inlineStr">
        <is>
          <t>Slim Chickens</t>
        </is>
      </c>
      <c r="C16" s="111" t="inlineStr">
        <is>
          <t>Added confirmed FSTEC relationship opening</t>
        </is>
      </c>
      <c r="D16" s="111" t="inlineStr">
        <is>
          <t>RDS-led relationship mapping</t>
        </is>
      </c>
      <c r="E16" s="111" t="inlineStr">
        <is>
          <t>High RM</t>
        </is>
      </c>
      <c r="F16" s="111" t="inlineStr">
        <is>
          <t>Connect attendee with Genius team and coordinate through RDS</t>
        </is>
      </c>
      <c r="G16" s="111" t="inlineStr">
        <is>
          <t>Avery / Todd / RDS</t>
        </is>
      </c>
      <c r="H16" s="139" t="n">
        <v>46276.5</v>
      </c>
    </row>
    <row r="17">
      <c r="A17" s="111" t="inlineStr">
        <is>
          <t>P3</t>
        </is>
      </c>
      <c r="B17" s="111" t="inlineStr">
        <is>
          <t>Freddy's</t>
        </is>
      </c>
      <c r="C17" s="111" t="inlineStr">
        <is>
          <t>Added no-response status and Genius World follow-through gap</t>
        </is>
      </c>
      <c r="D17" s="111" t="inlineStr">
        <is>
          <t>RDS-led watchlist</t>
        </is>
      </c>
      <c r="E17" s="111" t="inlineStr">
        <is>
          <t>High RM; no trigger</t>
        </is>
      </c>
      <c r="F17" s="111" t="inlineStr">
        <is>
          <t>Confirm RDS-to-Ryan follow-through and FSTEC attendance</t>
        </is>
      </c>
      <c r="G17" s="111" t="inlineStr">
        <is>
          <t>Avery / Todd / RDS</t>
        </is>
      </c>
      <c r="H17" s="139" t="n">
        <v>46276.5</v>
      </c>
    </row>
    <row r="18">
      <c r="A18" s="111" t="inlineStr">
        <is>
          <t>P3</t>
        </is>
      </c>
      <c r="B18" s="111" t="inlineStr">
        <is>
          <t>Red Robin</t>
        </is>
      </c>
      <c r="C18" s="111" t="inlineStr">
        <is>
          <t>Added improving-condition assessment</t>
        </is>
      </c>
      <c r="D18" s="111" t="inlineStr">
        <is>
          <t>Requalify timing</t>
        </is>
      </c>
      <c r="E18" s="111" t="inlineStr">
        <is>
          <t>Medium RM assessment</t>
        </is>
      </c>
      <c r="F18" s="111" t="inlineStr">
        <is>
          <t>Validate operating signal and customer trigger</t>
        </is>
      </c>
      <c r="G18" s="111" t="inlineStr">
        <is>
          <t>Avery Churchwell</t>
        </is>
      </c>
      <c r="H18" s="139" t="n">
        <v>46276.5</v>
      </c>
    </row>
    <row r="19">
      <c r="A19" s="111" t="inlineStr">
        <is>
          <t>P3</t>
        </is>
      </c>
      <c r="B19" s="111" t="inlineStr">
        <is>
          <t>Little Caesars</t>
        </is>
      </c>
      <c r="C19" s="111" t="inlineStr">
        <is>
          <t>Added stalled follow-up and active support-contact signal</t>
        </is>
      </c>
      <c r="D19" s="111" t="inlineStr">
        <is>
          <t>Relationship recovery</t>
        </is>
      </c>
      <c r="E19" s="111" t="inlineStr">
        <is>
          <t>High RM interaction</t>
        </is>
      </c>
      <c r="F19" s="111" t="inlineStr">
        <is>
          <t>Consolidate three open items and use support channel to re-engage</t>
        </is>
      </c>
      <c r="G19" s="111" t="inlineStr">
        <is>
          <t>Avery Churchwell</t>
        </is>
      </c>
      <c r="H19" s="139"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2026-09-28T14:23:05Z</dcterms:modified>
</cp:coreProperties>
</file>