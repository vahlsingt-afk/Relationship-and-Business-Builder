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toddvahlsing/Documents/"/>
    </mc:Choice>
  </mc:AlternateContent>
  <xr:revisionPtr revIDLastSave="0" documentId="8_{CA20A562-3AC7-AE44-A703-5D8A2AD21387}" xr6:coauthVersionLast="47" xr6:coauthVersionMax="47" xr10:uidLastSave="{00000000-0000-0000-0000-000000000000}"/>
  <bookViews>
    <workbookView xWindow="-4860" yWindow="-21600" windowWidth="38400" windowHeight="21600" activeTab="2" xr2:uid="{00000000-000D-0000-FFFF-FFFF00000000}"/>
  </bookViews>
  <sheets>
    <sheet name="Blue Sheet" sheetId="1" r:id="rId1"/>
    <sheet name="Brand" sheetId="2" r:id="rId2"/>
    <sheet name="Technology Stack" sheetId="3" r:id="rId3"/>
    <sheet name="Actions &amp; Decisions" sheetId="4" r:id="rId4"/>
    <sheet name="Commercial Model" sheetId="5" r:id="rId5"/>
    <sheet name="Presentation View 1" sheetId="6" r:id="rId6"/>
    <sheet name="Presentation View 2" sheetId="7" r:id="rId7"/>
    <sheet name="Method &amp; Governance" sheetId="8" r:id="rId8"/>
    <sheet name="Criteria Statements" sheetId="9" r:id="rId9"/>
    <sheet name="Concept Card side 1" sheetId="10" r:id="rId10"/>
    <sheet name="Concept Card side 2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5" l="1"/>
  <c r="C12" i="5"/>
  <c r="N10" i="1"/>
  <c r="N9" i="1"/>
  <c r="N8" i="1"/>
  <c r="N7" i="1"/>
  <c r="N6" i="1"/>
  <c r="N11" i="1" s="1"/>
</calcChain>
</file>

<file path=xl/sharedStrings.xml><?xml version="1.0" encoding="utf-8"?>
<sst xmlns="http://schemas.openxmlformats.org/spreadsheetml/2006/main" count="1109" uniqueCount="761">
  <si>
    <t>POLLO CAMPERO — STRATEGIC ANALYSIS</t>
  </si>
  <si>
    <t>Executive working account plan | updated 2026-08-21</t>
  </si>
  <si>
    <t>SINGLE SALES OBJECTIVE</t>
  </si>
  <si>
    <t>CUSTOMER'S STATED OBJECTIVE</t>
  </si>
  <si>
    <t>OPPORTUNITY SCORECARD</t>
  </si>
  <si>
    <t>Date</t>
  </si>
  <si>
    <t>2026-08-21</t>
  </si>
  <si>
    <t>Salesperson</t>
  </si>
  <si>
    <t>Todd Vahlsing</t>
  </si>
  <si>
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</si>
  <si>
    <t>Criterion</t>
  </si>
  <si>
    <t>Y/N/U</t>
  </si>
  <si>
    <t>Weight</t>
  </si>
  <si>
    <t>Points</t>
  </si>
  <si>
    <t>Current read</t>
  </si>
  <si>
    <t>Next step</t>
  </si>
  <si>
    <t>Account</t>
  </si>
  <si>
    <t>Pollo Campero USA / Campero, Inc.</t>
  </si>
  <si>
    <t>Company / area</t>
  </si>
  <si>
    <t>U.S. estate</t>
  </si>
  <si>
    <t>Sufficient budget exists</t>
  </si>
  <si>
    <t>U</t>
  </si>
  <si>
    <t>TDR contains no assigned budget.</t>
  </si>
  <si>
    <t>Confirm budget source and approval path.</t>
  </si>
  <si>
    <t>Sales revenue / units</t>
  </si>
  <si>
    <t>TBD; planning case is 150+ locations</t>
  </si>
  <si>
    <t>Product / solution</t>
  </si>
  <si>
    <t>Genius Digital Menu Boards + optional payments participation</t>
  </si>
  <si>
    <t>We have the access we need</t>
  </si>
  <si>
    <t>Direct access to Randy, Diego, Terry and Jorge, a user-confirmed key stakeholder in both payments and the DMB RFI; no verified EBI or coach access.</t>
  </si>
  <si>
    <t>Use Jorge’s cross-workstream position to map decision makers, criteria and authority without assuming he is the EBI or Coach.</t>
  </si>
  <si>
    <t>Close date</t>
  </si>
  <si>
    <t>Unknown; RFI submitted / full RFP pending</t>
  </si>
  <si>
    <t>Customer timing</t>
  </si>
  <si>
    <t>Active</t>
  </si>
  <si>
    <t>Customer buying process is understood</t>
  </si>
  <si>
    <t>RFI exists; scoring, full RFP and decision path not verified.</t>
  </si>
  <si>
    <t>Confirm criteria, dates, approvers and vetoes.</t>
  </si>
  <si>
    <t>Single sales objective</t>
  </si>
  <si>
    <t>Win the U.S. DMB modernization program; secure a qualified path to payments and adjacent restaurant technology only where customer value and access justify it.</t>
  </si>
  <si>
    <t>Supportive Economic Buying Influence</t>
  </si>
  <si>
    <t>N</t>
  </si>
  <si>
    <t>Potential executives identified; EBI unverified.</t>
  </si>
  <si>
    <t>Validate Luis Javier Rodas / José Gregorio Baquero role.</t>
  </si>
  <si>
    <t>Commercial hypothesis</t>
  </si>
  <si>
    <t>$25/screen/month standalone; $12.50 with qualifying payments participation; white glove $25–$50/screen/month pending scope.</t>
  </si>
  <si>
    <t>At least one Coach</t>
  </si>
  <si>
    <t>No customer-side coach verified.</t>
  </si>
  <si>
    <t>Test Scott O’Neill and procurement contacts for coach behavior.</t>
  </si>
  <si>
    <t>QUALIFICATION SCORE</t>
  </si>
  <si>
    <t>/ 100</t>
  </si>
  <si>
    <t>EUPHORIA–PANIC</t>
  </si>
  <si>
    <t>COMPETITION</t>
  </si>
  <si>
    <t>POSITION</t>
  </si>
  <si>
    <t>Current state</t>
  </si>
  <si>
    <t>Concern</t>
  </si>
  <si>
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</si>
  <si>
    <t>Place in funnel</t>
  </si>
  <si>
    <t>Qualify</t>
  </si>
  <si>
    <t>Position vs. competition</t>
  </si>
  <si>
    <t>Shared / unknown</t>
  </si>
  <si>
    <t>Reason</t>
  </si>
  <si>
    <t>Strong technical fit, but no verified customer coach, EBI, budget or decision process.</t>
  </si>
  <si>
    <t>Customer priority</t>
  </si>
  <si>
    <t>Only alternative / front-runner / shared / zero</t>
  </si>
  <si>
    <t>Shared</t>
  </si>
  <si>
    <t>Timing</t>
  </si>
  <si>
    <t>Active modernization; infrastructure described as end-of-life.</t>
  </si>
  <si>
    <t>Critical test</t>
  </si>
  <si>
    <t>Is the decision genuinely open and who controls it?</t>
  </si>
  <si>
    <t>Immediate move</t>
  </si>
  <si>
    <t>Map customer buying influences before claiming pursuit confidence.</t>
  </si>
  <si>
    <t>BUYING INFLUENCES INVOLVED — NAME, TITLE, LOCATION • ROLE • INFLUENCE • MODE • WIN–RESULTS • COMPETITIVE POSITION</t>
  </si>
  <si>
    <t>Name / title / location</t>
  </si>
  <si>
    <t>Role E/T/U/C</t>
  </si>
  <si>
    <t>Influence H/M/L</t>
  </si>
  <si>
    <t>Mode G/T/EK/OC</t>
  </si>
  <si>
    <t>Personal win</t>
  </si>
  <si>
    <t>Business result</t>
  </si>
  <si>
    <t>Competitive preference</t>
  </si>
  <si>
    <t>Rating +5/–5</t>
  </si>
  <si>
    <t>Access / relationship</t>
  </si>
  <si>
    <t>Owner</t>
  </si>
  <si>
    <t>Luis Javier Rodas — Managing Director &amp; COO, Campero USA — Dallas, TX</t>
  </si>
  <si>
    <t>E? / U</t>
  </si>
  <si>
    <t>High</t>
  </si>
  <si>
    <t>Growth / EK</t>
  </si>
  <si>
    <t>Deliver U.S. growth without disrupting operations or brand experience.</t>
  </si>
  <si>
    <t>Scalable, reliable estate modernization supporting 250-location ambition.</t>
  </si>
  <si>
    <t>Unknown</t>
  </si>
  <si>
    <t>Public leader; no direct decision evidence.</t>
  </si>
  <si>
    <t>Confirm current title, authority, success criteria and DMB sponsorship.</t>
  </si>
  <si>
    <t>Todd / RM</t>
  </si>
  <si>
    <t>José Gregorio Baquero — Global CEO, Pollo Campero — Guatemala</t>
  </si>
  <si>
    <t>E?</t>
  </si>
  <si>
    <t>Growth</t>
  </si>
  <si>
    <t>Protect global brand, capital and scalable standards.</t>
  </si>
  <si>
    <t>A governed platform that supports growth across markets.</t>
  </si>
  <si>
    <t>Named by CMI as global CEO; role in U.S. DMB not verified.</t>
  </si>
  <si>
    <t>None</t>
  </si>
  <si>
    <t>Determine approval/veto role and whether global standards apply.</t>
  </si>
  <si>
    <t>Todd / executive sponsor</t>
  </si>
  <si>
    <t>Katherine Celeste Urbina Barillas — Purchasing Specialist, CMI — location unverified</t>
  </si>
  <si>
    <t>T / E?</t>
  </si>
  <si>
    <t>Even Keel</t>
  </si>
  <si>
    <t>Run a fair, compliant process with comparable commitments.</t>
  </si>
  <si>
    <t>Executable contract, pricing and delivery accountability.</t>
  </si>
  <si>
    <t>Named RFI recipient and cover-letter contact.</t>
  </si>
  <si>
    <t>Direct process path</t>
  </si>
  <si>
    <t>Confirm ownership of scoring, clarifications, negotiation and recommendation.</t>
  </si>
  <si>
    <t>Todd / response lead</t>
  </si>
  <si>
    <t>Randy Heriberto Mulato Cerrate — Purchasing Specialist, CMI Alimentos — location unverified</t>
  </si>
  <si>
    <t>T / C?</t>
  </si>
  <si>
    <t>Growth / Even Keel</t>
  </si>
  <si>
    <t>Run a responsive process, provide clean inputs and assemble a credible proposal.</t>
  </si>
  <si>
    <t>Comparable DMB and payments proposals with controlled supplier risk.</t>
  </si>
  <si>
    <t>Potentially favorable</t>
  </si>
  <si>
    <t>Attended Aug. 12 discovery; replied Aug. 21 that the approach works and committed to share statements for next-step review.</t>
  </si>
  <si>
    <t>Direct / responsive</t>
  </si>
  <si>
    <t>Receive statements; confirm authority, evaluation role and whether he will provide internal guidance.</t>
  </si>
  <si>
    <t>Todd / Amy</t>
  </si>
  <si>
    <t>Diego Haro — Senior Accountant, CMI — location unverified</t>
  </si>
  <si>
    <t>Medium/High</t>
  </si>
  <si>
    <t>Economic transparency, reconciliation and controlled risk.</t>
  </si>
  <si>
    <t>Defensible business case and accurate payment economics.</t>
  </si>
  <si>
    <t>Named Aug. 12 discovery participant and recipient of the Aug. 20 follow-up.</t>
  </si>
  <si>
    <t>Direct</t>
  </si>
  <si>
    <t>Validate role in statements, processor architecture, budget, analysis and approvals.</t>
  </si>
  <si>
    <t>Payments / finance</t>
  </si>
  <si>
    <t>Scott O’Neill — Restaurant Technology Manager, Pollo Campero — location unverified</t>
  </si>
  <si>
    <t>T / U / C?</t>
  </si>
  <si>
    <t>Choose reliable restaurant technology and be seen as a credible change leader.</t>
  </si>
  <si>
    <t>Low-risk integration, deployment, uptime and support.</t>
  </si>
  <si>
    <t>Prior positive NomadGo demo and friendly follow-ups; dormant relationship.</t>
  </si>
  <si>
    <t>Dormant warm</t>
  </si>
  <si>
    <t>Re-engage and test for coach criteria: access, credibility and guidance.</t>
  </si>
  <si>
    <t>Todd</t>
  </si>
  <si>
    <t>Fernando Perez — Head of Operations (title unverified) — location unverified</t>
  </si>
  <si>
    <t>U / E?</t>
  </si>
  <si>
    <t>Protect store operations, speed and guest experience.</t>
  </si>
  <si>
    <t>Minimal disruption and consistent execution.</t>
  </si>
  <si>
    <t>Cold LinkedIn path; conflicting historical titles.</t>
  </si>
  <si>
    <t>Weak</t>
  </si>
  <si>
    <t>Verify title, current remit and operational influence.</t>
  </si>
  <si>
    <t>Karla Patino — VP, U.S. Marketing &amp; Sales — Dallas, TX</t>
  </si>
  <si>
    <t>Build the most-loved brand for U.S. Hispanic consumers while reaching new audiences.</t>
  </si>
  <si>
    <t>Consistent brand presentation, agile promotions and measurable sales growth.</t>
  </si>
  <si>
    <t>Public appointment June 2026; no pursuit access.</t>
  </si>
  <si>
    <t>Confirm ownership of DMB content, promotions, dayparting and success metrics.</t>
  </si>
  <si>
    <t>Todd / marketing lead</t>
  </si>
  <si>
    <t>Jorge de la Parra — title and location unverified, CMI</t>
  </si>
  <si>
    <t>Shape both workstreams, coordinate the right people and maintain momentum.</t>
  </si>
  <si>
    <t>A coherent payments and DMB decision that meets CMI’s business, technical and commercial requirements.</t>
  </si>
  <si>
    <t>User-confirmed key stakeholder in both payments and the DMB RFI; assigned the scheduling path for both follow-on sessions. Jorge knows Ryan’s boss, Tracy, and texted Tracy shortly after the Aug. 12 meeting.</t>
  </si>
  <si>
    <t>Direct / key cross-workstream stakeholder with an executive relationship path</t>
  </si>
  <si>
    <t>Confirm title, formal decision role and authority; ask Ryan/Tracy what Jorge communicated and test whether Jorge provides access, internal guidance and advocacy consistent with Coach criteria.</t>
  </si>
  <si>
    <t>Todd / Amy / Ryan</t>
  </si>
  <si>
    <t>Terry Fresquez — title and location unverified, CMI</t>
  </si>
  <si>
    <t>U? / T?</t>
  </si>
  <si>
    <t>Unknown—participated in initial discussion.</t>
  </si>
  <si>
    <t>Potential contribution to payments, technology or operating decision.</t>
  </si>
  <si>
    <t>Named Aug. 12 discovery attendee and Aug. 20 follow-up recipient.</t>
  </si>
  <si>
    <t>Confirm title, remit, role, influence, win and decision rights.</t>
  </si>
  <si>
    <t>SUMMARY OF MY POSITION TODAY</t>
  </si>
  <si>
    <t>POSSIBLE ACTIONS</t>
  </si>
  <si>
    <t>BEST ACTION PLAN</t>
  </si>
  <si>
    <t>STRENGTHS</t>
  </si>
  <si>
    <t>Customer-defined, end-of-life DMB need across a growing estate.</t>
  </si>
  <si>
    <t>Use exact customer language and a requirement/evidence compliance matrix.</t>
  </si>
  <si>
    <t>Receive/qualify full RFP; verify scoring, dates and decision roles.</t>
  </si>
  <si>
    <t>On receipt</t>
  </si>
  <si>
    <t>Genius fits DMB, hardware, integration, rollout and support scope.</t>
  </si>
  <si>
    <t>Map every requirement to proven capability, partner, dependency or gap.</t>
  </si>
  <si>
    <t>Re-engage Scott O’Neill and map the customer buying system.</t>
  </si>
  <si>
    <t>First clarification</t>
  </si>
  <si>
    <t>Direct customer engagement; Randy committed to share statements, and Jorge independently contacted Tracy after the meeting.</t>
  </si>
  <si>
    <t>Convert momentum and Jorge’s executive relationship path into verified access, decision insight and scheduled work sessions.</t>
  </si>
  <si>
    <t>Validate what Jorge communicated to Tracy, then map Olo/Olo Pay, Stripe, Fiserv, Valutec and POS migration state.</t>
  </si>
  <si>
    <t>Todd / Ryan / solution + payments</t>
  </si>
  <si>
    <t>Discovery</t>
  </si>
  <si>
    <t>Payments and broader stack create optional enterprise value.</t>
  </si>
  <si>
    <t>Keep payments optional and prove economics/operational benefit.</t>
  </si>
  <si>
    <t>Approve standalone, participation and white-glove guardrails.</t>
  </si>
  <si>
    <t>Todd / Ryan / Finance</t>
  </si>
  <si>
    <t>Commercial review</t>
  </si>
  <si>
    <t>RED FLAGS</t>
  </si>
  <si>
    <t>No verified EBI, customer coach, budget, scorecard or decision calendar.</t>
  </si>
  <si>
    <t>Use first clarification/discovery cycle to validate buying influences.</t>
  </si>
  <si>
    <t>Stakeholder map and coach test.</t>
  </si>
  <si>
    <t>Open</t>
  </si>
  <si>
    <t>Oracle migration may already constrain broader platform scope.</t>
  </si>
  <si>
    <t>Separate DMB win from speculative POS displacement; verify contract/deployment status.</t>
  </si>
  <si>
    <t>Bid/no-bid and wedge decision.</t>
  </si>
  <si>
    <t>Todd / solution lead</t>
  </si>
  <si>
    <t>Olo/Olo Pay fraud and chargeback value could make digital payments sticky.</t>
  </si>
  <si>
    <t>Benchmark authorization, fraud, disputes, token portability and economics before claiming value.</t>
  </si>
  <si>
    <t>Digital payments diligence.</t>
  </si>
  <si>
    <t>Payments lead</t>
  </si>
  <si>
    <t>Screen/store mix and white-glove workload are not validated.</t>
  </si>
  <si>
    <t>Price archetypes and explicit assumptions; reconcile to site inventory.</t>
  </si>
  <si>
    <t>BOM and service cost validation.</t>
  </si>
  <si>
    <t>Deployment / services</t>
  </si>
  <si>
    <t>Bank of America sample statements conflict with field report of Fiserv.</t>
  </si>
  <si>
    <t>Treat as entity/store/sample ambiguity until estate architecture is confirmed.</t>
  </si>
  <si>
    <t>Resolve processor/entity footprint.</t>
  </si>
  <si>
    <t>POLLO CAMPERO — BRAND PROFILE</t>
  </si>
  <si>
    <t>Executive account context, strategic implications and questions to resolve.</t>
  </si>
  <si>
    <t>Category</t>
  </si>
  <si>
    <t>What we know</t>
  </si>
  <si>
    <t>Strategic implication</t>
  </si>
  <si>
    <t>Confidence</t>
  </si>
  <si>
    <t>As of</t>
  </si>
  <si>
    <t>Buying relevance</t>
  </si>
  <si>
    <t>Question to validate</t>
  </si>
  <si>
    <t>Identity &amp; heritage</t>
  </si>
  <si>
    <t>Founded in Guatemala in 1971; family-centered brand built on deeply seasoned fried/roasted chicken and Central American heritage.</t>
  </si>
  <si>
    <t>Technology must preserve distinctive brand expression, not homogenize it.</t>
  </si>
  <si>
    <t>Marketing and operations wins center on consistency plus authenticity.</t>
  </si>
  <si>
    <t>Which brand standards and content approvals are mandatory?</t>
  </si>
  <si>
    <t>Marketing lead</t>
  </si>
  <si>
    <t>Ownership</t>
  </si>
  <si>
    <t>Part of family-owned multilatina CMI / CMI Foods.</t>
  </si>
  <si>
    <t>Potential global/family governance above Campero USA.</t>
  </si>
  <si>
    <t>Economic approval may extend beyond U.S. operating team.</t>
  </si>
  <si>
    <t>Who owns capital, technology standards and final approval?</t>
  </si>
  <si>
    <t>Global scale</t>
  </si>
  <si>
    <t>CMI brand page reports 370+ restaurants, 7,000+ employees and operations across eight countries.</t>
  </si>
  <si>
    <t>Global support can differentiate, but only with country-by-country proof.</t>
  </si>
  <si>
    <t>Global CEO and architecture may influence U.S. decision.</t>
  </si>
  <si>
    <t>Is current DMB scope U.S.-only or intended as a global standard?</t>
  </si>
  <si>
    <t>International lead</t>
  </si>
  <si>
    <t>U.S. footprint</t>
  </si>
  <si>
    <t>Company announced more than 150 U.S. restaurants in June 2026.</t>
  </si>
  <si>
    <t>Use 150+ as current directional count; RFP scope still requires reconciliation.</t>
  </si>
  <si>
    <t>2026-06-29</t>
  </si>
  <si>
    <t>Estate scale supports enterprise rollout economics.</t>
  </si>
  <si>
    <t>Exact open, corporate/franchise and in-scope counts?</t>
  </si>
  <si>
    <t>Todd / deployment</t>
  </si>
  <si>
    <t>Growth goal</t>
  </si>
  <si>
    <t>Current company release targets 250 U.S. locations by 2030. Earlier public goals varied; use latest stated horizon.</t>
  </si>
  <si>
    <t>New-store deployment, standards, uptime and lifecycle support are strategic.</t>
  </si>
  <si>
    <t>Luis Javier and Karla likely value scalable execution.</t>
  </si>
  <si>
    <t>What opening cadence and rollout waves must the platform support?</t>
  </si>
  <si>
    <t>Deployment lead</t>
  </si>
  <si>
    <t>Growth markets</t>
  </si>
  <si>
    <t>CMI identified Florida and California as key growth markets.</t>
  </si>
  <si>
    <t>Regional rollout/service coverage and environmental/site variance matter.</t>
  </si>
  <si>
    <t>Medium</t>
  </si>
  <si>
    <t>2024-06-20</t>
  </si>
  <si>
    <t>Operations/facilities will value repeatability across markets.</t>
  </si>
  <si>
    <t>Which markets and store formats dominate the RFP?</t>
  </si>
  <si>
    <t>U.S. leadership</t>
  </si>
  <si>
    <t>Luis Javier Rodas is publicly identified as Managing Director/COO; Karla Patino became VP U.S. Marketing &amp; Sales in June 2026.</t>
  </si>
  <si>
    <t>Potential business/user influences; roles in DMB decision must be confirmed.</t>
  </si>
  <si>
    <t>Executive and marketing wins can be explicitly tested.</t>
  </si>
  <si>
    <t>Who sponsors DMB and who owns final recommendation?</t>
  </si>
  <si>
    <t>Global leadership</t>
  </si>
  <si>
    <t>CMI identifies Juan José Gutiérrez Mayorga as Chairman of CMI Foods; current CMI release names José Gregorio Baquero as global CEO of Pollo Campero.</t>
  </si>
  <si>
    <t>Potential ownership/global governance above U.S. buyers.</t>
  </si>
  <si>
    <t>2026</t>
  </si>
  <si>
    <t>Do not assume U.S.-only approval path.</t>
  </si>
  <si>
    <t>Does global leadership approve vendor, platform or capital?</t>
  </si>
  <si>
    <t>Executive sponsor</t>
  </si>
  <si>
    <t>Digital ordering</t>
  </si>
  <si>
    <t>Official U.S. ordering route is hosted on Olo.</t>
  </si>
  <si>
    <t>Olo is a verified integration boundary.</t>
  </si>
  <si>
    <t>Digital/IT stakeholders require menu, availability and operational continuity.</t>
  </si>
  <si>
    <t>Which Olo modules and integrations are in scope?</t>
  </si>
  <si>
    <t>Solution lead</t>
  </si>
  <si>
    <t>Rewards</t>
  </si>
  <si>
    <t>Campero Rewards earns 10 points per $1 in-store, online or app; program is tiered and migrated prior-member balances.</t>
  </si>
  <si>
    <t>Omnichannel identity, offers and loyalty continuity are material.</t>
  </si>
  <si>
    <t>Marketing/digital stakeholders own guest continuity.</t>
  </si>
  <si>
    <t>Who is current loyalty vendor and data owner?</t>
  </si>
  <si>
    <t>Marketing / digital</t>
  </si>
  <si>
    <t>Brand ambition</t>
  </si>
  <si>
    <t>Karla Patino stated a goal of making Campero the most-loved brand for the U.S. Hispanic community while growth also reaches new audiences.</t>
  </si>
  <si>
    <t>DMB should support culturally authentic content plus local relevance and agile promotion.</t>
  </si>
  <si>
    <t>Marketing personal win and business result.</t>
  </si>
  <si>
    <t>How will DMB success be measured—sales, accuracy, speed, brand metrics or labor?</t>
  </si>
  <si>
    <t>Economics / scale</t>
  </si>
  <si>
    <t>Working 2024 baseline is $334.2M in U.S. system sales and approximately $3.165M AUV; the current working card-volume estimate is $200M+.</t>
  </si>
  <si>
    <t>Commercially meaningful account, but figures require live validation.</t>
  </si>
  <si>
    <t>2026-08-20</t>
  </si>
  <si>
    <t>Supports enterprise investment and payments relevance.</t>
  </si>
  <si>
    <t>Validate current sales, card volume, digital mix and corporate/franchise split.</t>
  </si>
  <si>
    <t>Finance / payments</t>
  </si>
  <si>
    <t>Relationship history</t>
  </si>
  <si>
    <t>Scott O’Neill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Ryan’s boss Tracy, and texted Tracy shortly after the meeting.</t>
  </si>
  <si>
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</si>
  <si>
    <t>Access and engagement have improved; Jorge’s relationship with Tracy may accelerate alignment, while title, formal role, message content, EBI and Coach qualification remain open.</t>
  </si>
  <si>
    <t>What did Jorge communicate to Tracy, what action followed, and will Jorge provide customer access, internal guidance and advocacy?</t>
  </si>
  <si>
    <t>Todd / Ryan</t>
  </si>
  <si>
    <t>Current pursuit</t>
  </si>
  <si>
    <t>RFI response submitted; payments and DMB are advancing as separate follow-on sessions. Jorge is a key stakeholder in both and the coordination path; Amy owns payments questions; payments NDA coverage and statements are pending.</t>
  </si>
  <si>
    <t>There is customer momentum and a cross-workstream customer anchor, but not yet a verified decision process, Economic Buyer or Coach.</t>
  </si>
  <si>
    <t>Treat Jorge as central to both pursuits without assuming formal E/T/U/C role or final authority.</t>
  </si>
  <si>
    <t>When are the sessions, how does Jorge influence each decision, who else attends, and who decides?</t>
  </si>
  <si>
    <t>POLLO CAMPERO — CURRENT TECHNOLOGY &amp; VENDOR LANDSCAPE</t>
  </si>
  <si>
    <t>Executive working view of the current environment, whitespace and next validation.</t>
  </si>
  <si>
    <t>Layer</t>
  </si>
  <si>
    <t>Current vendor / product</t>
  </si>
  <si>
    <t>Decision owner / influence</t>
  </si>
  <si>
    <t>Customer value / pain</t>
  </si>
  <si>
    <t>Genius / Worldpay relevance</t>
  </si>
  <si>
    <t>Incumbent advantage</t>
  </si>
  <si>
    <t>Risk / constraint</t>
  </si>
  <si>
    <t>Status</t>
  </si>
  <si>
    <t>DMB / CMS</t>
  </si>
  <si>
    <t>ZoneIn and Stream among multiple vendors</t>
  </si>
  <si>
    <t>Fragmented, manual and end-of-life; RFI seeks a unified platform.</t>
  </si>
  <si>
    <t>Marketing / IT / Operations</t>
  </si>
  <si>
    <t>Consistency, agility, accuracy and lower burden.</t>
  </si>
  <si>
    <t>Core opportunity: CMS, player, hardware, deployment and support.</t>
  </si>
  <si>
    <t>Installed base and switching familiarity.</t>
  </si>
  <si>
    <t>Footprint, contracts and bidder preference remain unknown.</t>
  </si>
  <si>
    <t>Confirm vendor/site split, contracts and failure history.</t>
  </si>
  <si>
    <t>POS software</t>
  </si>
  <si>
    <t>NCR Aloha + Oracle Simphony</t>
  </si>
  <si>
    <t>Working view is a mixed estate migrating toward Simphony.</t>
  </si>
  <si>
    <t>IT / restaurant technology / operations</t>
  </si>
  <si>
    <t>Standardization and operational continuity.</t>
  </si>
  <si>
    <t>Integration now; broader modular wedge only if genuinely open.</t>
  </si>
  <si>
    <t>Oracle migration momentum and suite argument.</t>
  </si>
  <si>
    <t>Contract and deployment status may make displacement unrealistic.</t>
  </si>
  <si>
    <t>Validate versions, location counts, migration status and decision openness.</t>
  </si>
  <si>
    <t>Verify</t>
  </si>
  <si>
    <t>POS hardware / workstations</t>
  </si>
  <si>
    <t>Provider and models not yet confirmed</t>
  </si>
  <si>
    <t>Hardware estate, ownership, age, peripherals and refresh cycle are unknown.</t>
  </si>
  <si>
    <t>Low</t>
  </si>
  <si>
    <t>IT / restaurant technology / procurement</t>
  </si>
  <si>
    <t>Reliability, serviceability, standard image and lifecycle cost.</t>
  </si>
  <si>
    <t>Potential hardware, deployment and lifecycle opportunity.</t>
  </si>
  <si>
    <t>Installed estate and certifications may favor incumbents.</t>
  </si>
  <si>
    <t>Unknown models and refresh timing prevent a credible hardware plan.</t>
  </si>
  <si>
    <t>Identify provider, models, ownership, age, peripherals, service and refresh plan.</t>
  </si>
  <si>
    <t>Online ordering</t>
  </si>
  <si>
    <t>Olo</t>
  </si>
  <si>
    <t>Olo is the current direct-ordering platform.</t>
  </si>
  <si>
    <t>Digital / e-commerce owner</t>
  </si>
  <si>
    <t>Reliable direct ordering and channel continuity.</t>
  </si>
  <si>
    <t>Mandatory integration boundary; do not position replacement without discovery.</t>
  </si>
  <si>
    <t>Embedded workflows and ecosystem.</t>
  </si>
  <si>
    <t>Menu, availability, integration and data-ownership requirements.</t>
  </si>
  <si>
    <t>Confirm modules, contract, integration ownership and roadmap.</t>
  </si>
  <si>
    <t>Confirmed</t>
  </si>
  <si>
    <t>Above-store digital gateway / payments</t>
  </si>
  <si>
    <t>Olo Pay using Stripe</t>
  </si>
  <si>
    <t>Working view; consolidation must preserve strong fraud and chargeback protection.</t>
  </si>
  <si>
    <t>Digital + finance/payments owner</t>
  </si>
  <si>
    <t>Authorization, fraud, disputes, reconciliation and guest checkout.</t>
  </si>
  <si>
    <t>Compete only with quantified superior value; preserve Olo ordering.</t>
  </si>
  <si>
    <t>Restaurant-specific tools and integrated Olo data.</t>
  </si>
  <si>
    <t>Token portability, contract and performance may create switching friction.</t>
  </si>
  <si>
    <t>Benchmark authorization, fraud, disputes, fees, tokens and reporting.</t>
  </si>
  <si>
    <t>In-store acquiring</t>
  </si>
  <si>
    <t>Fiserv working view; Bank of America appears in sampled statements</t>
  </si>
  <si>
    <t>Current architecture may differ by entity, store, channel or provider role.</t>
  </si>
  <si>
    <t>Treasury / payments / finance</t>
  </si>
  <si>
    <t>Cost, settlement, devices and reporting.</t>
  </si>
  <si>
    <t>Potential participation/funding lever after estate reconciliation.</t>
  </si>
  <si>
    <t>Observed economics appear competitive.</t>
  </si>
  <si>
    <t>Unsupported savings or architecture claims would weaken credibility.</t>
  </si>
  <si>
    <t>Map acquirer, processor, gateway and device by entity and channel.</t>
  </si>
  <si>
    <t>Reconcile</t>
  </si>
  <si>
    <t>Payment terminal</t>
  </si>
  <si>
    <t>Verifone P400 on Simphony side</t>
  </si>
  <si>
    <t>Terminal environment requires validation.</t>
  </si>
  <si>
    <t>IT + payments</t>
  </si>
  <si>
    <t>Reliable certified tender acceptance.</t>
  </si>
  <si>
    <t>Device, certification and migration dependency.</t>
  </si>
  <si>
    <t>Existing certification and installed estate.</t>
  </si>
  <si>
    <t>Replacement and certification cost.</t>
  </si>
  <si>
    <t>Confirm ownership, age, encryption, gateway and processor dependency.</t>
  </si>
  <si>
    <t>Back office</t>
  </si>
  <si>
    <t>Provider and modules not yet confirmed</t>
  </si>
  <si>
    <t>Cash, inventory, labor, reporting and above-store integrations remain unmapped.</t>
  </si>
  <si>
    <t>Finance / operations / IT</t>
  </si>
  <si>
    <t>Accurate controls, labor efficiency and actionable reporting.</t>
  </si>
  <si>
    <t>Potential integration boundary or adjacent Genius opportunity.</t>
  </si>
  <si>
    <t>Embedded workflows and historical data may favor the incumbent.</t>
  </si>
  <si>
    <t>Broad positioning before discovery could distract from the DMB/payments wedge.</t>
  </si>
  <si>
    <t>Identify providers and modules for cash, inventory, labor and reporting.</t>
  </si>
  <si>
    <t>AI / analytics</t>
  </si>
  <si>
    <t>Provider and active use cases not yet confirmed</t>
  </si>
  <si>
    <t>No verified enterprise AI provider or production restaurant use case is mapped.</t>
  </si>
  <si>
    <t>Digital / marketing / IT / operations</t>
  </si>
  <si>
    <t>Better forecasting, content decisions, upsell and operational insight.</t>
  </si>
  <si>
    <t>Future adjacency after core data, workflow and governance are understood.</t>
  </si>
  <si>
    <t>Existing platform vendors may already bundle AI capabilities.</t>
  </si>
  <si>
    <t>Generic AI positioning would create noise and credibility risk.</t>
  </si>
  <si>
    <t>Identify active providers, use cases, data owners, governance and success metrics.</t>
  </si>
  <si>
    <t>Gift cards</t>
  </si>
  <si>
    <t>Valutec</t>
  </si>
  <si>
    <t>Working incumbent view; current issue and ownership need clarification.</t>
  </si>
  <si>
    <t>Finance / marketing / gift owner</t>
  </si>
  <si>
    <t>Balance continuity, franchise settlement and omnichannel redemption.</t>
  </si>
  <si>
    <t>Integration or migration dependency.</t>
  </si>
  <si>
    <t>Stored liability, integrations and operating history.</t>
  </si>
  <si>
    <t>Balance conversion and settlement complexity.</t>
  </si>
  <si>
    <t>Confirm contract, balances, redemption, promotions and reporting.</t>
  </si>
  <si>
    <t>Loyalty / app</t>
  </si>
  <si>
    <t>Campero Rewards; platform provider not confirmed</t>
  </si>
  <si>
    <t>Tiered program spans in-store, online and app.</t>
  </si>
  <si>
    <t>Marketing / digital / CRM</t>
  </si>
  <si>
    <t>Retention, recognition, offers and omnichannel experience.</t>
  </si>
  <si>
    <t>Important integration boundary.</t>
  </si>
  <si>
    <t>Guest adoption and existing program data.</t>
  </si>
  <si>
    <t>Do not assume the historical provider remains current.</t>
  </si>
  <si>
    <t>Confirm platform, architecture, contract, data ownership and offer flow.</t>
  </si>
  <si>
    <t>Content operations</t>
  </si>
  <si>
    <t>Highly manual current process</t>
  </si>
  <si>
    <t>Corporate and field workflows create material IT/Marketing burden.</t>
  </si>
  <si>
    <t>Marketing / field operations</t>
  </si>
  <si>
    <t>Fast, accurate updates, scheduling and governance.</t>
  </si>
  <si>
    <t>CMS plus optional scoped white-glove service.</t>
  </si>
  <si>
    <t>Existing processes are familiar to users.</t>
  </si>
  <si>
    <t>Unbounded service scope could damage margin.</t>
  </si>
  <si>
    <t>Quantify users, changes, approvals, languages, SLAs and peak workload.</t>
  </si>
  <si>
    <t>Displays / field service</t>
  </si>
  <si>
    <t>Samsung/LG indoor; LG outdoor; mixed configurations</t>
  </si>
  <si>
    <t>Five indoor average; drive-thru configurations vary; full lifecycle support requested.</t>
  </si>
  <si>
    <t>Facilities / construction / IT / operations</t>
  </si>
  <si>
    <t>Reliable rollout and lifecycle accountability.</t>
  </si>
  <si>
    <t>Hardware, survey, install, break/fix, depot and SLA opportunity.</t>
  </si>
  <si>
    <t>Incumbent field knowledge.</t>
  </si>
  <si>
    <t>BOM, site variance and SLA economics can dominate.</t>
  </si>
  <si>
    <t>Obtain inventory, reuse criteria, waves, acceptance and spares model.</t>
  </si>
  <si>
    <t>POLLO CAMPERO — ACTION &amp; DECISION REGISTER</t>
  </si>
  <si>
    <t>Every material unknown has an owner and next step.</t>
  </si>
  <si>
    <t>Type</t>
  </si>
  <si>
    <t>Issue / opportunity</t>
  </si>
  <si>
    <t>Why it matters</t>
  </si>
  <si>
    <t>Customer outcome</t>
  </si>
  <si>
    <t>Worldpay / Genius value</t>
  </si>
  <si>
    <t>Stakeholders</t>
  </si>
  <si>
    <t>Priority</t>
  </si>
  <si>
    <t>Action / commitment</t>
  </si>
  <si>
    <t>Trigger / target</t>
  </si>
  <si>
    <t>Blocker / update</t>
  </si>
  <si>
    <t>Commitment</t>
  </si>
  <si>
    <t>Customer statements</t>
  </si>
  <si>
    <t>Randy replied Aug. 21 that the proposed approach works and he will share statements for review of next steps.</t>
  </si>
  <si>
    <t>Fact-based pricing and transition discussion.</t>
  </si>
  <si>
    <t>Allows normalized estate/payment analysis.</t>
  </si>
  <si>
    <t>Randy; Diego; Amy; Todd</t>
  </si>
  <si>
    <t>Critical</t>
  </si>
  <si>
    <t>Receive, inventory and normalize statements; identify missing entities/channels.</t>
  </si>
  <si>
    <t>Randy → Todd / Amy</t>
  </si>
  <si>
    <t>Customer committed; date TBD</t>
  </si>
  <si>
    <t>Waiting</t>
  </si>
  <si>
    <t>Statements not yet received.</t>
  </si>
  <si>
    <t>Payments discovery questions</t>
  </si>
  <si>
    <t>Amy owns the high-level questions needed for solution-team preparation.</t>
  </si>
  <si>
    <t>Efficient, relevant payments deep dive.</t>
  </si>
  <si>
    <t>Improves discovery quality and internal readiness.</t>
  </si>
  <si>
    <t>Amy; Randy; Diego; Jorge; Terry</t>
  </si>
  <si>
    <t>Send concise questions covering architecture, volume, fraud, disputes, tokens, contracts and requirements.</t>
  </si>
  <si>
    <t>Amy McKay</t>
  </si>
  <si>
    <t>Before payments deep dive</t>
  </si>
  <si>
    <t>Completion not yet confirmed.</t>
  </si>
  <si>
    <t>Schedule two customer sessions</t>
  </si>
  <si>
    <t>Jorge is a user-confirmed key stakeholder in both payments and the DMB RFI and was asked to provide times for the two follow-on sessions.</t>
  </si>
  <si>
    <t>Right experts and a central customer stakeholder engaged for each decision.</t>
  </si>
  <si>
    <t>Parallel qualification with cross-workstream continuity and without conflating scopes.</t>
  </si>
  <si>
    <t>Jorge; customer stakeholders; Amy; Todd</t>
  </si>
  <si>
    <t>Secure dates, attendees, objectives and desired outcomes; use Jorge to validate the buying process and decision criteria for both workstreams.</t>
  </si>
  <si>
    <t>Jorge / Todd / Amy</t>
  </si>
  <si>
    <t>Next customer response</t>
  </si>
  <si>
    <t>No dates shown; Jorge’s formal title and decision authority remain unverified.</t>
  </si>
  <si>
    <t>Opportunity</t>
  </si>
  <si>
    <t>Jorge–Tracy executive relationship path</t>
  </si>
  <si>
    <t>Jorge knows Ryan’s boss, Tracy, and texted Tracy shortly after the Aug. 12 meeting. This is a positive access and engagement signal, but the content and intent are unknown.</t>
  </si>
  <si>
    <t>Faster executive alignment and a clearer route to the right customer and internal stakeholders.</t>
  </si>
  <si>
    <t>Potential sponsorship and internal coordination across the DMB and payments pursuits.</t>
  </si>
  <si>
    <t>Jorge; Tracy; Ryan; Todd; Amy</t>
  </si>
  <si>
    <t>Have Ryan or Tracy confirm the substance and tone of Jorge’s outreach; determine whether it provides access, guidance or advocacy and update Jorge’s role/rating only on evidence.</t>
  </si>
  <si>
    <t>Before next customer session</t>
  </si>
  <si>
    <t>Message content, purpose and resulting action are not yet known; signal does not by itself establish Coach status.</t>
  </si>
  <si>
    <t>Dependency</t>
  </si>
  <si>
    <t>Payments NDA coverage</t>
  </si>
  <si>
    <t>Todd asked whether the executed DMB mutual NDA can also cover payments.</t>
  </si>
  <si>
    <t>Faster secure exchange of statements and requirements.</t>
  </si>
  <si>
    <t>Avoid duplicate legal cycle if permitted.</t>
  </si>
  <si>
    <t>Randy; legal; Amy; Todd</t>
  </si>
  <si>
    <t>Obtain written confirmation that existing NDA covers payments or route a separate NDA.</t>
  </si>
  <si>
    <t>Todd / Amy / legal</t>
  </si>
  <si>
    <t>Before detailed data exchange</t>
  </si>
  <si>
    <t>Randy’s reply indicates approach works, but legal scope is not explicit.</t>
  </si>
  <si>
    <t>Valutec escalation</t>
  </si>
  <si>
    <t>Amy asked the Campero team to forward the prior Valutec inbox email so the appropriate manager can be engaged.</t>
  </si>
  <si>
    <t>Resolve gift-card service or ownership issue.</t>
  </si>
  <si>
    <t>Creates a targeted integration/service path.</t>
  </si>
  <si>
    <t>Campero team; Amy; Valutec manager</t>
  </si>
  <si>
    <t>Receive/forward original email and identify issue owner, history and requested outcome.</t>
  </si>
  <si>
    <t>Amy / customer owner</t>
  </si>
  <si>
    <t>Before solution sessions</t>
  </si>
  <si>
    <t>Original Valutec email not shown.</t>
  </si>
  <si>
    <t>Full RFP / decision process</t>
  </si>
  <si>
    <t>RFI response exists; full criteria, scoring, timing and authority remain incomplete.</t>
  </si>
  <si>
    <t>Fair, executable process.</t>
  </si>
  <si>
    <t>Avoid premature commitments.</t>
  </si>
  <si>
    <t>Katherine; procurement; response team</t>
  </si>
  <si>
    <t>Build compliance matrix and confirm clarification, presentation, decision and rollout dates.</t>
  </si>
  <si>
    <t>On receipt / next contact</t>
  </si>
  <si>
    <t>No verified complete process.</t>
  </si>
  <si>
    <t>Risk</t>
  </si>
  <si>
    <t>No verified EBI or coach</t>
  </si>
  <si>
    <t>Named people are hypotheses, not qualification.</t>
  </si>
  <si>
    <t>Clear governance and accountability.</t>
  </si>
  <si>
    <t>Improves access and forecast integrity.</t>
  </si>
  <si>
    <t>Luis Javier; José; Scott; procurement</t>
  </si>
  <si>
    <t>Run buying-influence validation; test Scott for coach behavior.</t>
  </si>
  <si>
    <t>First customer interaction</t>
  </si>
  <si>
    <t>Customer access incomplete.</t>
  </si>
  <si>
    <t>Decision</t>
  </si>
  <si>
    <t>Keep DMB objective separate from platform/payments expansion</t>
  </si>
  <si>
    <t>Oracle migration and sticky Olo stack may narrow broader scope.</t>
  </si>
  <si>
    <t>Low-risk choice and protected continuity.</t>
  </si>
  <si>
    <t>Win immediate wedge; earn expansion.</t>
  </si>
  <si>
    <t>Todd; Ryan; solution; payments</t>
  </si>
  <si>
    <t>Approve modular positioning and bid/no-bid gates.</t>
  </si>
  <si>
    <t>Before proposal review</t>
  </si>
  <si>
    <t>Scope and decision openness unknown.</t>
  </si>
  <si>
    <t>Resolve acquiring conflict</t>
  </si>
  <si>
    <t>Field note says Fiserv; statements show BofA for sampled stores.</t>
  </si>
  <si>
    <t>Accurate economics and transition plan.</t>
  </si>
  <si>
    <t>Credible payments proposal.</t>
  </si>
  <si>
    <t>Treasury; finance; payments</t>
  </si>
  <si>
    <t>Map acquirer, processor, gateway, entity and store/channel footprint.</t>
  </si>
  <si>
    <t>Before payments offer</t>
  </si>
  <si>
    <t>Estate architecture not reconciled.</t>
  </si>
  <si>
    <t>Payments participation pricing</t>
  </si>
  <si>
    <t>$12.50 hypothesis can fund DMB only with defined participation and margin.</t>
  </si>
  <si>
    <t>Transparent lower DMB cost.</t>
  </si>
  <si>
    <t>Broader durable relationship.</t>
  </si>
  <si>
    <t>Ryan; finance; procurement</t>
  </si>
  <si>
    <t>Model standalone and participation cases with eligibility, term and clawback.</t>
  </si>
  <si>
    <t>Todd / finance</t>
  </si>
  <si>
    <t>In analysis</t>
  </si>
  <si>
    <t>Full volume/contracts unknown.</t>
  </si>
  <si>
    <t>Olo Pay/Stripe value and switching friction</t>
  </si>
  <si>
    <t>Fraud/chargeback protection was reportedly a reason for above-store choice.</t>
  </si>
  <si>
    <t>No degradation in digital performance.</t>
  </si>
  <si>
    <t>Compete on measurable value, not price alone.</t>
  </si>
  <si>
    <t>Digital; finance; Olo owner</t>
  </si>
  <si>
    <t>Benchmark auth, fraud, dispute, token, reporting and commercial metrics.</t>
  </si>
  <si>
    <t>Digital discovery</t>
  </si>
  <si>
    <t>Performance and contract unavailable.</t>
  </si>
  <si>
    <t>White-glove managed content</t>
  </si>
  <si>
    <t>Customer requested availability; workload can vary independently of screen count.</t>
  </si>
  <si>
    <t>Lower burden with defined service.</t>
  </si>
  <si>
    <t>Recurring managed-service revenue.</t>
  </si>
  <si>
    <t>Marketing / operations</t>
  </si>
  <si>
    <t>Offer location package, included changes, SLA and overage—not unlimited per-screen labor.</t>
  </si>
  <si>
    <t>Services lead</t>
  </si>
  <si>
    <t>Proposal design</t>
  </si>
  <si>
    <t>Draft</t>
  </si>
  <si>
    <t>Workload and governance unknown.</t>
  </si>
  <si>
    <t>Configuration and field-service economics</t>
  </si>
  <si>
    <t>5 indoor average; 3–4 DT typical; dual lane 6; actual mix varies.</t>
  </si>
  <si>
    <t>Accurate price and reliable rollout.</t>
  </si>
  <si>
    <t>Protect margin and delivery credibility.</t>
  </si>
  <si>
    <t>Facilities / IT / procurement</t>
  </si>
  <si>
    <t>Price store archetypes and reconcile after inventory/site surveys.</t>
  </si>
  <si>
    <t>Deployment / finance</t>
  </si>
  <si>
    <t>Before final price</t>
  </si>
  <si>
    <t>Nine-screen case is illustrative only.</t>
  </si>
  <si>
    <t>POLLO CAMPERO — PAYMENTS &amp; DMB COMMERCIAL MODEL</t>
  </si>
  <si>
    <t>Working economics, pricing hypotheses and gates before customer commitment.</t>
  </si>
  <si>
    <t>Item</t>
  </si>
  <si>
    <t>Value</t>
  </si>
  <si>
    <t>Unit</t>
  </si>
  <si>
    <t>Commercial implication</t>
  </si>
  <si>
    <t>Required validation</t>
  </si>
  <si>
    <t>Observed statement volume</t>
  </si>
  <si>
    <t>Nine store-month sample across R016/R138/R173, Apr–Jun 2026</t>
  </si>
  <si>
    <t>USD approx.</t>
  </si>
  <si>
    <t>Useful directional baseline only; not estate economics.</t>
  </si>
  <si>
    <t>Reconcile exact workbook model and processor/entity footprint.</t>
  </si>
  <si>
    <t>Observed</t>
  </si>
  <si>
    <t>Observed all-in rate</t>
  </si>
  <si>
    <t>Weighted effective rate from prior normalized analysis</t>
  </si>
  <si>
    <t>rate</t>
  </si>
  <si>
    <t>Economics appear competitive; processor-margin room may be narrow.</t>
  </si>
  <si>
    <t>Obtain complete estate statements and contract.</t>
  </si>
  <si>
    <t>Field-reported card volume</t>
  </si>
  <si>
    <t>Annual card volume</t>
  </si>
  <si>
    <t>USD+ / year</t>
  </si>
  <si>
    <t>Low/Medium</t>
  </si>
  <si>
    <t>Payments opportunity is material if accessible.</t>
  </si>
  <si>
    <t>Confirm by channel, entity, franchise/corporate and processor.</t>
  </si>
  <si>
    <t>Standalone DMB subscription</t>
  </si>
  <si>
    <t>Working price hypothesis</t>
  </si>
  <si>
    <t>USD / screen / month</t>
  </si>
  <si>
    <t>Starting anchor before scope/BOM validation.</t>
  </si>
  <si>
    <t>Approve included features, term, escalation and minimums.</t>
  </si>
  <si>
    <t>Payments-participation DMB</t>
  </si>
  <si>
    <t>Working participation price</t>
  </si>
  <si>
    <t>Treat as conditional participation credit, not generic discount.</t>
  </si>
  <si>
    <t>Define eligible volume, products, term, minimums, clawback and margin.</t>
  </si>
  <si>
    <t>White-glove service</t>
  </si>
  <si>
    <t>Floated range</t>
  </si>
  <si>
    <t>to 50 USD / screen / month</t>
  </si>
  <si>
    <t>Per-screen pricing may misalign to workload; package by location + overage.</t>
  </si>
  <si>
    <t>Quantify changes, assets, approvals, languages, SLA and peak periods.</t>
  </si>
  <si>
    <t>Base screen archetype</t>
  </si>
  <si>
    <t>5 indoor + 4 drive-thru illustrative case</t>
  </si>
  <si>
    <t>screens / store</t>
  </si>
  <si>
    <t>Do not call it estate average; DT varies 3–4 or 6.</t>
  </si>
  <si>
    <t>Obtain actual configuration mix.</t>
  </si>
  <si>
    <t>Planning only</t>
  </si>
  <si>
    <t>Illustrative monthly standalone</t>
  </si>
  <si>
    <t>Formula: 9 screens × $25</t>
  </si>
  <si>
    <t>USD / store / month</t>
  </si>
  <si>
    <t>N/A</t>
  </si>
  <si>
    <t>Simple planning illustration.</t>
  </si>
  <si>
    <t>Replace with archetype mix and approved price.</t>
  </si>
  <si>
    <t>Calculated</t>
  </si>
  <si>
    <t>Illustrative monthly participation</t>
  </si>
  <si>
    <t>Formula: 9 screens × $12.50</t>
  </si>
  <si>
    <t>Requires qualifying payments participation.</t>
  </si>
  <si>
    <t>Replace with approved commercial rules.</t>
  </si>
  <si>
    <t>POLLO CAMPERO — PRESENTATION VIEW 1</t>
  </si>
  <si>
    <t>Objective, customer outcomes, buying influences, wins, strengths and red flags.</t>
  </si>
  <si>
    <t>Consolidate vendors to improve efficiency, economics and service while preserving fraud and chargeback protection; modernize DMB operations, integrations and lifecycle support.</t>
  </si>
  <si>
    <t>Buying influence</t>
  </si>
  <si>
    <t>Role</t>
  </si>
  <si>
    <t>Influence</t>
  </si>
  <si>
    <t>Mode</t>
  </si>
  <si>
    <t>POLLO CAMPERO — PRESENTATION VIEW 2</t>
  </si>
  <si>
    <t>Competition, position, preferences, ratings and the action implications.</t>
  </si>
  <si>
    <t>COMPETITIVE POSITION</t>
  </si>
  <si>
    <t>Win the U.S. DMB modernization program and earn the right to expand into payments and adjacent technology.</t>
  </si>
  <si>
    <t>DMB incumbents include ZoneIn and Stream. Oracle Simphony is the broader-platform threat. Olo/Olo Pay, acquiring and other installed platforms create switching boundaries. Position is shared / not yet established.</t>
  </si>
  <si>
    <t>Rating</t>
  </si>
  <si>
    <t>CRITICAL TEST</t>
  </si>
  <si>
    <t>IMMEDIATE MOVE</t>
  </si>
  <si>
    <t>Is the decision genuinely open, who controls it, and what would make Pollo Campero change?</t>
  </si>
  <si>
    <t>Use Jorge to map both buying systems; validate Economic Buyer, Coach, decision criteria, budget and timing.</t>
  </si>
  <si>
    <t>Active priority; shared/unknown competitive position; qualification remains incomplete.</t>
  </si>
  <si>
    <t>BLUE SHEET METHOD &amp; GOVERNANCE</t>
  </si>
  <si>
    <t>Internal operating standard for disciplined opportunity strategy and review.</t>
  </si>
  <si>
    <t>Area</t>
  </si>
  <si>
    <t>Standard</t>
  </si>
  <si>
    <t>Minimum evidence / output</t>
  </si>
  <si>
    <t>Purpose</t>
  </si>
  <si>
    <t>A living strategy document for one specific sales objective—not a general account-information repository.</t>
  </si>
  <si>
    <t>A clear, measurable Single Sales Objective tied to a company/area, solution, commercial outcome and customer timing.</t>
  </si>
  <si>
    <t>Core methodology</t>
  </si>
  <si>
    <t>Use Buying Influences, Win–Results, Modes, Ratings, Strengths, Red Flags, competition, perspective and the Best Action Plan as one connected strategy system.</t>
  </si>
  <si>
    <t>Each material strategy assertion is reflected in the appropriate field and converted into an implication or action.</t>
  </si>
  <si>
    <t>Evidence discipline</t>
  </si>
  <si>
    <t>Unknown stays unknown. Do not infer an Economic Buyer, Coach, influence level, mode, preference, rating, budget or decision authority.</t>
  </si>
  <si>
    <t>Observed customer behavior, direct customer statements, documented process evidence or a clearly labeled working hypothesis.</t>
  </si>
  <si>
    <t>Coach standard</t>
  </si>
  <si>
    <t>A responsive or friendly contact is not automatically a Coach. A Coach must satisfy all three Miller Heiman tests.</t>
  </si>
  <si>
    <t>We have credibility with the person; the person has credibility with the Buying Influences; the person wants our solution above all others and will advocate for it.</t>
  </si>
  <si>
    <t>Qualification score</t>
  </si>
  <si>
    <t>The five criteria are qualification tests—not optimism scores. Use Y only when the complete statement is supported.</t>
  </si>
  <si>
    <t>Evidence for budget, access, buying process, supportive Economic Buying Influence and at least one qualified Coach. Otherwise use N or U.</t>
  </si>
  <si>
    <t>Review triggers</t>
  </si>
  <si>
    <t>Review after meaningful calls, emails, RFI/RFP changes, new stakeholders, competitive intelligence, commercial decisions or material changes in access and timing.</t>
  </si>
  <si>
    <t>Updated fields, Strengths, Red Flags and Best Action Plan; material changes recorded in Actions &amp; Decisions or the Change Log where applicable.</t>
  </si>
  <si>
    <t>Structured review</t>
  </si>
  <si>
    <t>Owner tells the story; team uncovers Red Flags; team identifies Strengths; team develops perspective; team proposes actions; owner selects the Best Action Plan.</t>
  </si>
  <si>
    <t>Use the timing and prompts on Concept Card — Perspective &amp; Review.</t>
  </si>
  <si>
    <t>Action quality</t>
  </si>
  <si>
    <t>Every Best Action must be specific and executable, not a general intention.</t>
  </si>
  <si>
    <t>Named owner, target date, intended Buying Influence, expected outcome and the Red Flag reduced or Strength leveraged.</t>
  </si>
  <si>
    <t>Automation behavior</t>
  </si>
  <si>
    <t>New intelligence updates the Brand and Technology Stack when relevant and triggers a Blue Sheet review without creating duplicate sources of truth.</t>
  </si>
  <si>
    <t>Update existing records, preserve unresolved items, and surface changed assumptions or implications for human review.</t>
  </si>
  <si>
    <t>One named Blue Sheet owner is accountable for strategy quality; contributors provide functional evidence and execute assigned actions.</t>
  </si>
  <si>
    <t>Owner, contributors, last-reviewed date and next formal review are visible and current.</t>
  </si>
  <si>
    <t>Internal-use notice</t>
  </si>
  <si>
    <t>Miller Heiman terminology and supplied reference materials are proprietary and are included for internal use under the organization’s applicable rights.</t>
  </si>
  <si>
    <t>Do not redistribute the concept cards or represent this workbook as an official Miller Heiman publication.</t>
  </si>
  <si>
    <t>BLUE SHEET OWNER &amp; REVIEW CONTROL</t>
  </si>
  <si>
    <t>Blue Sheet owner</t>
  </si>
  <si>
    <t>Last reviewed</t>
  </si>
  <si>
    <t>Next formal review</t>
  </si>
  <si>
    <t>On receipt of full RFP or material new intelligence</t>
  </si>
  <si>
    <t>Core contributors</t>
  </si>
  <si>
    <t>Amy McKay; assigned solution, payments, finance and executive sponsors</t>
  </si>
  <si>
    <t>Review status</t>
  </si>
  <si>
    <t>Active / qualification incomplete</t>
  </si>
  <si>
    <t>Current critical test</t>
  </si>
  <si>
    <t>Review expectation</t>
  </si>
  <si>
    <t>Update within the normal account workflow after a material input; conduct a structured team review at major pursuit gates.</t>
  </si>
  <si>
    <t>CRITERIA STATEMENTS</t>
  </si>
  <si>
    <t>Reference definitions for the five opportunity scorecard criteria.</t>
  </si>
  <si>
    <t>Statement</t>
  </si>
  <si>
    <t>Qualification standard</t>
  </si>
  <si>
    <t>CRITERIA 1</t>
  </si>
  <si>
    <t>Sufficient budget exists.</t>
  </si>
  <si>
    <t>At least one High Degree of Influence Buying Influence has shared that sufficient budget exists for this buying decision.</t>
  </si>
  <si>
    <t>CRITERIA 2</t>
  </si>
  <si>
    <t>We have the access we need.</t>
  </si>
  <si>
    <t>We have met with, or are being provided the opportunity to meet with, the High Degree of Influence Buying Influences.</t>
  </si>
  <si>
    <t>CRITERIA 3</t>
  </si>
  <si>
    <t>We have a clear understanding of the customer’s buying process.</t>
  </si>
  <si>
    <t>We understand the cultural, financial or strategic drivers for change and have identified the approval steps, how decisions are made and the customer’s timing and priorities.</t>
  </si>
  <si>
    <t>CRITERIA 4</t>
  </si>
  <si>
    <t>We have a strong relationship with a supportive Economic Buying Influence.</t>
  </si>
  <si>
    <t>We have direct access to the Economic Buying Influence, who has a +3 rating or higher.</t>
  </si>
  <si>
    <t>CRITERIA 5</t>
  </si>
  <si>
    <t>We have at least one Coach.</t>
  </si>
  <si>
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</si>
  <si>
    <t>CONCEPT CARD — STRATEGIC SELLING</t>
  </si>
  <si>
    <t>Buying influences, wins/results, ratings, modes, strengths and red flags.</t>
  </si>
  <si>
    <t>Concept</t>
  </si>
  <si>
    <t>Definition / use</t>
  </si>
  <si>
    <t>Areas of differentiation; opportunities used to improve position; relevant to the current Single Sales Objective; can lessen price sensitivity.</t>
  </si>
  <si>
    <t>Critical information missing or unclear; new or uncontacted Buying Influences; reorganization; uncertainty about any information.</t>
  </si>
  <si>
    <t>BUYING INFLUENCES</t>
  </si>
  <si>
    <t>Economic (E): final approval and organizational impact. Technical (T): screens against specifications. User (U): judges impact on the job to be done. Coach (C): guides the sale and focuses on our success.</t>
  </si>
  <si>
    <t>COACH TEST</t>
  </si>
  <si>
    <t>We have credibility; the person has credibility with Buying Influences; the person wants our solution above all others and will advocate for it.</t>
  </si>
  <si>
    <t>WIN–RESULTS</t>
  </si>
  <si>
    <t>Wins are personal and describe how a Buying Influence’s self-interest is served. Results describe the product/service impact on the Buying Influence’s business process.</t>
  </si>
  <si>
    <t>COMPETITIVE PREFERENCES</t>
  </si>
  <si>
    <t>Buy from us; buy elsewhere; reuse funds; internal alternative; do nothing.</t>
  </si>
  <si>
    <t>DEGREE OF INFLUENCE</t>
  </si>
  <si>
    <t>High: dominant influence. Medium: some influence. Low: little influence.</t>
  </si>
  <si>
    <t>MODES</t>
  </si>
  <si>
    <t>Growth (G); Trouble (T); Even Keel (EK); Overconfident (OC).</t>
  </si>
  <si>
    <t>RATINGS +5 TO +1</t>
  </si>
  <si>
    <t>+5 proactively acts for us; +4 strongly supportive; +3 supportive and acts if asked; +2 interested; +1 no preference / follows others.</t>
  </si>
  <si>
    <t>RATINGS –1 TO –5</t>
  </si>
  <si>
    <t>–1 low interest; –2 resists; –3 negative and helps competitor if asked; –4 very negative; –5 proactively acts against us.</t>
  </si>
  <si>
    <t>WIN–WIN</t>
  </si>
  <si>
    <t>Create a strong strategy that leverages Strengths and minimizes or eliminates Red Flags.</t>
  </si>
  <si>
    <t>ACTION USE</t>
  </si>
  <si>
    <t>For each key Buying Influence, record role, influence, mode, personal win, business result, preference, rating, access and next action.</t>
  </si>
  <si>
    <t>CONCEPT CARD — PERSPECTIVE &amp; REVIEW</t>
  </si>
  <si>
    <t>Perspective, objectives, action development and Blue Sheet review cadence.</t>
  </si>
  <si>
    <t>Topic / time</t>
  </si>
  <si>
    <t>Guidance</t>
  </si>
  <si>
    <t>What is Perspective?</t>
  </si>
  <si>
    <t>Knowledge or insight that expands a customer’s understanding of one or more business issues.</t>
  </si>
  <si>
    <t>Providing Perspective</t>
  </si>
  <si>
    <t>Adopt an expansive mindset; use insight and expertise to benefit both the customer and seller.</t>
  </si>
  <si>
    <t>Customer’s Stated Objective</t>
  </si>
  <si>
    <t>A threat the customer wants to resolve or an opportunity the customer wants to capitalize on.</t>
  </si>
  <si>
    <t>Evaluation of Objective</t>
  </si>
  <si>
    <t>Examine the stated objective for ways to add value and insight beyond the customer’s expectations.</t>
  </si>
  <si>
    <t>Single Sales Objective</t>
  </si>
  <si>
    <t>Company/specific area + product/service/solution + sales revenue/other units + close date. It should be specific, clear, concise, measurable and tied to time.</t>
  </si>
  <si>
    <t>Four Perspective Strategies</t>
  </si>
  <si>
    <t>Unrecognized Problem; Unanticipated Solution; Unseen Opportunity; Broker of Capabilities.</t>
  </si>
  <si>
    <t>5 minutes</t>
  </si>
  <si>
    <t>Blue Sheet Owner tells the story without interruption.</t>
  </si>
  <si>
    <t>15 minutes</t>
  </si>
  <si>
    <t>Team asks questions to uncover additional Red Flags.</t>
  </si>
  <si>
    <t>10 minutes</t>
  </si>
  <si>
    <t>Team asks questions to uncover additional Strengths.</t>
  </si>
  <si>
    <t>Team considers opportunities to provide perspective.</t>
  </si>
  <si>
    <t>Team brainstorms possible actions and information needed.</t>
  </si>
  <si>
    <t>Team selects the Best Action Plan: highest priority, owner, recipient and timing.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</si>
</sst>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>
    <font>
      <sz val="11"/>
      <name val="Carlito"/>
    </font>
    <font>
      <b/>
      <sz val="16"/>
      <color rgb="FFFFFFFF"/>
      <name val="Carlito"/>
    </font>
    <font>
      <i/>
      <sz val="11"/>
      <color rgb="FF555555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183A61"/>
      <name val="Carlito"/>
    </font>
    <font>
      <b/>
      <sz val="11"/>
      <color rgb="FF1F2937"/>
      <name val="Carlito"/>
    </font>
    <font>
      <sz val="11"/>
      <color rgb="FF1F2937"/>
      <name val="Carlito"/>
    </font>
    <font>
      <b/>
      <sz val="11"/>
      <color rgb="FF27632A"/>
      <name val="Carlito"/>
    </font>
    <font>
      <b/>
      <sz val="11"/>
      <color rgb="FFA61B1B"/>
      <name val="Carlito"/>
    </font>
    <font>
      <b/>
      <sz val="11"/>
      <color rgb="FF2FA8DD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11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wrapText="1"/>
    </xf>
    <xf numFmtId="0" fontId="7" fillId="5" borderId="10" xfId="0" applyFont="1" applyFill="1" applyBorder="1" applyAlignment="1">
      <alignment vertical="top" wrapText="1"/>
    </xf>
    <xf numFmtId="0" fontId="6" fillId="6" borderId="1" xfId="0" applyFont="1" applyFill="1" applyBorder="1"/>
    <xf numFmtId="0" fontId="6" fillId="4" borderId="10" xfId="0" applyFont="1" applyFill="1" applyBorder="1" applyAlignment="1">
      <alignment vertical="top" wrapText="1"/>
    </xf>
    <xf numFmtId="4" fontId="7" fillId="5" borderId="10" xfId="0" applyNumberFormat="1" applyFont="1" applyFill="1" applyBorder="1" applyAlignment="1">
      <alignment vertical="top" wrapText="1"/>
    </xf>
    <xf numFmtId="10" fontId="7" fillId="5" borderId="10" xfId="0" applyNumberFormat="1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vertical="center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vertical="center" wrapText="1"/>
    </xf>
    <xf numFmtId="0" fontId="3" fillId="3" borderId="1" xfId="0" applyFont="1" applyFill="1" applyBorder="1"/>
    <xf numFmtId="0" fontId="6" fillId="6" borderId="1" xfId="0" applyFont="1" applyFill="1" applyBorder="1"/>
    <xf numFmtId="0" fontId="7" fillId="5" borderId="10" xfId="0" applyFont="1" applyFill="1" applyBorder="1" applyAlignment="1">
      <alignment vertical="top" wrapText="1"/>
    </xf>
    <xf numFmtId="0" fontId="6" fillId="4" borderId="1" xfId="0" applyFont="1" applyFill="1" applyBorder="1" applyAlignment="1">
      <alignment wrapText="1"/>
    </xf>
    <xf numFmtId="0" fontId="8" fillId="7" borderId="0" xfId="0" applyFont="1" applyFill="1"/>
    <xf numFmtId="0" fontId="9" fillId="8" borderId="0" xfId="0" applyFont="1" applyFill="1"/>
    <xf numFmtId="164" fontId="7" fillId="5" borderId="10" xfId="0" applyNumberFormat="1" applyFont="1" applyFill="1" applyBorder="1" applyAlignment="1">
      <alignment vertical="top" wrapText="1"/>
    </xf>
    <xf numFmtId="0" fontId="5" fillId="4" borderId="1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31</xdr:row>
      <xdr:rowOff>9525</xdr:rowOff>
    </xdr:from>
    <xdr:ext cx="209550" cy="209550"/>
    <xdr:pic>
      <xdr:nvPicPr>
        <xdr:cNvPr id="2" name="f9f6e94a-b011-4964-abe5-97d1f97836f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28575</xdr:colOff>
      <xdr:row>37</xdr:row>
      <xdr:rowOff>9525</xdr:rowOff>
    </xdr:from>
    <xdr:ext cx="209550" cy="209550"/>
    <xdr:pic>
      <xdr:nvPicPr>
        <xdr:cNvPr id="3" name="29af53ae-963f-4352-8ff9-fc35a3f4d27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20</xdr:row>
      <xdr:rowOff>9525</xdr:rowOff>
    </xdr:from>
    <xdr:ext cx="209550" cy="209550"/>
    <xdr:pic>
      <xdr:nvPicPr>
        <xdr:cNvPr id="2" name="4344a903-30f2-4b33-8d30-6f554f6b5d0c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28575</xdr:colOff>
      <xdr:row>20</xdr:row>
      <xdr:rowOff>9525</xdr:rowOff>
    </xdr:from>
    <xdr:ext cx="209550" cy="209550"/>
    <xdr:pic>
      <xdr:nvPicPr>
        <xdr:cNvPr id="3" name="11db7f57-8102-4d7b-9cd4-3867eb1cfecd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showGridLines="0" topLeftCell="A21" workbookViewId="0">
      <selection sqref="A1:P1"/>
    </sheetView>
  </sheetViews>
  <sheetFormatPr baseColWidth="10" defaultColWidth="8.83203125" defaultRowHeight="14"/>
  <cols>
    <col min="1" max="1" width="30" customWidth="1"/>
    <col min="2" max="2" width="13" customWidth="1"/>
    <col min="3" max="4" width="15" customWidth="1"/>
    <col min="5" max="6" width="24" customWidth="1"/>
    <col min="7" max="7" width="20" customWidth="1"/>
    <col min="8" max="8" width="11" customWidth="1"/>
    <col min="9" max="9" width="27" customWidth="1"/>
    <col min="10" max="11" width="18" customWidth="1"/>
    <col min="12" max="13" width="14" customWidth="1"/>
    <col min="14" max="14" width="18" customWidth="1"/>
    <col min="15" max="15" width="20" customWidth="1"/>
    <col min="16" max="16" width="15" customWidth="1"/>
  </cols>
  <sheetData>
    <row r="1" spans="1:16" ht="28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22" customHeight="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4" spans="1:16" ht="15">
      <c r="A4" s="13" t="s">
        <v>2</v>
      </c>
      <c r="B4" s="13"/>
      <c r="C4" s="13"/>
      <c r="D4" s="13"/>
      <c r="E4" s="13" t="s">
        <v>3</v>
      </c>
      <c r="F4" s="13"/>
      <c r="G4" s="13"/>
      <c r="H4" s="13"/>
      <c r="I4" s="13"/>
      <c r="J4" s="13"/>
      <c r="K4" s="13" t="s">
        <v>4</v>
      </c>
      <c r="L4" s="13"/>
      <c r="M4" s="13"/>
      <c r="N4" s="13"/>
      <c r="O4" s="13"/>
      <c r="P4" s="13"/>
    </row>
    <row r="5" spans="1:16" ht="44" customHeight="1">
      <c r="A5" s="2" t="s">
        <v>5</v>
      </c>
      <c r="B5" s="1" t="s">
        <v>6</v>
      </c>
      <c r="C5" s="2" t="s">
        <v>7</v>
      </c>
      <c r="D5" s="1" t="s">
        <v>8</v>
      </c>
      <c r="E5" s="16" t="s">
        <v>9</v>
      </c>
      <c r="F5" s="17"/>
      <c r="G5" s="17"/>
      <c r="H5" s="17"/>
      <c r="I5" s="17"/>
      <c r="J5" s="18"/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</row>
    <row r="6" spans="1:16" ht="44" customHeight="1">
      <c r="A6" s="2" t="s">
        <v>16</v>
      </c>
      <c r="B6" s="1" t="s">
        <v>17</v>
      </c>
      <c r="C6" s="2" t="s">
        <v>18</v>
      </c>
      <c r="D6" s="1" t="s">
        <v>19</v>
      </c>
      <c r="E6" s="19"/>
      <c r="F6" s="20"/>
      <c r="G6" s="20"/>
      <c r="H6" s="20"/>
      <c r="I6" s="20"/>
      <c r="J6" s="21"/>
      <c r="K6" s="4" t="s">
        <v>20</v>
      </c>
      <c r="L6" s="4" t="s">
        <v>21</v>
      </c>
      <c r="M6" s="4">
        <v>20</v>
      </c>
      <c r="N6" s="4">
        <f>IF(L6="Y",M6,0)</f>
        <v>0</v>
      </c>
      <c r="O6" s="4" t="s">
        <v>22</v>
      </c>
      <c r="P6" s="4" t="s">
        <v>23</v>
      </c>
    </row>
    <row r="7" spans="1:16" ht="44" customHeight="1">
      <c r="A7" s="2" t="s">
        <v>24</v>
      </c>
      <c r="B7" s="1" t="s">
        <v>25</v>
      </c>
      <c r="C7" s="2" t="s">
        <v>26</v>
      </c>
      <c r="D7" s="1" t="s">
        <v>27</v>
      </c>
      <c r="E7" s="19"/>
      <c r="F7" s="20"/>
      <c r="G7" s="20"/>
      <c r="H7" s="20"/>
      <c r="I7" s="20"/>
      <c r="J7" s="21"/>
      <c r="K7" s="4" t="s">
        <v>28</v>
      </c>
      <c r="L7" s="4" t="s">
        <v>21</v>
      </c>
      <c r="M7" s="4">
        <v>20</v>
      </c>
      <c r="N7" s="4">
        <f>IF(L7="Y",M7,0)</f>
        <v>0</v>
      </c>
      <c r="O7" s="4" t="s">
        <v>29</v>
      </c>
      <c r="P7" s="4" t="s">
        <v>30</v>
      </c>
    </row>
    <row r="8" spans="1:16" ht="44" customHeight="1">
      <c r="A8" s="2" t="s">
        <v>31</v>
      </c>
      <c r="B8" s="1" t="s">
        <v>32</v>
      </c>
      <c r="C8" s="2" t="s">
        <v>33</v>
      </c>
      <c r="D8" s="1" t="s">
        <v>34</v>
      </c>
      <c r="E8" s="19"/>
      <c r="F8" s="20"/>
      <c r="G8" s="20"/>
      <c r="H8" s="20"/>
      <c r="I8" s="20"/>
      <c r="J8" s="21"/>
      <c r="K8" s="4" t="s">
        <v>35</v>
      </c>
      <c r="L8" s="4" t="s">
        <v>21</v>
      </c>
      <c r="M8" s="4">
        <v>20</v>
      </c>
      <c r="N8" s="4">
        <f>IF(L8="Y",M8,0)</f>
        <v>0</v>
      </c>
      <c r="O8" s="4" t="s">
        <v>36</v>
      </c>
      <c r="P8" s="4" t="s">
        <v>37</v>
      </c>
    </row>
    <row r="9" spans="1:16" ht="62" customHeight="1">
      <c r="A9" s="2" t="s">
        <v>38</v>
      </c>
      <c r="B9" s="14" t="s">
        <v>39</v>
      </c>
      <c r="C9" s="15"/>
      <c r="D9" s="14"/>
      <c r="E9" s="19"/>
      <c r="F9" s="20"/>
      <c r="G9" s="20"/>
      <c r="H9" s="20"/>
      <c r="I9" s="20"/>
      <c r="J9" s="21"/>
      <c r="K9" s="4" t="s">
        <v>40</v>
      </c>
      <c r="L9" s="4" t="s">
        <v>41</v>
      </c>
      <c r="M9" s="4">
        <v>20</v>
      </c>
      <c r="N9" s="4">
        <f>IF(L9="Y",M9,0)</f>
        <v>0</v>
      </c>
      <c r="O9" s="4" t="s">
        <v>42</v>
      </c>
      <c r="P9" s="4" t="s">
        <v>43</v>
      </c>
    </row>
    <row r="10" spans="1:16" ht="44" customHeight="1">
      <c r="A10" s="2" t="s">
        <v>44</v>
      </c>
      <c r="B10" s="14" t="s">
        <v>45</v>
      </c>
      <c r="C10" s="15"/>
      <c r="D10" s="14"/>
      <c r="E10" s="22"/>
      <c r="F10" s="23"/>
      <c r="G10" s="23"/>
      <c r="H10" s="23"/>
      <c r="I10" s="23"/>
      <c r="J10" s="24"/>
      <c r="K10" s="4" t="s">
        <v>46</v>
      </c>
      <c r="L10" s="4" t="s">
        <v>41</v>
      </c>
      <c r="M10" s="4">
        <v>20</v>
      </c>
      <c r="N10" s="4">
        <f>IF(L10="Y",M10,0)</f>
        <v>0</v>
      </c>
      <c r="O10" s="4" t="s">
        <v>47</v>
      </c>
      <c r="P10" s="4" t="s">
        <v>48</v>
      </c>
    </row>
    <row r="11" spans="1:16" ht="15">
      <c r="K11" s="25" t="s">
        <v>49</v>
      </c>
      <c r="L11" s="25"/>
      <c r="M11" s="25"/>
      <c r="N11" s="5">
        <f>SUM(N6:N10)</f>
        <v>0</v>
      </c>
      <c r="O11" s="26" t="s">
        <v>50</v>
      </c>
      <c r="P11" s="26"/>
    </row>
    <row r="12" spans="1:16" ht="15">
      <c r="A12" s="13" t="s">
        <v>51</v>
      </c>
      <c r="B12" s="13"/>
      <c r="C12" s="13"/>
      <c r="D12" s="13"/>
      <c r="E12" s="13" t="s">
        <v>52</v>
      </c>
      <c r="F12" s="13"/>
      <c r="G12" s="13"/>
      <c r="H12" s="13"/>
      <c r="I12" s="13"/>
      <c r="J12" s="13"/>
      <c r="K12" s="13" t="s">
        <v>53</v>
      </c>
      <c r="L12" s="13"/>
      <c r="M12" s="13"/>
      <c r="N12" s="13"/>
      <c r="O12" s="13"/>
      <c r="P12" s="13"/>
    </row>
    <row r="13" spans="1:16" ht="42" customHeight="1">
      <c r="A13" s="6" t="s">
        <v>54</v>
      </c>
      <c r="B13" s="27" t="s">
        <v>55</v>
      </c>
      <c r="C13" s="27"/>
      <c r="D13" s="27"/>
      <c r="E13" s="27" t="s">
        <v>56</v>
      </c>
      <c r="F13" s="27"/>
      <c r="G13" s="27"/>
      <c r="H13" s="27"/>
      <c r="I13" s="27"/>
      <c r="J13" s="27"/>
      <c r="K13" s="6" t="s">
        <v>57</v>
      </c>
      <c r="L13" s="4" t="s">
        <v>58</v>
      </c>
      <c r="M13" s="4"/>
      <c r="N13" s="6" t="s">
        <v>59</v>
      </c>
      <c r="O13" s="4" t="s">
        <v>60</v>
      </c>
      <c r="P13" s="4"/>
    </row>
    <row r="14" spans="1:16" ht="42" customHeight="1">
      <c r="A14" s="6" t="s">
        <v>61</v>
      </c>
      <c r="B14" s="27" t="s">
        <v>62</v>
      </c>
      <c r="C14" s="27"/>
      <c r="D14" s="27"/>
      <c r="E14" s="27"/>
      <c r="F14" s="27"/>
      <c r="G14" s="27"/>
      <c r="H14" s="27"/>
      <c r="I14" s="27"/>
      <c r="J14" s="27"/>
      <c r="K14" s="6" t="s">
        <v>63</v>
      </c>
      <c r="L14" s="4" t="s">
        <v>34</v>
      </c>
      <c r="M14" s="4"/>
      <c r="N14" s="6" t="s">
        <v>64</v>
      </c>
      <c r="O14" s="4" t="s">
        <v>65</v>
      </c>
      <c r="P14" s="4"/>
    </row>
    <row r="15" spans="1:16" ht="42" customHeight="1">
      <c r="A15" s="6" t="s">
        <v>66</v>
      </c>
      <c r="B15" s="27" t="s">
        <v>67</v>
      </c>
      <c r="C15" s="27"/>
      <c r="D15" s="27"/>
      <c r="E15" s="27"/>
      <c r="F15" s="27"/>
      <c r="G15" s="27"/>
      <c r="H15" s="27"/>
      <c r="I15" s="27"/>
      <c r="J15" s="27"/>
      <c r="K15" s="6" t="s">
        <v>68</v>
      </c>
      <c r="L15" s="4" t="s">
        <v>69</v>
      </c>
      <c r="M15" s="4"/>
      <c r="N15" s="6" t="s">
        <v>70</v>
      </c>
      <c r="O15" s="4" t="s">
        <v>71</v>
      </c>
      <c r="P15" s="4"/>
    </row>
    <row r="17" spans="1:16" ht="15">
      <c r="A17" s="13" t="s">
        <v>72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ht="32">
      <c r="A18" s="3" t="s">
        <v>73</v>
      </c>
      <c r="B18" s="3" t="s">
        <v>74</v>
      </c>
      <c r="C18" s="3" t="s">
        <v>75</v>
      </c>
      <c r="D18" s="3" t="s">
        <v>76</v>
      </c>
      <c r="E18" s="3" t="s">
        <v>77</v>
      </c>
      <c r="F18" s="3" t="s">
        <v>78</v>
      </c>
      <c r="G18" s="3" t="s">
        <v>79</v>
      </c>
      <c r="H18" s="3" t="s">
        <v>80</v>
      </c>
      <c r="I18" s="3" t="s">
        <v>14</v>
      </c>
      <c r="J18" s="3" t="s">
        <v>81</v>
      </c>
      <c r="K18" s="28" t="s">
        <v>15</v>
      </c>
      <c r="L18" s="28"/>
      <c r="M18" s="28"/>
      <c r="N18" s="28"/>
      <c r="O18" s="28" t="s">
        <v>82</v>
      </c>
      <c r="P18" s="28"/>
    </row>
    <row r="19" spans="1:16" ht="66" customHeight="1">
      <c r="A19" s="4" t="s">
        <v>83</v>
      </c>
      <c r="B19" s="4" t="s">
        <v>84</v>
      </c>
      <c r="C19" s="4" t="s">
        <v>85</v>
      </c>
      <c r="D19" s="4" t="s">
        <v>86</v>
      </c>
      <c r="E19" s="4" t="s">
        <v>87</v>
      </c>
      <c r="F19" s="4" t="s">
        <v>88</v>
      </c>
      <c r="G19" s="4" t="s">
        <v>89</v>
      </c>
      <c r="H19" s="4">
        <v>-1</v>
      </c>
      <c r="I19" s="4" t="s">
        <v>90</v>
      </c>
      <c r="J19" s="4" t="s">
        <v>89</v>
      </c>
      <c r="K19" s="27" t="s">
        <v>91</v>
      </c>
      <c r="L19" s="27"/>
      <c r="M19" s="27"/>
      <c r="N19" s="27"/>
      <c r="O19" s="27" t="s">
        <v>92</v>
      </c>
      <c r="P19" s="27"/>
    </row>
    <row r="20" spans="1:16" ht="66" customHeight="1">
      <c r="A20" s="4" t="s">
        <v>93</v>
      </c>
      <c r="B20" s="4" t="s">
        <v>94</v>
      </c>
      <c r="C20" s="4" t="s">
        <v>85</v>
      </c>
      <c r="D20" s="4" t="s">
        <v>95</v>
      </c>
      <c r="E20" s="4" t="s">
        <v>96</v>
      </c>
      <c r="F20" s="4" t="s">
        <v>97</v>
      </c>
      <c r="G20" s="4" t="s">
        <v>89</v>
      </c>
      <c r="H20" s="4">
        <v>-2</v>
      </c>
      <c r="I20" s="4" t="s">
        <v>98</v>
      </c>
      <c r="J20" s="4" t="s">
        <v>99</v>
      </c>
      <c r="K20" s="27" t="s">
        <v>100</v>
      </c>
      <c r="L20" s="27"/>
      <c r="M20" s="27"/>
      <c r="N20" s="27"/>
      <c r="O20" s="27" t="s">
        <v>101</v>
      </c>
      <c r="P20" s="27"/>
    </row>
    <row r="21" spans="1:16" ht="66" customHeight="1">
      <c r="A21" s="4" t="s">
        <v>102</v>
      </c>
      <c r="B21" s="4" t="s">
        <v>103</v>
      </c>
      <c r="C21" s="4" t="s">
        <v>85</v>
      </c>
      <c r="D21" s="4" t="s">
        <v>104</v>
      </c>
      <c r="E21" s="4" t="s">
        <v>105</v>
      </c>
      <c r="F21" s="4" t="s">
        <v>106</v>
      </c>
      <c r="G21" s="4" t="s">
        <v>89</v>
      </c>
      <c r="H21" s="4">
        <v>0</v>
      </c>
      <c r="I21" s="4" t="s">
        <v>107</v>
      </c>
      <c r="J21" s="4" t="s">
        <v>108</v>
      </c>
      <c r="K21" s="27" t="s">
        <v>109</v>
      </c>
      <c r="L21" s="27"/>
      <c r="M21" s="27"/>
      <c r="N21" s="27"/>
      <c r="O21" s="27" t="s">
        <v>110</v>
      </c>
      <c r="P21" s="27"/>
    </row>
    <row r="22" spans="1:16" ht="66" customHeight="1">
      <c r="A22" s="4" t="s">
        <v>111</v>
      </c>
      <c r="B22" s="4" t="s">
        <v>112</v>
      </c>
      <c r="C22" s="4" t="s">
        <v>85</v>
      </c>
      <c r="D22" s="4" t="s">
        <v>113</v>
      </c>
      <c r="E22" s="4" t="s">
        <v>114</v>
      </c>
      <c r="F22" s="4" t="s">
        <v>115</v>
      </c>
      <c r="G22" s="4" t="s">
        <v>116</v>
      </c>
      <c r="H22" s="4">
        <v>2</v>
      </c>
      <c r="I22" s="4" t="s">
        <v>117</v>
      </c>
      <c r="J22" s="4" t="s">
        <v>118</v>
      </c>
      <c r="K22" s="27" t="s">
        <v>119</v>
      </c>
      <c r="L22" s="27"/>
      <c r="M22" s="27"/>
      <c r="N22" s="27"/>
      <c r="O22" s="27" t="s">
        <v>120</v>
      </c>
      <c r="P22" s="27"/>
    </row>
    <row r="23" spans="1:16" ht="66" customHeight="1">
      <c r="A23" s="4" t="s">
        <v>121</v>
      </c>
      <c r="B23" s="4" t="s">
        <v>103</v>
      </c>
      <c r="C23" s="4" t="s">
        <v>122</v>
      </c>
      <c r="D23" s="4" t="s">
        <v>104</v>
      </c>
      <c r="E23" s="4" t="s">
        <v>123</v>
      </c>
      <c r="F23" s="4" t="s">
        <v>124</v>
      </c>
      <c r="G23" s="4" t="s">
        <v>89</v>
      </c>
      <c r="H23" s="4">
        <v>1</v>
      </c>
      <c r="I23" s="4" t="s">
        <v>125</v>
      </c>
      <c r="J23" s="4" t="s">
        <v>126</v>
      </c>
      <c r="K23" s="27" t="s">
        <v>127</v>
      </c>
      <c r="L23" s="27"/>
      <c r="M23" s="27"/>
      <c r="N23" s="27"/>
      <c r="O23" s="27" t="s">
        <v>128</v>
      </c>
      <c r="P23" s="27"/>
    </row>
    <row r="24" spans="1:16" ht="66" customHeight="1">
      <c r="A24" s="4" t="s">
        <v>129</v>
      </c>
      <c r="B24" s="4" t="s">
        <v>130</v>
      </c>
      <c r="C24" s="4" t="s">
        <v>85</v>
      </c>
      <c r="D24" s="4" t="s">
        <v>86</v>
      </c>
      <c r="E24" s="4" t="s">
        <v>131</v>
      </c>
      <c r="F24" s="4" t="s">
        <v>132</v>
      </c>
      <c r="G24" s="4" t="s">
        <v>116</v>
      </c>
      <c r="H24" s="4">
        <v>2</v>
      </c>
      <c r="I24" s="4" t="s">
        <v>133</v>
      </c>
      <c r="J24" s="4" t="s">
        <v>134</v>
      </c>
      <c r="K24" s="27" t="s">
        <v>135</v>
      </c>
      <c r="L24" s="27"/>
      <c r="M24" s="27"/>
      <c r="N24" s="27"/>
      <c r="O24" s="27" t="s">
        <v>136</v>
      </c>
      <c r="P24" s="27"/>
    </row>
    <row r="25" spans="1:16" ht="66" customHeight="1">
      <c r="A25" s="4" t="s">
        <v>137</v>
      </c>
      <c r="B25" s="4" t="s">
        <v>138</v>
      </c>
      <c r="C25" s="4" t="s">
        <v>122</v>
      </c>
      <c r="D25" s="4" t="s">
        <v>89</v>
      </c>
      <c r="E25" s="4" t="s">
        <v>139</v>
      </c>
      <c r="F25" s="4" t="s">
        <v>140</v>
      </c>
      <c r="G25" s="4" t="s">
        <v>89</v>
      </c>
      <c r="H25" s="4">
        <v>-1</v>
      </c>
      <c r="I25" s="4" t="s">
        <v>141</v>
      </c>
      <c r="J25" s="4" t="s">
        <v>142</v>
      </c>
      <c r="K25" s="27" t="s">
        <v>143</v>
      </c>
      <c r="L25" s="27"/>
      <c r="M25" s="27"/>
      <c r="N25" s="27"/>
      <c r="O25" s="27" t="s">
        <v>136</v>
      </c>
      <c r="P25" s="27"/>
    </row>
    <row r="26" spans="1:16" ht="66" customHeight="1">
      <c r="A26" s="4" t="s">
        <v>144</v>
      </c>
      <c r="B26" s="4" t="s">
        <v>21</v>
      </c>
      <c r="C26" s="4" t="s">
        <v>85</v>
      </c>
      <c r="D26" s="4" t="s">
        <v>95</v>
      </c>
      <c r="E26" s="4" t="s">
        <v>145</v>
      </c>
      <c r="F26" s="4" t="s">
        <v>146</v>
      </c>
      <c r="G26" s="4" t="s">
        <v>89</v>
      </c>
      <c r="H26" s="4">
        <v>-1</v>
      </c>
      <c r="I26" s="4" t="s">
        <v>147</v>
      </c>
      <c r="J26" s="4" t="s">
        <v>99</v>
      </c>
      <c r="K26" s="27" t="s">
        <v>148</v>
      </c>
      <c r="L26" s="27"/>
      <c r="M26" s="27"/>
      <c r="N26" s="27"/>
      <c r="O26" s="27" t="s">
        <v>149</v>
      </c>
      <c r="P26" s="27"/>
    </row>
    <row r="27" spans="1:16" ht="66" customHeight="1">
      <c r="A27" s="4" t="s">
        <v>150</v>
      </c>
      <c r="B27" s="4" t="s">
        <v>130</v>
      </c>
      <c r="C27" s="4" t="s">
        <v>85</v>
      </c>
      <c r="D27" s="4" t="s">
        <v>104</v>
      </c>
      <c r="E27" s="4" t="s">
        <v>151</v>
      </c>
      <c r="F27" s="4" t="s">
        <v>152</v>
      </c>
      <c r="G27" s="4" t="s">
        <v>116</v>
      </c>
      <c r="H27" s="4">
        <v>2</v>
      </c>
      <c r="I27" s="4" t="s">
        <v>153</v>
      </c>
      <c r="J27" s="4" t="s">
        <v>154</v>
      </c>
      <c r="K27" s="27" t="s">
        <v>155</v>
      </c>
      <c r="L27" s="27"/>
      <c r="M27" s="27"/>
      <c r="N27" s="27"/>
      <c r="O27" s="27" t="s">
        <v>156</v>
      </c>
      <c r="P27" s="27"/>
    </row>
    <row r="28" spans="1:16" ht="66" customHeight="1">
      <c r="A28" s="4" t="s">
        <v>157</v>
      </c>
      <c r="B28" s="4" t="s">
        <v>158</v>
      </c>
      <c r="C28" s="4" t="s">
        <v>89</v>
      </c>
      <c r="D28" s="4" t="s">
        <v>89</v>
      </c>
      <c r="E28" s="4" t="s">
        <v>159</v>
      </c>
      <c r="F28" s="4" t="s">
        <v>160</v>
      </c>
      <c r="G28" s="4" t="s">
        <v>89</v>
      </c>
      <c r="H28" s="4">
        <v>0</v>
      </c>
      <c r="I28" s="4" t="s">
        <v>161</v>
      </c>
      <c r="J28" s="4" t="s">
        <v>126</v>
      </c>
      <c r="K28" s="27" t="s">
        <v>162</v>
      </c>
      <c r="L28" s="27"/>
      <c r="M28" s="27"/>
      <c r="N28" s="27"/>
      <c r="O28" s="27" t="s">
        <v>120</v>
      </c>
      <c r="P28" s="27"/>
    </row>
    <row r="31" spans="1:16" ht="15">
      <c r="A31" s="13" t="s">
        <v>163</v>
      </c>
      <c r="B31" s="13"/>
      <c r="C31" s="13"/>
      <c r="D31" s="13"/>
      <c r="E31" s="13" t="s">
        <v>164</v>
      </c>
      <c r="F31" s="13"/>
      <c r="G31" s="13"/>
      <c r="H31" s="13"/>
      <c r="I31" s="13"/>
      <c r="J31" s="13"/>
      <c r="K31" s="13" t="s">
        <v>165</v>
      </c>
      <c r="L31" s="13"/>
      <c r="M31" s="13"/>
      <c r="N31" s="13"/>
      <c r="O31" s="13"/>
      <c r="P31" s="13"/>
    </row>
    <row r="32" spans="1:16" ht="15">
      <c r="A32" s="29" t="s">
        <v>166</v>
      </c>
      <c r="B32" s="29"/>
      <c r="C32" s="29"/>
      <c r="D32" s="29"/>
    </row>
    <row r="33" spans="1:16" ht="44" customHeight="1">
      <c r="A33" s="27" t="s">
        <v>167</v>
      </c>
      <c r="B33" s="27"/>
      <c r="C33" s="27"/>
      <c r="D33" s="27"/>
      <c r="E33" s="27" t="s">
        <v>168</v>
      </c>
      <c r="F33" s="27"/>
      <c r="G33" s="27"/>
      <c r="H33" s="27"/>
      <c r="I33" s="27"/>
      <c r="J33" s="27"/>
      <c r="K33" s="27" t="s">
        <v>169</v>
      </c>
      <c r="L33" s="27"/>
      <c r="M33" s="27"/>
      <c r="N33" s="27" t="s">
        <v>110</v>
      </c>
      <c r="O33" s="27"/>
      <c r="P33" s="4" t="s">
        <v>170</v>
      </c>
    </row>
    <row r="34" spans="1:16" ht="44" customHeight="1">
      <c r="A34" s="27" t="s">
        <v>171</v>
      </c>
      <c r="B34" s="27"/>
      <c r="C34" s="27"/>
      <c r="D34" s="27"/>
      <c r="E34" s="27" t="s">
        <v>172</v>
      </c>
      <c r="F34" s="27"/>
      <c r="G34" s="27"/>
      <c r="H34" s="27"/>
      <c r="I34" s="27"/>
      <c r="J34" s="27"/>
      <c r="K34" s="27" t="s">
        <v>173</v>
      </c>
      <c r="L34" s="27"/>
      <c r="M34" s="27"/>
      <c r="N34" s="27" t="s">
        <v>92</v>
      </c>
      <c r="O34" s="27"/>
      <c r="P34" s="4" t="s">
        <v>174</v>
      </c>
    </row>
    <row r="35" spans="1:16" ht="44" customHeight="1">
      <c r="A35" s="27" t="s">
        <v>175</v>
      </c>
      <c r="B35" s="27"/>
      <c r="C35" s="27"/>
      <c r="D35" s="27"/>
      <c r="E35" s="27" t="s">
        <v>176</v>
      </c>
      <c r="F35" s="27"/>
      <c r="G35" s="27"/>
      <c r="H35" s="27"/>
      <c r="I35" s="27"/>
      <c r="J35" s="27"/>
      <c r="K35" s="27" t="s">
        <v>177</v>
      </c>
      <c r="L35" s="27"/>
      <c r="M35" s="27"/>
      <c r="N35" s="27" t="s">
        <v>178</v>
      </c>
      <c r="O35" s="27"/>
      <c r="P35" s="4" t="s">
        <v>179</v>
      </c>
    </row>
    <row r="36" spans="1:16" ht="44" customHeight="1">
      <c r="A36" s="27" t="s">
        <v>180</v>
      </c>
      <c r="B36" s="27"/>
      <c r="C36" s="27"/>
      <c r="D36" s="27"/>
      <c r="E36" s="27" t="s">
        <v>181</v>
      </c>
      <c r="F36" s="27"/>
      <c r="G36" s="27"/>
      <c r="H36" s="27"/>
      <c r="I36" s="27"/>
      <c r="J36" s="27"/>
      <c r="K36" s="27" t="s">
        <v>182</v>
      </c>
      <c r="L36" s="27"/>
      <c r="M36" s="27"/>
      <c r="N36" s="27" t="s">
        <v>183</v>
      </c>
      <c r="O36" s="27"/>
      <c r="P36" s="4" t="s">
        <v>184</v>
      </c>
    </row>
    <row r="38" spans="1:16" ht="15">
      <c r="A38" s="30" t="s">
        <v>185</v>
      </c>
      <c r="B38" s="30"/>
      <c r="C38" s="30"/>
      <c r="D38" s="30"/>
    </row>
    <row r="39" spans="1:16" ht="44" customHeight="1">
      <c r="A39" s="27" t="s">
        <v>186</v>
      </c>
      <c r="B39" s="27"/>
      <c r="C39" s="27"/>
      <c r="D39" s="27"/>
      <c r="E39" s="27" t="s">
        <v>187</v>
      </c>
      <c r="F39" s="27"/>
      <c r="G39" s="27"/>
      <c r="H39" s="27"/>
      <c r="I39" s="27"/>
      <c r="J39" s="27"/>
      <c r="K39" s="27" t="s">
        <v>188</v>
      </c>
      <c r="L39" s="27"/>
      <c r="M39" s="27"/>
      <c r="N39" s="27" t="s">
        <v>92</v>
      </c>
      <c r="O39" s="27"/>
      <c r="P39" s="4" t="s">
        <v>189</v>
      </c>
    </row>
    <row r="40" spans="1:16" ht="44" customHeight="1">
      <c r="A40" s="27" t="s">
        <v>190</v>
      </c>
      <c r="B40" s="27"/>
      <c r="C40" s="27"/>
      <c r="D40" s="27"/>
      <c r="E40" s="27" t="s">
        <v>191</v>
      </c>
      <c r="F40" s="27"/>
      <c r="G40" s="27"/>
      <c r="H40" s="27"/>
      <c r="I40" s="27"/>
      <c r="J40" s="27"/>
      <c r="K40" s="27" t="s">
        <v>192</v>
      </c>
      <c r="L40" s="27"/>
      <c r="M40" s="27"/>
      <c r="N40" s="27" t="s">
        <v>193</v>
      </c>
      <c r="O40" s="27"/>
      <c r="P40" s="4" t="s">
        <v>189</v>
      </c>
    </row>
    <row r="41" spans="1:16" ht="44" customHeight="1">
      <c r="A41" s="27" t="s">
        <v>194</v>
      </c>
      <c r="B41" s="27"/>
      <c r="C41" s="27"/>
      <c r="D41" s="27"/>
      <c r="E41" s="27" t="s">
        <v>195</v>
      </c>
      <c r="F41" s="27"/>
      <c r="G41" s="27"/>
      <c r="H41" s="27"/>
      <c r="I41" s="27"/>
      <c r="J41" s="27"/>
      <c r="K41" s="27" t="s">
        <v>196</v>
      </c>
      <c r="L41" s="27"/>
      <c r="M41" s="27"/>
      <c r="N41" s="27" t="s">
        <v>197</v>
      </c>
      <c r="O41" s="27"/>
      <c r="P41" s="4" t="s">
        <v>189</v>
      </c>
    </row>
    <row r="42" spans="1:16" ht="44" customHeight="1">
      <c r="A42" s="27" t="s">
        <v>198</v>
      </c>
      <c r="B42" s="27"/>
      <c r="C42" s="27"/>
      <c r="D42" s="27"/>
      <c r="E42" s="27" t="s">
        <v>199</v>
      </c>
      <c r="F42" s="27"/>
      <c r="G42" s="27"/>
      <c r="H42" s="27"/>
      <c r="I42" s="27"/>
      <c r="J42" s="27"/>
      <c r="K42" s="27" t="s">
        <v>200</v>
      </c>
      <c r="L42" s="27"/>
      <c r="M42" s="27"/>
      <c r="N42" s="27" t="s">
        <v>201</v>
      </c>
      <c r="O42" s="27"/>
      <c r="P42" s="4" t="s">
        <v>189</v>
      </c>
    </row>
    <row r="43" spans="1:16" ht="44" customHeight="1">
      <c r="A43" s="27" t="s">
        <v>202</v>
      </c>
      <c r="B43" s="27"/>
      <c r="C43" s="27"/>
      <c r="D43" s="27"/>
      <c r="E43" s="27" t="s">
        <v>203</v>
      </c>
      <c r="F43" s="27"/>
      <c r="G43" s="27"/>
      <c r="H43" s="27"/>
      <c r="I43" s="27"/>
      <c r="J43" s="27"/>
      <c r="K43" s="27" t="s">
        <v>204</v>
      </c>
      <c r="L43" s="27"/>
      <c r="M43" s="27"/>
      <c r="N43" s="27" t="s">
        <v>197</v>
      </c>
      <c r="O43" s="27"/>
      <c r="P43" s="4" t="s">
        <v>189</v>
      </c>
    </row>
  </sheetData>
  <mergeCells count="81">
    <mergeCell ref="A43:D43"/>
    <mergeCell ref="E43:J43"/>
    <mergeCell ref="K43:M43"/>
    <mergeCell ref="N43:O43"/>
    <mergeCell ref="A41:D41"/>
    <mergeCell ref="E41:J41"/>
    <mergeCell ref="K41:M41"/>
    <mergeCell ref="N41:O41"/>
    <mergeCell ref="A42:D42"/>
    <mergeCell ref="E42:J42"/>
    <mergeCell ref="K42:M42"/>
    <mergeCell ref="N42:O42"/>
    <mergeCell ref="A39:D39"/>
    <mergeCell ref="E39:J39"/>
    <mergeCell ref="K39:M39"/>
    <mergeCell ref="N39:O39"/>
    <mergeCell ref="A40:D40"/>
    <mergeCell ref="E40:J40"/>
    <mergeCell ref="K40:M40"/>
    <mergeCell ref="N40:O40"/>
    <mergeCell ref="A36:D36"/>
    <mergeCell ref="E36:J36"/>
    <mergeCell ref="K36:M36"/>
    <mergeCell ref="N36:O36"/>
    <mergeCell ref="A38:D38"/>
    <mergeCell ref="A34:D34"/>
    <mergeCell ref="E34:J34"/>
    <mergeCell ref="K34:M34"/>
    <mergeCell ref="N34:O34"/>
    <mergeCell ref="A35:D35"/>
    <mergeCell ref="E35:J35"/>
    <mergeCell ref="K35:M35"/>
    <mergeCell ref="N35:O35"/>
    <mergeCell ref="A32:D32"/>
    <mergeCell ref="A33:D33"/>
    <mergeCell ref="E33:J33"/>
    <mergeCell ref="K33:M33"/>
    <mergeCell ref="N33:O33"/>
    <mergeCell ref="K28:N28"/>
    <mergeCell ref="O28:P28"/>
    <mergeCell ref="A31:D31"/>
    <mergeCell ref="E31:J31"/>
    <mergeCell ref="K31:P31"/>
    <mergeCell ref="K25:N25"/>
    <mergeCell ref="O25:P25"/>
    <mergeCell ref="K26:N26"/>
    <mergeCell ref="O26:P26"/>
    <mergeCell ref="K27:N27"/>
    <mergeCell ref="O27:P27"/>
    <mergeCell ref="K22:N22"/>
    <mergeCell ref="O22:P22"/>
    <mergeCell ref="K23:N23"/>
    <mergeCell ref="O23:P23"/>
    <mergeCell ref="K24:N24"/>
    <mergeCell ref="O24:P24"/>
    <mergeCell ref="K19:N19"/>
    <mergeCell ref="O19:P19"/>
    <mergeCell ref="K20:N20"/>
    <mergeCell ref="O20:P20"/>
    <mergeCell ref="K21:N21"/>
    <mergeCell ref="O21:P21"/>
    <mergeCell ref="B15:D15"/>
    <mergeCell ref="E13:J15"/>
    <mergeCell ref="A17:P17"/>
    <mergeCell ref="K18:N18"/>
    <mergeCell ref="O18:P18"/>
    <mergeCell ref="A12:D12"/>
    <mergeCell ref="E12:J12"/>
    <mergeCell ref="K12:P12"/>
    <mergeCell ref="B13:D13"/>
    <mergeCell ref="B14:D14"/>
    <mergeCell ref="B9:D9"/>
    <mergeCell ref="B10:D10"/>
    <mergeCell ref="E5:J10"/>
    <mergeCell ref="K11:M11"/>
    <mergeCell ref="O11:P11"/>
    <mergeCell ref="A1:P1"/>
    <mergeCell ref="A2:P2"/>
    <mergeCell ref="A4:D4"/>
    <mergeCell ref="E4:J4"/>
    <mergeCell ref="K4:P4"/>
  </mergeCells>
  <dataValidations count="4">
    <dataValidation type="list" sqref="L6:L10" xr:uid="{00000000-0002-0000-0000-000000000000}">
      <formula1>"Y,N,U"</formula1>
    </dataValidation>
    <dataValidation type="list" sqref="B13" xr:uid="{00000000-0002-0000-0000-000001000000}">
      <formula1>"Euphoria,Great,Secure,Comfort,OK,Concern,Discomfort,Worry,Fear,Panic"</formula1>
    </dataValidation>
    <dataValidation type="list" sqref="L13" xr:uid="{00000000-0002-0000-0000-000002000000}">
      <formula1>"Prospect,Qualify,Pursue,Close"</formula1>
    </dataValidation>
    <dataValidation type="list" sqref="O14" xr:uid="{00000000-0002-0000-0000-000003000000}">
      <formula1>"Only alternative,Front-runner,Shared,Zero"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showGridLines="0" workbookViewId="0">
      <selection sqref="A1:H1"/>
    </sheetView>
  </sheetViews>
  <sheetFormatPr baseColWidth="10" defaultColWidth="8.83203125" defaultRowHeight="14"/>
  <cols>
    <col min="1" max="1" width="21" customWidth="1"/>
    <col min="2" max="2" width="50" customWidth="1"/>
    <col min="3" max="3" width="43" customWidth="1"/>
    <col min="4" max="4" width="15" customWidth="1"/>
    <col min="5" max="5" width="16" customWidth="1"/>
    <col min="6" max="6" width="39" customWidth="1"/>
    <col min="7" max="7" width="43" customWidth="1"/>
    <col min="8" max="8" width="23" customWidth="1"/>
  </cols>
  <sheetData>
    <row r="1" spans="1:8" ht="28" customHeight="1">
      <c r="A1" s="11" t="s">
        <v>205</v>
      </c>
      <c r="B1" s="11"/>
      <c r="C1" s="11"/>
      <c r="D1" s="11"/>
      <c r="E1" s="11"/>
      <c r="F1" s="11"/>
      <c r="G1" s="11"/>
      <c r="H1" s="11"/>
    </row>
    <row r="2" spans="1:8" ht="22" customHeight="1">
      <c r="A2" s="12" t="s">
        <v>206</v>
      </c>
      <c r="B2" s="12"/>
      <c r="C2" s="12"/>
      <c r="D2" s="12"/>
      <c r="E2" s="12"/>
      <c r="F2" s="12"/>
      <c r="G2" s="12"/>
      <c r="H2" s="12"/>
    </row>
    <row r="4" spans="1:8" ht="16">
      <c r="A4" s="3" t="s">
        <v>207</v>
      </c>
      <c r="B4" s="3" t="s">
        <v>208</v>
      </c>
      <c r="C4" s="3" t="s">
        <v>209</v>
      </c>
      <c r="D4" s="3" t="s">
        <v>210</v>
      </c>
      <c r="E4" s="3" t="s">
        <v>211</v>
      </c>
      <c r="F4" s="3" t="s">
        <v>212</v>
      </c>
      <c r="G4" s="3" t="s">
        <v>213</v>
      </c>
      <c r="H4" s="3" t="s">
        <v>82</v>
      </c>
    </row>
    <row r="5" spans="1:8" ht="66" customHeight="1">
      <c r="A5" s="4" t="s">
        <v>214</v>
      </c>
      <c r="B5" s="4" t="s">
        <v>215</v>
      </c>
      <c r="C5" s="4" t="s">
        <v>216</v>
      </c>
      <c r="D5" s="4" t="s">
        <v>85</v>
      </c>
      <c r="E5" s="4" t="s">
        <v>6</v>
      </c>
      <c r="F5" s="4" t="s">
        <v>217</v>
      </c>
      <c r="G5" s="4" t="s">
        <v>218</v>
      </c>
      <c r="H5" s="4" t="s">
        <v>219</v>
      </c>
    </row>
    <row r="6" spans="1:8" ht="66" customHeight="1">
      <c r="A6" s="4" t="s">
        <v>220</v>
      </c>
      <c r="B6" s="4" t="s">
        <v>221</v>
      </c>
      <c r="C6" s="4" t="s">
        <v>222</v>
      </c>
      <c r="D6" s="4" t="s">
        <v>85</v>
      </c>
      <c r="E6" s="4" t="s">
        <v>6</v>
      </c>
      <c r="F6" s="4" t="s">
        <v>223</v>
      </c>
      <c r="G6" s="4" t="s">
        <v>224</v>
      </c>
      <c r="H6" s="4" t="s">
        <v>101</v>
      </c>
    </row>
    <row r="7" spans="1:8" ht="66" customHeight="1">
      <c r="A7" s="4" t="s">
        <v>225</v>
      </c>
      <c r="B7" s="4" t="s">
        <v>226</v>
      </c>
      <c r="C7" s="4" t="s">
        <v>227</v>
      </c>
      <c r="D7" s="4" t="s">
        <v>85</v>
      </c>
      <c r="E7" s="4" t="s">
        <v>6</v>
      </c>
      <c r="F7" s="4" t="s">
        <v>228</v>
      </c>
      <c r="G7" s="4" t="s">
        <v>229</v>
      </c>
      <c r="H7" s="4" t="s">
        <v>230</v>
      </c>
    </row>
    <row r="8" spans="1:8" ht="66" customHeight="1">
      <c r="A8" s="4" t="s">
        <v>231</v>
      </c>
      <c r="B8" s="4" t="s">
        <v>232</v>
      </c>
      <c r="C8" s="4" t="s">
        <v>233</v>
      </c>
      <c r="D8" s="4" t="s">
        <v>85</v>
      </c>
      <c r="E8" s="4" t="s">
        <v>234</v>
      </c>
      <c r="F8" s="4" t="s">
        <v>235</v>
      </c>
      <c r="G8" s="4" t="s">
        <v>236</v>
      </c>
      <c r="H8" s="4" t="s">
        <v>237</v>
      </c>
    </row>
    <row r="9" spans="1:8" ht="66" customHeight="1">
      <c r="A9" s="4" t="s">
        <v>238</v>
      </c>
      <c r="B9" s="4" t="s">
        <v>239</v>
      </c>
      <c r="C9" s="4" t="s">
        <v>240</v>
      </c>
      <c r="D9" s="4" t="s">
        <v>85</v>
      </c>
      <c r="E9" s="4" t="s">
        <v>234</v>
      </c>
      <c r="F9" s="4" t="s">
        <v>241</v>
      </c>
      <c r="G9" s="4" t="s">
        <v>242</v>
      </c>
      <c r="H9" s="4" t="s">
        <v>243</v>
      </c>
    </row>
    <row r="10" spans="1:8" ht="66" customHeight="1">
      <c r="A10" s="4" t="s">
        <v>244</v>
      </c>
      <c r="B10" s="4" t="s">
        <v>245</v>
      </c>
      <c r="C10" s="4" t="s">
        <v>246</v>
      </c>
      <c r="D10" s="4" t="s">
        <v>247</v>
      </c>
      <c r="E10" s="4" t="s">
        <v>248</v>
      </c>
      <c r="F10" s="4" t="s">
        <v>249</v>
      </c>
      <c r="G10" s="4" t="s">
        <v>250</v>
      </c>
      <c r="H10" s="4" t="s">
        <v>243</v>
      </c>
    </row>
    <row r="11" spans="1:8" ht="66" customHeight="1">
      <c r="A11" s="4" t="s">
        <v>251</v>
      </c>
      <c r="B11" s="4" t="s">
        <v>252</v>
      </c>
      <c r="C11" s="4" t="s">
        <v>253</v>
      </c>
      <c r="D11" s="4" t="s">
        <v>85</v>
      </c>
      <c r="E11" s="4" t="s">
        <v>234</v>
      </c>
      <c r="F11" s="4" t="s">
        <v>254</v>
      </c>
      <c r="G11" s="4" t="s">
        <v>255</v>
      </c>
      <c r="H11" s="4" t="s">
        <v>92</v>
      </c>
    </row>
    <row r="12" spans="1:8" ht="66" customHeight="1">
      <c r="A12" s="4" t="s">
        <v>256</v>
      </c>
      <c r="B12" s="4" t="s">
        <v>257</v>
      </c>
      <c r="C12" s="4" t="s">
        <v>258</v>
      </c>
      <c r="D12" s="4" t="s">
        <v>122</v>
      </c>
      <c r="E12" s="4" t="s">
        <v>259</v>
      </c>
      <c r="F12" s="4" t="s">
        <v>260</v>
      </c>
      <c r="G12" s="4" t="s">
        <v>261</v>
      </c>
      <c r="H12" s="4" t="s">
        <v>262</v>
      </c>
    </row>
    <row r="13" spans="1:8" ht="66" customHeight="1">
      <c r="A13" s="4" t="s">
        <v>263</v>
      </c>
      <c r="B13" s="4" t="s">
        <v>264</v>
      </c>
      <c r="C13" s="4" t="s">
        <v>265</v>
      </c>
      <c r="D13" s="4" t="s">
        <v>85</v>
      </c>
      <c r="E13" s="4" t="s">
        <v>6</v>
      </c>
      <c r="F13" s="4" t="s">
        <v>266</v>
      </c>
      <c r="G13" s="4" t="s">
        <v>267</v>
      </c>
      <c r="H13" s="4" t="s">
        <v>268</v>
      </c>
    </row>
    <row r="14" spans="1:8" ht="66" customHeight="1">
      <c r="A14" s="4" t="s">
        <v>269</v>
      </c>
      <c r="B14" s="4" t="s">
        <v>270</v>
      </c>
      <c r="C14" s="4" t="s">
        <v>271</v>
      </c>
      <c r="D14" s="4" t="s">
        <v>85</v>
      </c>
      <c r="E14" s="4" t="s">
        <v>6</v>
      </c>
      <c r="F14" s="4" t="s">
        <v>272</v>
      </c>
      <c r="G14" s="4" t="s">
        <v>273</v>
      </c>
      <c r="H14" s="4" t="s">
        <v>274</v>
      </c>
    </row>
    <row r="15" spans="1:8" ht="66" customHeight="1">
      <c r="A15" s="4" t="s">
        <v>275</v>
      </c>
      <c r="B15" s="4" t="s">
        <v>276</v>
      </c>
      <c r="C15" s="4" t="s">
        <v>277</v>
      </c>
      <c r="D15" s="4" t="s">
        <v>85</v>
      </c>
      <c r="E15" s="4" t="s">
        <v>234</v>
      </c>
      <c r="F15" s="4" t="s">
        <v>278</v>
      </c>
      <c r="G15" s="4" t="s">
        <v>279</v>
      </c>
      <c r="H15" s="4" t="s">
        <v>219</v>
      </c>
    </row>
    <row r="16" spans="1:8" ht="66" customHeight="1">
      <c r="A16" s="4" t="s">
        <v>280</v>
      </c>
      <c r="B16" s="4" t="s">
        <v>281</v>
      </c>
      <c r="C16" s="4" t="s">
        <v>282</v>
      </c>
      <c r="D16" s="4" t="s">
        <v>247</v>
      </c>
      <c r="E16" s="4" t="s">
        <v>283</v>
      </c>
      <c r="F16" s="4" t="s">
        <v>284</v>
      </c>
      <c r="G16" s="4" t="s">
        <v>285</v>
      </c>
      <c r="H16" s="4" t="s">
        <v>286</v>
      </c>
    </row>
    <row r="17" spans="1:8" ht="66" customHeight="1">
      <c r="A17" s="4" t="s">
        <v>287</v>
      </c>
      <c r="B17" s="4" t="s">
        <v>288</v>
      </c>
      <c r="C17" s="4" t="s">
        <v>289</v>
      </c>
      <c r="D17" s="4" t="s">
        <v>85</v>
      </c>
      <c r="E17" s="4" t="s">
        <v>6</v>
      </c>
      <c r="F17" s="4" t="s">
        <v>290</v>
      </c>
      <c r="G17" s="4" t="s">
        <v>291</v>
      </c>
      <c r="H17" s="4" t="s">
        <v>292</v>
      </c>
    </row>
    <row r="18" spans="1:8" ht="66" customHeight="1">
      <c r="A18" s="4" t="s">
        <v>293</v>
      </c>
      <c r="B18" s="4" t="s">
        <v>294</v>
      </c>
      <c r="C18" s="4" t="s">
        <v>295</v>
      </c>
      <c r="D18" s="4" t="s">
        <v>85</v>
      </c>
      <c r="E18" s="4" t="s">
        <v>6</v>
      </c>
      <c r="F18" s="4" t="s">
        <v>296</v>
      </c>
      <c r="G18" s="4" t="s">
        <v>297</v>
      </c>
      <c r="H18" s="4" t="s">
        <v>120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"/>
  <sheetViews>
    <sheetView showGridLines="0" tabSelected="1" workbookViewId="0">
      <selection sqref="A1:K1"/>
    </sheetView>
  </sheetViews>
  <sheetFormatPr baseColWidth="10" defaultColWidth="8.83203125" defaultRowHeight="14"/>
  <cols>
    <col min="1" max="1" width="24" customWidth="1"/>
    <col min="2" max="2" width="31" customWidth="1"/>
    <col min="3" max="3" width="42" customWidth="1"/>
    <col min="4" max="4" width="13" customWidth="1"/>
    <col min="5" max="5" width="28" customWidth="1"/>
    <col min="6" max="6" width="34" customWidth="1"/>
    <col min="7" max="7" width="38" customWidth="1"/>
    <col min="8" max="8" width="31" customWidth="1"/>
    <col min="9" max="9" width="35" customWidth="1"/>
    <col min="10" max="10" width="42" customWidth="1"/>
    <col min="11" max="11" width="16" customWidth="1"/>
  </cols>
  <sheetData>
    <row r="1" spans="1:11" ht="28" customHeight="1">
      <c r="A1" s="11" t="s">
        <v>298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2" customHeight="1">
      <c r="A2" s="12" t="s">
        <v>299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16">
      <c r="A4" s="3" t="s">
        <v>300</v>
      </c>
      <c r="B4" s="3" t="s">
        <v>301</v>
      </c>
      <c r="C4" s="3" t="s">
        <v>54</v>
      </c>
      <c r="D4" s="3" t="s">
        <v>210</v>
      </c>
      <c r="E4" s="3" t="s">
        <v>302</v>
      </c>
      <c r="F4" s="3" t="s">
        <v>303</v>
      </c>
      <c r="G4" s="3" t="s">
        <v>304</v>
      </c>
      <c r="H4" s="3" t="s">
        <v>305</v>
      </c>
      <c r="I4" s="3" t="s">
        <v>306</v>
      </c>
      <c r="J4" s="3" t="s">
        <v>15</v>
      </c>
      <c r="K4" s="3" t="s">
        <v>307</v>
      </c>
    </row>
    <row r="5" spans="1:11" ht="68" customHeight="1">
      <c r="A5" s="4" t="s">
        <v>308</v>
      </c>
      <c r="B5" s="4" t="s">
        <v>309</v>
      </c>
      <c r="C5" s="4" t="s">
        <v>310</v>
      </c>
      <c r="D5" s="4" t="s">
        <v>85</v>
      </c>
      <c r="E5" s="4" t="s">
        <v>311</v>
      </c>
      <c r="F5" s="4" t="s">
        <v>312</v>
      </c>
      <c r="G5" s="4" t="s">
        <v>313</v>
      </c>
      <c r="H5" s="4" t="s">
        <v>314</v>
      </c>
      <c r="I5" s="4" t="s">
        <v>315</v>
      </c>
      <c r="J5" s="4" t="s">
        <v>316</v>
      </c>
      <c r="K5" s="4" t="s">
        <v>34</v>
      </c>
    </row>
    <row r="6" spans="1:11" ht="68" customHeight="1">
      <c r="A6" s="4" t="s">
        <v>317</v>
      </c>
      <c r="B6" s="4" t="s">
        <v>318</v>
      </c>
      <c r="C6" s="4" t="s">
        <v>319</v>
      </c>
      <c r="D6" s="4" t="s">
        <v>247</v>
      </c>
      <c r="E6" s="4" t="s">
        <v>320</v>
      </c>
      <c r="F6" s="4" t="s">
        <v>321</v>
      </c>
      <c r="G6" s="4" t="s">
        <v>322</v>
      </c>
      <c r="H6" s="4" t="s">
        <v>323</v>
      </c>
      <c r="I6" s="4" t="s">
        <v>324</v>
      </c>
      <c r="J6" s="4" t="s">
        <v>325</v>
      </c>
      <c r="K6" s="4" t="s">
        <v>326</v>
      </c>
    </row>
    <row r="7" spans="1:11" ht="68" customHeight="1">
      <c r="A7" s="4" t="s">
        <v>327</v>
      </c>
      <c r="B7" s="4" t="s">
        <v>328</v>
      </c>
      <c r="C7" s="4" t="s">
        <v>329</v>
      </c>
      <c r="D7" s="4" t="s">
        <v>330</v>
      </c>
      <c r="E7" s="4" t="s">
        <v>331</v>
      </c>
      <c r="F7" s="4" t="s">
        <v>332</v>
      </c>
      <c r="G7" s="4" t="s">
        <v>333</v>
      </c>
      <c r="H7" s="4" t="s">
        <v>334</v>
      </c>
      <c r="I7" s="4" t="s">
        <v>335</v>
      </c>
      <c r="J7" s="4" t="s">
        <v>336</v>
      </c>
      <c r="K7" s="4" t="s">
        <v>189</v>
      </c>
    </row>
    <row r="8" spans="1:11" ht="68" customHeight="1">
      <c r="A8" s="4" t="s">
        <v>337</v>
      </c>
      <c r="B8" s="4" t="s">
        <v>338</v>
      </c>
      <c r="C8" s="4" t="s">
        <v>339</v>
      </c>
      <c r="D8" s="4" t="s">
        <v>85</v>
      </c>
      <c r="E8" s="4" t="s">
        <v>340</v>
      </c>
      <c r="F8" s="4" t="s">
        <v>341</v>
      </c>
      <c r="G8" s="4" t="s">
        <v>342</v>
      </c>
      <c r="H8" s="4" t="s">
        <v>343</v>
      </c>
      <c r="I8" s="4" t="s">
        <v>344</v>
      </c>
      <c r="J8" s="4" t="s">
        <v>345</v>
      </c>
      <c r="K8" s="4" t="s">
        <v>346</v>
      </c>
    </row>
    <row r="9" spans="1:11" ht="68" customHeight="1">
      <c r="A9" s="4" t="s">
        <v>347</v>
      </c>
      <c r="B9" s="4" t="s">
        <v>348</v>
      </c>
      <c r="C9" s="4" t="s">
        <v>349</v>
      </c>
      <c r="D9" s="4" t="s">
        <v>122</v>
      </c>
      <c r="E9" s="4" t="s">
        <v>350</v>
      </c>
      <c r="F9" s="4" t="s">
        <v>351</v>
      </c>
      <c r="G9" s="4" t="s">
        <v>352</v>
      </c>
      <c r="H9" s="4" t="s">
        <v>353</v>
      </c>
      <c r="I9" s="4" t="s">
        <v>354</v>
      </c>
      <c r="J9" s="4" t="s">
        <v>355</v>
      </c>
      <c r="K9" s="4" t="s">
        <v>326</v>
      </c>
    </row>
    <row r="10" spans="1:11" ht="68" customHeight="1">
      <c r="A10" s="4" t="s">
        <v>356</v>
      </c>
      <c r="B10" s="4" t="s">
        <v>357</v>
      </c>
      <c r="C10" s="4" t="s">
        <v>358</v>
      </c>
      <c r="D10" s="4" t="s">
        <v>247</v>
      </c>
      <c r="E10" s="4" t="s">
        <v>359</v>
      </c>
      <c r="F10" s="4" t="s">
        <v>360</v>
      </c>
      <c r="G10" s="4" t="s">
        <v>361</v>
      </c>
      <c r="H10" s="4" t="s">
        <v>362</v>
      </c>
      <c r="I10" s="4" t="s">
        <v>363</v>
      </c>
      <c r="J10" s="4" t="s">
        <v>364</v>
      </c>
      <c r="K10" s="4" t="s">
        <v>365</v>
      </c>
    </row>
    <row r="11" spans="1:11" ht="68" customHeight="1">
      <c r="A11" s="4" t="s">
        <v>366</v>
      </c>
      <c r="B11" s="4" t="s">
        <v>367</v>
      </c>
      <c r="C11" s="4" t="s">
        <v>368</v>
      </c>
      <c r="D11" s="4" t="s">
        <v>247</v>
      </c>
      <c r="E11" s="4" t="s">
        <v>369</v>
      </c>
      <c r="F11" s="4" t="s">
        <v>370</v>
      </c>
      <c r="G11" s="4" t="s">
        <v>371</v>
      </c>
      <c r="H11" s="4" t="s">
        <v>372</v>
      </c>
      <c r="I11" s="4" t="s">
        <v>373</v>
      </c>
      <c r="J11" s="4" t="s">
        <v>374</v>
      </c>
      <c r="K11" s="4" t="s">
        <v>326</v>
      </c>
    </row>
    <row r="12" spans="1:11" ht="68" customHeight="1">
      <c r="A12" s="4" t="s">
        <v>375</v>
      </c>
      <c r="B12" s="4" t="s">
        <v>376</v>
      </c>
      <c r="C12" s="4" t="s">
        <v>377</v>
      </c>
      <c r="D12" s="4" t="s">
        <v>330</v>
      </c>
      <c r="E12" s="4" t="s">
        <v>378</v>
      </c>
      <c r="F12" s="4" t="s">
        <v>379</v>
      </c>
      <c r="G12" s="4" t="s">
        <v>380</v>
      </c>
      <c r="H12" s="4" t="s">
        <v>381</v>
      </c>
      <c r="I12" s="4" t="s">
        <v>382</v>
      </c>
      <c r="J12" s="4" t="s">
        <v>383</v>
      </c>
      <c r="K12" s="4" t="s">
        <v>189</v>
      </c>
    </row>
    <row r="13" spans="1:11" ht="68" customHeight="1">
      <c r="A13" s="4" t="s">
        <v>384</v>
      </c>
      <c r="B13" s="4" t="s">
        <v>385</v>
      </c>
      <c r="C13" s="4" t="s">
        <v>386</v>
      </c>
      <c r="D13" s="4" t="s">
        <v>330</v>
      </c>
      <c r="E13" s="4" t="s">
        <v>387</v>
      </c>
      <c r="F13" s="4" t="s">
        <v>388</v>
      </c>
      <c r="G13" s="4" t="s">
        <v>389</v>
      </c>
      <c r="H13" s="4" t="s">
        <v>390</v>
      </c>
      <c r="I13" s="4" t="s">
        <v>391</v>
      </c>
      <c r="J13" s="4" t="s">
        <v>392</v>
      </c>
      <c r="K13" s="4" t="s">
        <v>189</v>
      </c>
    </row>
    <row r="14" spans="1:11" ht="68" customHeight="1">
      <c r="A14" s="4" t="s">
        <v>393</v>
      </c>
      <c r="B14" s="4" t="s">
        <v>394</v>
      </c>
      <c r="C14" s="4" t="s">
        <v>395</v>
      </c>
      <c r="D14" s="4" t="s">
        <v>247</v>
      </c>
      <c r="E14" s="4" t="s">
        <v>396</v>
      </c>
      <c r="F14" s="4" t="s">
        <v>397</v>
      </c>
      <c r="G14" s="4" t="s">
        <v>398</v>
      </c>
      <c r="H14" s="4" t="s">
        <v>399</v>
      </c>
      <c r="I14" s="4" t="s">
        <v>400</v>
      </c>
      <c r="J14" s="4" t="s">
        <v>401</v>
      </c>
      <c r="K14" s="4" t="s">
        <v>326</v>
      </c>
    </row>
    <row r="15" spans="1:11" ht="68" customHeight="1">
      <c r="A15" s="4" t="s">
        <v>402</v>
      </c>
      <c r="B15" s="4" t="s">
        <v>403</v>
      </c>
      <c r="C15" s="4" t="s">
        <v>404</v>
      </c>
      <c r="D15" s="4" t="s">
        <v>122</v>
      </c>
      <c r="E15" s="4" t="s">
        <v>405</v>
      </c>
      <c r="F15" s="4" t="s">
        <v>406</v>
      </c>
      <c r="G15" s="4" t="s">
        <v>407</v>
      </c>
      <c r="H15" s="4" t="s">
        <v>408</v>
      </c>
      <c r="I15" s="4" t="s">
        <v>409</v>
      </c>
      <c r="J15" s="4" t="s">
        <v>410</v>
      </c>
      <c r="K15" s="4" t="s">
        <v>326</v>
      </c>
    </row>
    <row r="16" spans="1:11" ht="68" customHeight="1">
      <c r="A16" s="4" t="s">
        <v>411</v>
      </c>
      <c r="B16" s="4" t="s">
        <v>412</v>
      </c>
      <c r="C16" s="4" t="s">
        <v>413</v>
      </c>
      <c r="D16" s="4" t="s">
        <v>85</v>
      </c>
      <c r="E16" s="4" t="s">
        <v>414</v>
      </c>
      <c r="F16" s="4" t="s">
        <v>415</v>
      </c>
      <c r="G16" s="4" t="s">
        <v>416</v>
      </c>
      <c r="H16" s="4" t="s">
        <v>417</v>
      </c>
      <c r="I16" s="4" t="s">
        <v>418</v>
      </c>
      <c r="J16" s="4" t="s">
        <v>419</v>
      </c>
      <c r="K16" s="4" t="s">
        <v>34</v>
      </c>
    </row>
    <row r="17" spans="1:11" ht="68" customHeight="1">
      <c r="A17" s="4" t="s">
        <v>420</v>
      </c>
      <c r="B17" s="4" t="s">
        <v>421</v>
      </c>
      <c r="C17" s="4" t="s">
        <v>422</v>
      </c>
      <c r="D17" s="4" t="s">
        <v>85</v>
      </c>
      <c r="E17" s="4" t="s">
        <v>423</v>
      </c>
      <c r="F17" s="4" t="s">
        <v>424</v>
      </c>
      <c r="G17" s="4" t="s">
        <v>425</v>
      </c>
      <c r="H17" s="4" t="s">
        <v>426</v>
      </c>
      <c r="I17" s="4" t="s">
        <v>427</v>
      </c>
      <c r="J17" s="4" t="s">
        <v>428</v>
      </c>
      <c r="K17" s="4" t="s">
        <v>34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8"/>
  <sheetViews>
    <sheetView showGridLines="0" workbookViewId="0"/>
  </sheetViews>
  <sheetFormatPr baseColWidth="10" defaultColWidth="8.83203125" defaultRowHeight="14"/>
  <cols>
    <col min="1" max="1" width="15" customWidth="1"/>
    <col min="2" max="2" width="30" customWidth="1"/>
    <col min="3" max="3" width="42" customWidth="1"/>
    <col min="4" max="4" width="28" customWidth="1"/>
    <col min="5" max="5" width="30" customWidth="1"/>
    <col min="6" max="6" width="27" customWidth="1"/>
    <col min="7" max="7" width="12" customWidth="1"/>
    <col min="8" max="8" width="40" customWidth="1"/>
    <col min="9" max="9" width="24" customWidth="1"/>
    <col min="10" max="10" width="22" customWidth="1"/>
    <col min="11" max="11" width="15" customWidth="1"/>
    <col min="12" max="12" width="30" customWidth="1"/>
  </cols>
  <sheetData>
    <row r="1" spans="1:12" ht="28" customHeight="1">
      <c r="A1" s="11" t="s">
        <v>429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2" customHeight="1">
      <c r="A2" s="12" t="s">
        <v>430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ht="16">
      <c r="A4" s="3" t="s">
        <v>431</v>
      </c>
      <c r="B4" s="3" t="s">
        <v>432</v>
      </c>
      <c r="C4" s="3" t="s">
        <v>433</v>
      </c>
      <c r="D4" s="3" t="s">
        <v>434</v>
      </c>
      <c r="E4" s="3" t="s">
        <v>435</v>
      </c>
      <c r="F4" s="3" t="s">
        <v>436</v>
      </c>
      <c r="G4" s="3" t="s">
        <v>437</v>
      </c>
      <c r="H4" s="3" t="s">
        <v>438</v>
      </c>
      <c r="I4" s="3" t="s">
        <v>82</v>
      </c>
      <c r="J4" s="3" t="s">
        <v>439</v>
      </c>
      <c r="K4" s="3" t="s">
        <v>307</v>
      </c>
      <c r="L4" s="3" t="s">
        <v>440</v>
      </c>
    </row>
    <row r="5" spans="1:12" ht="68" customHeight="1">
      <c r="A5" s="4" t="s">
        <v>441</v>
      </c>
      <c r="B5" s="4" t="s">
        <v>442</v>
      </c>
      <c r="C5" s="4" t="s">
        <v>443</v>
      </c>
      <c r="D5" s="4" t="s">
        <v>444</v>
      </c>
      <c r="E5" s="4" t="s">
        <v>445</v>
      </c>
      <c r="F5" s="4" t="s">
        <v>446</v>
      </c>
      <c r="G5" s="4" t="s">
        <v>447</v>
      </c>
      <c r="H5" s="4" t="s">
        <v>448</v>
      </c>
      <c r="I5" s="4" t="s">
        <v>449</v>
      </c>
      <c r="J5" s="4" t="s">
        <v>450</v>
      </c>
      <c r="K5" s="4" t="s">
        <v>451</v>
      </c>
      <c r="L5" s="4" t="s">
        <v>452</v>
      </c>
    </row>
    <row r="6" spans="1:12" ht="68" customHeight="1">
      <c r="A6" s="4" t="s">
        <v>441</v>
      </c>
      <c r="B6" s="4" t="s">
        <v>453</v>
      </c>
      <c r="C6" s="4" t="s">
        <v>454</v>
      </c>
      <c r="D6" s="4" t="s">
        <v>455</v>
      </c>
      <c r="E6" s="4" t="s">
        <v>456</v>
      </c>
      <c r="F6" s="4" t="s">
        <v>457</v>
      </c>
      <c r="G6" s="4" t="s">
        <v>85</v>
      </c>
      <c r="H6" s="4" t="s">
        <v>458</v>
      </c>
      <c r="I6" s="4" t="s">
        <v>459</v>
      </c>
      <c r="J6" s="4" t="s">
        <v>460</v>
      </c>
      <c r="K6" s="4" t="s">
        <v>189</v>
      </c>
      <c r="L6" s="4" t="s">
        <v>461</v>
      </c>
    </row>
    <row r="7" spans="1:12" ht="68" customHeight="1">
      <c r="A7" s="4" t="s">
        <v>441</v>
      </c>
      <c r="B7" s="4" t="s">
        <v>462</v>
      </c>
      <c r="C7" s="4" t="s">
        <v>463</v>
      </c>
      <c r="D7" s="4" t="s">
        <v>464</v>
      </c>
      <c r="E7" s="4" t="s">
        <v>465</v>
      </c>
      <c r="F7" s="4" t="s">
        <v>466</v>
      </c>
      <c r="G7" s="4" t="s">
        <v>447</v>
      </c>
      <c r="H7" s="4" t="s">
        <v>467</v>
      </c>
      <c r="I7" s="4" t="s">
        <v>468</v>
      </c>
      <c r="J7" s="4" t="s">
        <v>469</v>
      </c>
      <c r="K7" s="4" t="s">
        <v>451</v>
      </c>
      <c r="L7" s="4" t="s">
        <v>470</v>
      </c>
    </row>
    <row r="8" spans="1:12" ht="68" customHeight="1">
      <c r="A8" s="4" t="s">
        <v>471</v>
      </c>
      <c r="B8" s="4" t="s">
        <v>472</v>
      </c>
      <c r="C8" s="4" t="s">
        <v>473</v>
      </c>
      <c r="D8" s="4" t="s">
        <v>474</v>
      </c>
      <c r="E8" s="4" t="s">
        <v>475</v>
      </c>
      <c r="F8" s="4" t="s">
        <v>476</v>
      </c>
      <c r="G8" s="4" t="s">
        <v>85</v>
      </c>
      <c r="H8" s="4" t="s">
        <v>477</v>
      </c>
      <c r="I8" s="4" t="s">
        <v>292</v>
      </c>
      <c r="J8" s="4" t="s">
        <v>478</v>
      </c>
      <c r="K8" s="4" t="s">
        <v>189</v>
      </c>
      <c r="L8" s="4" t="s">
        <v>479</v>
      </c>
    </row>
    <row r="9" spans="1:12" ht="68" customHeight="1">
      <c r="A9" s="4" t="s">
        <v>480</v>
      </c>
      <c r="B9" s="4" t="s">
        <v>481</v>
      </c>
      <c r="C9" s="4" t="s">
        <v>482</v>
      </c>
      <c r="D9" s="4" t="s">
        <v>483</v>
      </c>
      <c r="E9" s="4" t="s">
        <v>484</v>
      </c>
      <c r="F9" s="4" t="s">
        <v>485</v>
      </c>
      <c r="G9" s="4" t="s">
        <v>85</v>
      </c>
      <c r="H9" s="4" t="s">
        <v>486</v>
      </c>
      <c r="I9" s="4" t="s">
        <v>487</v>
      </c>
      <c r="J9" s="4" t="s">
        <v>488</v>
      </c>
      <c r="K9" s="4" t="s">
        <v>189</v>
      </c>
      <c r="L9" s="4" t="s">
        <v>489</v>
      </c>
    </row>
    <row r="10" spans="1:12" ht="68" customHeight="1">
      <c r="A10" s="4" t="s">
        <v>441</v>
      </c>
      <c r="B10" s="4" t="s">
        <v>490</v>
      </c>
      <c r="C10" s="4" t="s">
        <v>491</v>
      </c>
      <c r="D10" s="4" t="s">
        <v>492</v>
      </c>
      <c r="E10" s="4" t="s">
        <v>493</v>
      </c>
      <c r="F10" s="4" t="s">
        <v>494</v>
      </c>
      <c r="G10" s="4" t="s">
        <v>247</v>
      </c>
      <c r="H10" s="4" t="s">
        <v>495</v>
      </c>
      <c r="I10" s="4" t="s">
        <v>496</v>
      </c>
      <c r="J10" s="4" t="s">
        <v>497</v>
      </c>
      <c r="K10" s="4" t="s">
        <v>451</v>
      </c>
      <c r="L10" s="4" t="s">
        <v>498</v>
      </c>
    </row>
    <row r="11" spans="1:12" ht="68" customHeight="1">
      <c r="A11" s="4" t="s">
        <v>480</v>
      </c>
      <c r="B11" s="4" t="s">
        <v>499</v>
      </c>
      <c r="C11" s="4" t="s">
        <v>500</v>
      </c>
      <c r="D11" s="4" t="s">
        <v>501</v>
      </c>
      <c r="E11" s="4" t="s">
        <v>502</v>
      </c>
      <c r="F11" s="4" t="s">
        <v>503</v>
      </c>
      <c r="G11" s="4" t="s">
        <v>447</v>
      </c>
      <c r="H11" s="4" t="s">
        <v>504</v>
      </c>
      <c r="I11" s="4" t="s">
        <v>110</v>
      </c>
      <c r="J11" s="4" t="s">
        <v>505</v>
      </c>
      <c r="K11" s="4" t="s">
        <v>451</v>
      </c>
      <c r="L11" s="4" t="s">
        <v>506</v>
      </c>
    </row>
    <row r="12" spans="1:12" ht="68" customHeight="1">
      <c r="A12" s="4" t="s">
        <v>507</v>
      </c>
      <c r="B12" s="4" t="s">
        <v>508</v>
      </c>
      <c r="C12" s="4" t="s">
        <v>509</v>
      </c>
      <c r="D12" s="4" t="s">
        <v>510</v>
      </c>
      <c r="E12" s="4" t="s">
        <v>511</v>
      </c>
      <c r="F12" s="4" t="s">
        <v>512</v>
      </c>
      <c r="G12" s="4" t="s">
        <v>447</v>
      </c>
      <c r="H12" s="4" t="s">
        <v>513</v>
      </c>
      <c r="I12" s="4" t="s">
        <v>92</v>
      </c>
      <c r="J12" s="4" t="s">
        <v>514</v>
      </c>
      <c r="K12" s="4" t="s">
        <v>189</v>
      </c>
      <c r="L12" s="4" t="s">
        <v>515</v>
      </c>
    </row>
    <row r="13" spans="1:12" ht="68" customHeight="1">
      <c r="A13" s="4" t="s">
        <v>516</v>
      </c>
      <c r="B13" s="4" t="s">
        <v>517</v>
      </c>
      <c r="C13" s="4" t="s">
        <v>518</v>
      </c>
      <c r="D13" s="4" t="s">
        <v>519</v>
      </c>
      <c r="E13" s="4" t="s">
        <v>520</v>
      </c>
      <c r="F13" s="4" t="s">
        <v>521</v>
      </c>
      <c r="G13" s="4" t="s">
        <v>85</v>
      </c>
      <c r="H13" s="4" t="s">
        <v>522</v>
      </c>
      <c r="I13" s="4" t="s">
        <v>292</v>
      </c>
      <c r="J13" s="4" t="s">
        <v>523</v>
      </c>
      <c r="K13" s="4" t="s">
        <v>189</v>
      </c>
      <c r="L13" s="4" t="s">
        <v>524</v>
      </c>
    </row>
    <row r="14" spans="1:12" ht="68" customHeight="1">
      <c r="A14" s="4" t="s">
        <v>507</v>
      </c>
      <c r="B14" s="4" t="s">
        <v>525</v>
      </c>
      <c r="C14" s="4" t="s">
        <v>526</v>
      </c>
      <c r="D14" s="4" t="s">
        <v>527</v>
      </c>
      <c r="E14" s="4" t="s">
        <v>528</v>
      </c>
      <c r="F14" s="4" t="s">
        <v>529</v>
      </c>
      <c r="G14" s="4" t="s">
        <v>85</v>
      </c>
      <c r="H14" s="4" t="s">
        <v>530</v>
      </c>
      <c r="I14" s="4" t="s">
        <v>197</v>
      </c>
      <c r="J14" s="4" t="s">
        <v>531</v>
      </c>
      <c r="K14" s="4" t="s">
        <v>189</v>
      </c>
      <c r="L14" s="4" t="s">
        <v>532</v>
      </c>
    </row>
    <row r="15" spans="1:12" ht="68" customHeight="1">
      <c r="A15" s="4" t="s">
        <v>471</v>
      </c>
      <c r="B15" s="4" t="s">
        <v>533</v>
      </c>
      <c r="C15" s="4" t="s">
        <v>534</v>
      </c>
      <c r="D15" s="4" t="s">
        <v>535</v>
      </c>
      <c r="E15" s="4" t="s">
        <v>536</v>
      </c>
      <c r="F15" s="4" t="s">
        <v>537</v>
      </c>
      <c r="G15" s="4" t="s">
        <v>247</v>
      </c>
      <c r="H15" s="4" t="s">
        <v>538</v>
      </c>
      <c r="I15" s="4" t="s">
        <v>539</v>
      </c>
      <c r="J15" s="4" t="s">
        <v>184</v>
      </c>
      <c r="K15" s="4" t="s">
        <v>540</v>
      </c>
      <c r="L15" s="4" t="s">
        <v>541</v>
      </c>
    </row>
    <row r="16" spans="1:12" ht="68" customHeight="1">
      <c r="A16" s="4" t="s">
        <v>507</v>
      </c>
      <c r="B16" s="4" t="s">
        <v>542</v>
      </c>
      <c r="C16" s="4" t="s">
        <v>543</v>
      </c>
      <c r="D16" s="4" t="s">
        <v>544</v>
      </c>
      <c r="E16" s="4" t="s">
        <v>545</v>
      </c>
      <c r="F16" s="4" t="s">
        <v>546</v>
      </c>
      <c r="G16" s="4" t="s">
        <v>85</v>
      </c>
      <c r="H16" s="4" t="s">
        <v>547</v>
      </c>
      <c r="I16" s="4" t="s">
        <v>197</v>
      </c>
      <c r="J16" s="4" t="s">
        <v>548</v>
      </c>
      <c r="K16" s="4" t="s">
        <v>189</v>
      </c>
      <c r="L16" s="4" t="s">
        <v>549</v>
      </c>
    </row>
    <row r="17" spans="1:12" ht="68" customHeight="1">
      <c r="A17" s="4" t="s">
        <v>471</v>
      </c>
      <c r="B17" s="4" t="s">
        <v>550</v>
      </c>
      <c r="C17" s="4" t="s">
        <v>551</v>
      </c>
      <c r="D17" s="4" t="s">
        <v>552</v>
      </c>
      <c r="E17" s="4" t="s">
        <v>553</v>
      </c>
      <c r="F17" s="4" t="s">
        <v>554</v>
      </c>
      <c r="G17" s="4" t="s">
        <v>247</v>
      </c>
      <c r="H17" s="4" t="s">
        <v>555</v>
      </c>
      <c r="I17" s="4" t="s">
        <v>556</v>
      </c>
      <c r="J17" s="4" t="s">
        <v>557</v>
      </c>
      <c r="K17" s="4" t="s">
        <v>558</v>
      </c>
      <c r="L17" s="4" t="s">
        <v>559</v>
      </c>
    </row>
    <row r="18" spans="1:12" ht="68" customHeight="1">
      <c r="A18" s="4" t="s">
        <v>507</v>
      </c>
      <c r="B18" s="4" t="s">
        <v>560</v>
      </c>
      <c r="C18" s="4" t="s">
        <v>561</v>
      </c>
      <c r="D18" s="4" t="s">
        <v>562</v>
      </c>
      <c r="E18" s="4" t="s">
        <v>563</v>
      </c>
      <c r="F18" s="4" t="s">
        <v>564</v>
      </c>
      <c r="G18" s="4" t="s">
        <v>85</v>
      </c>
      <c r="H18" s="4" t="s">
        <v>565</v>
      </c>
      <c r="I18" s="4" t="s">
        <v>566</v>
      </c>
      <c r="J18" s="4" t="s">
        <v>567</v>
      </c>
      <c r="K18" s="4" t="s">
        <v>189</v>
      </c>
      <c r="L18" s="4" t="s">
        <v>568</v>
      </c>
    </row>
  </sheetData>
  <mergeCells count="2">
    <mergeCell ref="A1:L1"/>
    <mergeCell ref="A2:L2"/>
  </mergeCells>
  <dataValidations count="2">
    <dataValidation type="list" sqref="G5:G18" xr:uid="{00000000-0002-0000-0300-000000000000}">
      <formula1>"Critical,High,Medium,Low"</formula1>
    </dataValidation>
    <dataValidation type="list" sqref="K5:K18" xr:uid="{00000000-0002-0000-0300-000001000000}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showGridLines="0" workbookViewId="0"/>
  </sheetViews>
  <sheetFormatPr baseColWidth="10" defaultColWidth="8.83203125" defaultRowHeight="14"/>
  <cols>
    <col min="1" max="1" width="30" customWidth="1"/>
    <col min="2" max="2" width="46" customWidth="1"/>
    <col min="3" max="3" width="18" customWidth="1"/>
    <col min="4" max="4" width="25" customWidth="1"/>
    <col min="5" max="5" width="14" customWidth="1"/>
    <col min="6" max="6" width="44" customWidth="1"/>
    <col min="7" max="7" width="48" customWidth="1"/>
    <col min="8" max="8" width="18" customWidth="1"/>
  </cols>
  <sheetData>
    <row r="1" spans="1:8" ht="28" customHeight="1">
      <c r="A1" s="11" t="s">
        <v>569</v>
      </c>
      <c r="B1" s="11"/>
      <c r="C1" s="11"/>
      <c r="D1" s="11"/>
      <c r="E1" s="11"/>
      <c r="F1" s="11"/>
      <c r="G1" s="11"/>
      <c r="H1" s="11"/>
    </row>
    <row r="2" spans="1:8" ht="22" customHeight="1">
      <c r="A2" s="12" t="s">
        <v>570</v>
      </c>
      <c r="B2" s="12"/>
      <c r="C2" s="12"/>
      <c r="D2" s="12"/>
      <c r="E2" s="12"/>
      <c r="F2" s="12"/>
      <c r="G2" s="12"/>
      <c r="H2" s="12"/>
    </row>
    <row r="4" spans="1:8" ht="16">
      <c r="A4" s="3" t="s">
        <v>571</v>
      </c>
      <c r="B4" s="3" t="s">
        <v>14</v>
      </c>
      <c r="C4" s="3" t="s">
        <v>572</v>
      </c>
      <c r="D4" s="3" t="s">
        <v>573</v>
      </c>
      <c r="E4" s="3" t="s">
        <v>210</v>
      </c>
      <c r="F4" s="3" t="s">
        <v>574</v>
      </c>
      <c r="G4" s="3" t="s">
        <v>575</v>
      </c>
      <c r="H4" s="3" t="s">
        <v>307</v>
      </c>
    </row>
    <row r="5" spans="1:8" ht="54" customHeight="1">
      <c r="A5" s="4" t="s">
        <v>576</v>
      </c>
      <c r="B5" s="4" t="s">
        <v>577</v>
      </c>
      <c r="C5" s="7">
        <v>1236000</v>
      </c>
      <c r="D5" s="4" t="s">
        <v>578</v>
      </c>
      <c r="E5" s="4" t="s">
        <v>247</v>
      </c>
      <c r="F5" s="4" t="s">
        <v>579</v>
      </c>
      <c r="G5" s="4" t="s">
        <v>580</v>
      </c>
      <c r="H5" s="4" t="s">
        <v>581</v>
      </c>
    </row>
    <row r="6" spans="1:8" ht="54" customHeight="1">
      <c r="A6" s="4" t="s">
        <v>582</v>
      </c>
      <c r="B6" s="4" t="s">
        <v>583</v>
      </c>
      <c r="C6" s="8">
        <v>1.55E-2</v>
      </c>
      <c r="D6" s="4" t="s">
        <v>584</v>
      </c>
      <c r="E6" s="4" t="s">
        <v>247</v>
      </c>
      <c r="F6" s="4" t="s">
        <v>585</v>
      </c>
      <c r="G6" s="4" t="s">
        <v>586</v>
      </c>
      <c r="H6" s="4" t="s">
        <v>581</v>
      </c>
    </row>
    <row r="7" spans="1:8" ht="54" customHeight="1">
      <c r="A7" s="4" t="s">
        <v>587</v>
      </c>
      <c r="B7" s="4" t="s">
        <v>588</v>
      </c>
      <c r="C7" s="7">
        <v>200000000</v>
      </c>
      <c r="D7" s="4" t="s">
        <v>589</v>
      </c>
      <c r="E7" s="4" t="s">
        <v>590</v>
      </c>
      <c r="F7" s="4" t="s">
        <v>591</v>
      </c>
      <c r="G7" s="4" t="s">
        <v>592</v>
      </c>
      <c r="H7" s="4" t="s">
        <v>326</v>
      </c>
    </row>
    <row r="8" spans="1:8" ht="54" customHeight="1">
      <c r="A8" s="4" t="s">
        <v>593</v>
      </c>
      <c r="B8" s="4" t="s">
        <v>594</v>
      </c>
      <c r="C8" s="7">
        <v>25</v>
      </c>
      <c r="D8" s="4" t="s">
        <v>595</v>
      </c>
      <c r="E8" s="4" t="s">
        <v>330</v>
      </c>
      <c r="F8" s="4" t="s">
        <v>596</v>
      </c>
      <c r="G8" s="4" t="s">
        <v>597</v>
      </c>
      <c r="H8" s="4" t="s">
        <v>558</v>
      </c>
    </row>
    <row r="9" spans="1:8" ht="54" customHeight="1">
      <c r="A9" s="4" t="s">
        <v>598</v>
      </c>
      <c r="B9" s="4" t="s">
        <v>599</v>
      </c>
      <c r="C9" s="7">
        <v>12.5</v>
      </c>
      <c r="D9" s="4" t="s">
        <v>595</v>
      </c>
      <c r="E9" s="4" t="s">
        <v>330</v>
      </c>
      <c r="F9" s="4" t="s">
        <v>600</v>
      </c>
      <c r="G9" s="4" t="s">
        <v>601</v>
      </c>
      <c r="H9" s="4" t="s">
        <v>558</v>
      </c>
    </row>
    <row r="10" spans="1:8" ht="54" customHeight="1">
      <c r="A10" s="4" t="s">
        <v>602</v>
      </c>
      <c r="B10" s="4" t="s">
        <v>603</v>
      </c>
      <c r="C10" s="7">
        <v>25</v>
      </c>
      <c r="D10" s="4" t="s">
        <v>604</v>
      </c>
      <c r="E10" s="4" t="s">
        <v>330</v>
      </c>
      <c r="F10" s="4" t="s">
        <v>605</v>
      </c>
      <c r="G10" s="4" t="s">
        <v>606</v>
      </c>
      <c r="H10" s="4" t="s">
        <v>558</v>
      </c>
    </row>
    <row r="11" spans="1:8" ht="54" customHeight="1">
      <c r="A11" s="4" t="s">
        <v>607</v>
      </c>
      <c r="B11" s="4" t="s">
        <v>608</v>
      </c>
      <c r="C11" s="7">
        <v>9</v>
      </c>
      <c r="D11" s="4" t="s">
        <v>609</v>
      </c>
      <c r="E11" s="4" t="s">
        <v>247</v>
      </c>
      <c r="F11" s="4" t="s">
        <v>610</v>
      </c>
      <c r="G11" s="4" t="s">
        <v>611</v>
      </c>
      <c r="H11" s="4" t="s">
        <v>612</v>
      </c>
    </row>
    <row r="12" spans="1:8" ht="54" customHeight="1">
      <c r="A12" s="4" t="s">
        <v>613</v>
      </c>
      <c r="B12" s="4" t="s">
        <v>614</v>
      </c>
      <c r="C12" s="7">
        <f>C11*C8</f>
        <v>225</v>
      </c>
      <c r="D12" s="4" t="s">
        <v>615</v>
      </c>
      <c r="E12" s="4" t="s">
        <v>616</v>
      </c>
      <c r="F12" s="4" t="s">
        <v>617</v>
      </c>
      <c r="G12" s="4" t="s">
        <v>618</v>
      </c>
      <c r="H12" s="4" t="s">
        <v>619</v>
      </c>
    </row>
    <row r="13" spans="1:8" ht="54" customHeight="1">
      <c r="A13" s="4" t="s">
        <v>620</v>
      </c>
      <c r="B13" s="4" t="s">
        <v>621</v>
      </c>
      <c r="C13" s="7">
        <f>C11*C9</f>
        <v>112.5</v>
      </c>
      <c r="D13" s="4" t="s">
        <v>615</v>
      </c>
      <c r="E13" s="4" t="s">
        <v>616</v>
      </c>
      <c r="F13" s="4" t="s">
        <v>622</v>
      </c>
      <c r="G13" s="4" t="s">
        <v>623</v>
      </c>
      <c r="H13" s="4" t="s">
        <v>619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showGridLines="0" workbookViewId="0"/>
  </sheetViews>
  <sheetFormatPr baseColWidth="10" defaultColWidth="8.83203125" defaultRowHeight="14"/>
  <cols>
    <col min="1" max="1" width="30" customWidth="1"/>
    <col min="2" max="2" width="12" customWidth="1"/>
    <col min="3" max="3" width="14" customWidth="1"/>
    <col min="4" max="4" width="15" customWidth="1"/>
    <col min="5" max="5" width="20" customWidth="1"/>
    <col min="6" max="7" width="12" customWidth="1"/>
    <col min="8" max="8" width="20" customWidth="1"/>
    <col min="9" max="10" width="12" customWidth="1"/>
    <col min="11" max="11" width="23" customWidth="1"/>
    <col min="12" max="12" width="36" customWidth="1"/>
  </cols>
  <sheetData>
    <row r="1" spans="1:12" ht="28" customHeight="1">
      <c r="A1" s="11" t="s">
        <v>624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2" customHeight="1">
      <c r="A2" s="12" t="s">
        <v>625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ht="15">
      <c r="A4" s="13" t="s">
        <v>2</v>
      </c>
      <c r="B4" s="13"/>
      <c r="C4" s="13"/>
      <c r="D4" s="13"/>
      <c r="E4" s="13"/>
      <c r="F4" s="13"/>
      <c r="G4" s="13" t="s">
        <v>3</v>
      </c>
      <c r="H4" s="13"/>
      <c r="I4" s="13"/>
      <c r="J4" s="13"/>
      <c r="K4" s="13"/>
      <c r="L4" s="13"/>
    </row>
    <row r="5" spans="1:12">
      <c r="A5" s="27" t="s">
        <v>39</v>
      </c>
      <c r="B5" s="27"/>
      <c r="C5" s="27"/>
      <c r="D5" s="27"/>
      <c r="E5" s="27"/>
      <c r="F5" s="27"/>
      <c r="G5" s="27" t="s">
        <v>626</v>
      </c>
      <c r="H5" s="27"/>
      <c r="I5" s="27"/>
      <c r="J5" s="27"/>
      <c r="K5" s="27"/>
      <c r="L5" s="27"/>
    </row>
    <row r="6" spans="1:12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9" spans="1:12" ht="16">
      <c r="A9" s="3" t="s">
        <v>627</v>
      </c>
      <c r="B9" s="3" t="s">
        <v>628</v>
      </c>
      <c r="C9" s="3" t="s">
        <v>629</v>
      </c>
      <c r="D9" s="3" t="s">
        <v>630</v>
      </c>
      <c r="E9" s="28" t="s">
        <v>77</v>
      </c>
      <c r="F9" s="28"/>
      <c r="G9" s="28"/>
      <c r="H9" s="28" t="s">
        <v>78</v>
      </c>
      <c r="I9" s="28"/>
      <c r="J9" s="28"/>
      <c r="K9" s="3" t="s">
        <v>81</v>
      </c>
      <c r="L9" s="3" t="s">
        <v>15</v>
      </c>
    </row>
    <row r="10" spans="1:12" ht="62" customHeight="1">
      <c r="A10" s="4" t="s">
        <v>83</v>
      </c>
      <c r="B10" s="4" t="s">
        <v>84</v>
      </c>
      <c r="C10" s="4" t="s">
        <v>85</v>
      </c>
      <c r="D10" s="4" t="s">
        <v>86</v>
      </c>
      <c r="E10" s="27" t="s">
        <v>87</v>
      </c>
      <c r="F10" s="27"/>
      <c r="G10" s="27"/>
      <c r="H10" s="27" t="s">
        <v>88</v>
      </c>
      <c r="I10" s="27"/>
      <c r="J10" s="27"/>
      <c r="K10" s="4" t="s">
        <v>89</v>
      </c>
      <c r="L10" s="4" t="s">
        <v>91</v>
      </c>
    </row>
    <row r="11" spans="1:12" ht="62" customHeight="1">
      <c r="A11" s="4" t="s">
        <v>93</v>
      </c>
      <c r="B11" s="4" t="s">
        <v>94</v>
      </c>
      <c r="C11" s="4" t="s">
        <v>85</v>
      </c>
      <c r="D11" s="4" t="s">
        <v>95</v>
      </c>
      <c r="E11" s="27" t="s">
        <v>96</v>
      </c>
      <c r="F11" s="27"/>
      <c r="G11" s="27"/>
      <c r="H11" s="27" t="s">
        <v>97</v>
      </c>
      <c r="I11" s="27"/>
      <c r="J11" s="27"/>
      <c r="K11" s="4" t="s">
        <v>99</v>
      </c>
      <c r="L11" s="4" t="s">
        <v>100</v>
      </c>
    </row>
    <row r="12" spans="1:12" ht="62" customHeight="1">
      <c r="A12" s="4" t="s">
        <v>102</v>
      </c>
      <c r="B12" s="4" t="s">
        <v>103</v>
      </c>
      <c r="C12" s="4" t="s">
        <v>85</v>
      </c>
      <c r="D12" s="4" t="s">
        <v>104</v>
      </c>
      <c r="E12" s="27" t="s">
        <v>105</v>
      </c>
      <c r="F12" s="27"/>
      <c r="G12" s="27"/>
      <c r="H12" s="27" t="s">
        <v>106</v>
      </c>
      <c r="I12" s="27"/>
      <c r="J12" s="27"/>
      <c r="K12" s="4" t="s">
        <v>108</v>
      </c>
      <c r="L12" s="4" t="s">
        <v>109</v>
      </c>
    </row>
    <row r="13" spans="1:12" ht="62" customHeight="1">
      <c r="A13" s="4" t="s">
        <v>111</v>
      </c>
      <c r="B13" s="4" t="s">
        <v>112</v>
      </c>
      <c r="C13" s="4" t="s">
        <v>85</v>
      </c>
      <c r="D13" s="4" t="s">
        <v>113</v>
      </c>
      <c r="E13" s="27" t="s">
        <v>114</v>
      </c>
      <c r="F13" s="27"/>
      <c r="G13" s="27"/>
      <c r="H13" s="27" t="s">
        <v>115</v>
      </c>
      <c r="I13" s="27"/>
      <c r="J13" s="27"/>
      <c r="K13" s="4" t="s">
        <v>118</v>
      </c>
      <c r="L13" s="4" t="s">
        <v>119</v>
      </c>
    </row>
    <row r="14" spans="1:12" ht="62" customHeight="1">
      <c r="A14" s="4" t="s">
        <v>121</v>
      </c>
      <c r="B14" s="4" t="s">
        <v>103</v>
      </c>
      <c r="C14" s="4" t="s">
        <v>122</v>
      </c>
      <c r="D14" s="4" t="s">
        <v>104</v>
      </c>
      <c r="E14" s="27" t="s">
        <v>123</v>
      </c>
      <c r="F14" s="27"/>
      <c r="G14" s="27"/>
      <c r="H14" s="27" t="s">
        <v>124</v>
      </c>
      <c r="I14" s="27"/>
      <c r="J14" s="27"/>
      <c r="K14" s="4" t="s">
        <v>126</v>
      </c>
      <c r="L14" s="4" t="s">
        <v>127</v>
      </c>
    </row>
    <row r="15" spans="1:12" ht="62" customHeight="1">
      <c r="A15" s="4" t="s">
        <v>129</v>
      </c>
      <c r="B15" s="4" t="s">
        <v>130</v>
      </c>
      <c r="C15" s="4" t="s">
        <v>85</v>
      </c>
      <c r="D15" s="4" t="s">
        <v>86</v>
      </c>
      <c r="E15" s="27" t="s">
        <v>131</v>
      </c>
      <c r="F15" s="27"/>
      <c r="G15" s="27"/>
      <c r="H15" s="27" t="s">
        <v>132</v>
      </c>
      <c r="I15" s="27"/>
      <c r="J15" s="27"/>
      <c r="K15" s="4" t="s">
        <v>134</v>
      </c>
      <c r="L15" s="4" t="s">
        <v>135</v>
      </c>
    </row>
    <row r="16" spans="1:12" ht="62" customHeight="1">
      <c r="A16" s="4" t="s">
        <v>137</v>
      </c>
      <c r="B16" s="4" t="s">
        <v>138</v>
      </c>
      <c r="C16" s="4" t="s">
        <v>122</v>
      </c>
      <c r="D16" s="4" t="s">
        <v>89</v>
      </c>
      <c r="E16" s="27" t="s">
        <v>139</v>
      </c>
      <c r="F16" s="27"/>
      <c r="G16" s="27"/>
      <c r="H16" s="27" t="s">
        <v>140</v>
      </c>
      <c r="I16" s="27"/>
      <c r="J16" s="27"/>
      <c r="K16" s="4" t="s">
        <v>142</v>
      </c>
      <c r="L16" s="4" t="s">
        <v>143</v>
      </c>
    </row>
    <row r="17" spans="1:12" ht="62" customHeight="1">
      <c r="A17" s="4" t="s">
        <v>144</v>
      </c>
      <c r="B17" s="4" t="s">
        <v>21</v>
      </c>
      <c r="C17" s="4" t="s">
        <v>85</v>
      </c>
      <c r="D17" s="4" t="s">
        <v>95</v>
      </c>
      <c r="E17" s="27" t="s">
        <v>145</v>
      </c>
      <c r="F17" s="27"/>
      <c r="G17" s="27"/>
      <c r="H17" s="27" t="s">
        <v>146</v>
      </c>
      <c r="I17" s="27"/>
      <c r="J17" s="27"/>
      <c r="K17" s="4" t="s">
        <v>99</v>
      </c>
      <c r="L17" s="4" t="s">
        <v>148</v>
      </c>
    </row>
    <row r="18" spans="1:12" ht="62" customHeight="1">
      <c r="A18" s="4" t="s">
        <v>150</v>
      </c>
      <c r="B18" s="4" t="s">
        <v>130</v>
      </c>
      <c r="C18" s="4" t="s">
        <v>85</v>
      </c>
      <c r="D18" s="4" t="s">
        <v>104</v>
      </c>
      <c r="E18" s="27" t="s">
        <v>151</v>
      </c>
      <c r="F18" s="27"/>
      <c r="G18" s="27"/>
      <c r="H18" s="27" t="s">
        <v>152</v>
      </c>
      <c r="I18" s="27"/>
      <c r="J18" s="27"/>
      <c r="K18" s="4" t="s">
        <v>154</v>
      </c>
      <c r="L18" s="4" t="s">
        <v>155</v>
      </c>
    </row>
    <row r="19" spans="1:12" ht="62" customHeight="1">
      <c r="A19" s="4" t="s">
        <v>157</v>
      </c>
      <c r="B19" s="4" t="s">
        <v>158</v>
      </c>
      <c r="C19" s="4" t="s">
        <v>89</v>
      </c>
      <c r="D19" s="4" t="s">
        <v>89</v>
      </c>
      <c r="E19" s="27" t="s">
        <v>159</v>
      </c>
      <c r="F19" s="27"/>
      <c r="G19" s="27"/>
      <c r="H19" s="27" t="s">
        <v>160</v>
      </c>
      <c r="I19" s="27"/>
      <c r="J19" s="27"/>
      <c r="K19" s="4" t="s">
        <v>126</v>
      </c>
      <c r="L19" s="4" t="s">
        <v>162</v>
      </c>
    </row>
    <row r="21" spans="1:12" ht="15">
      <c r="A21" s="13" t="s">
        <v>166</v>
      </c>
      <c r="B21" s="13"/>
      <c r="C21" s="13"/>
      <c r="D21" s="13"/>
      <c r="E21" s="13"/>
      <c r="F21" s="13"/>
      <c r="G21" s="13" t="s">
        <v>185</v>
      </c>
      <c r="H21" s="13"/>
      <c r="I21" s="13"/>
      <c r="J21" s="13"/>
      <c r="K21" s="13"/>
      <c r="L21" s="13"/>
    </row>
    <row r="22" spans="1:12" ht="38" customHeight="1">
      <c r="A22" s="27" t="s">
        <v>167</v>
      </c>
      <c r="B22" s="27"/>
      <c r="C22" s="27"/>
      <c r="D22" s="27"/>
      <c r="E22" s="27"/>
      <c r="F22" s="27"/>
      <c r="G22" s="27" t="s">
        <v>186</v>
      </c>
      <c r="H22" s="27"/>
      <c r="I22" s="27"/>
      <c r="J22" s="27"/>
      <c r="K22" s="27"/>
      <c r="L22" s="27"/>
    </row>
    <row r="23" spans="1:12" ht="38" customHeight="1">
      <c r="A23" s="27" t="s">
        <v>171</v>
      </c>
      <c r="B23" s="27"/>
      <c r="C23" s="27"/>
      <c r="D23" s="27"/>
      <c r="E23" s="27"/>
      <c r="F23" s="27"/>
      <c r="G23" s="27" t="s">
        <v>190</v>
      </c>
      <c r="H23" s="27"/>
      <c r="I23" s="27"/>
      <c r="J23" s="27"/>
      <c r="K23" s="27"/>
      <c r="L23" s="27"/>
    </row>
    <row r="24" spans="1:12" ht="38" customHeight="1">
      <c r="A24" s="27" t="s">
        <v>175</v>
      </c>
      <c r="B24" s="27"/>
      <c r="C24" s="27"/>
      <c r="D24" s="27"/>
      <c r="E24" s="27"/>
      <c r="F24" s="27"/>
      <c r="G24" s="27" t="s">
        <v>194</v>
      </c>
      <c r="H24" s="27"/>
      <c r="I24" s="27"/>
      <c r="J24" s="27"/>
      <c r="K24" s="27"/>
      <c r="L24" s="27"/>
    </row>
    <row r="25" spans="1:12" ht="38" customHeight="1">
      <c r="A25" s="27" t="s">
        <v>180</v>
      </c>
      <c r="B25" s="27"/>
      <c r="C25" s="27"/>
      <c r="D25" s="27"/>
      <c r="E25" s="27"/>
      <c r="F25" s="27"/>
      <c r="G25" s="27" t="s">
        <v>198</v>
      </c>
      <c r="H25" s="27"/>
      <c r="I25" s="27"/>
      <c r="J25" s="27"/>
      <c r="K25" s="27"/>
      <c r="L25" s="27"/>
    </row>
    <row r="26" spans="1:12" ht="38" customHeight="1">
      <c r="A26" s="4"/>
      <c r="B26" s="4"/>
      <c r="C26" s="4"/>
      <c r="D26" s="4"/>
      <c r="E26" s="4"/>
      <c r="F26" s="4"/>
      <c r="G26" s="27" t="s">
        <v>202</v>
      </c>
      <c r="H26" s="27"/>
      <c r="I26" s="27"/>
      <c r="J26" s="27"/>
      <c r="K26" s="27"/>
      <c r="L26" s="27"/>
    </row>
  </sheetData>
  <mergeCells count="39">
    <mergeCell ref="G26:L26"/>
    <mergeCell ref="A22:F22"/>
    <mergeCell ref="A23:F23"/>
    <mergeCell ref="A24:F24"/>
    <mergeCell ref="A25:F25"/>
    <mergeCell ref="G22:L22"/>
    <mergeCell ref="G23:L23"/>
    <mergeCell ref="G24:L24"/>
    <mergeCell ref="G25:L25"/>
    <mergeCell ref="E18:G18"/>
    <mergeCell ref="H18:J18"/>
    <mergeCell ref="E19:G19"/>
    <mergeCell ref="H19:J19"/>
    <mergeCell ref="A21:F21"/>
    <mergeCell ref="G21:L21"/>
    <mergeCell ref="E15:G15"/>
    <mergeCell ref="H15:J15"/>
    <mergeCell ref="E16:G16"/>
    <mergeCell ref="H16:J16"/>
    <mergeCell ref="E17:G17"/>
    <mergeCell ref="H17:J17"/>
    <mergeCell ref="E12:G12"/>
    <mergeCell ref="H12:J12"/>
    <mergeCell ref="E13:G13"/>
    <mergeCell ref="H13:J13"/>
    <mergeCell ref="E14:G14"/>
    <mergeCell ref="H14:J14"/>
    <mergeCell ref="E9:G9"/>
    <mergeCell ref="H9:J9"/>
    <mergeCell ref="E10:G10"/>
    <mergeCell ref="H10:J10"/>
    <mergeCell ref="E11:G11"/>
    <mergeCell ref="H11:J11"/>
    <mergeCell ref="A1:L1"/>
    <mergeCell ref="A2:L2"/>
    <mergeCell ref="A4:F4"/>
    <mergeCell ref="G4:L4"/>
    <mergeCell ref="A5:F7"/>
    <mergeCell ref="G5:L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4"/>
  <sheetViews>
    <sheetView showGridLines="0" workbookViewId="0"/>
  </sheetViews>
  <sheetFormatPr baseColWidth="10" defaultColWidth="8.83203125" defaultRowHeight="14"/>
  <cols>
    <col min="1" max="1" width="30" customWidth="1"/>
    <col min="2" max="2" width="12" customWidth="1"/>
    <col min="3" max="3" width="14" customWidth="1"/>
    <col min="4" max="4" width="15" customWidth="1"/>
    <col min="5" max="5" width="21" customWidth="1"/>
    <col min="6" max="7" width="10" customWidth="1"/>
    <col min="8" max="8" width="22" customWidth="1"/>
    <col min="9" max="10" width="12" customWidth="1"/>
    <col min="11" max="12" width="25" customWidth="1"/>
  </cols>
  <sheetData>
    <row r="1" spans="1:12" ht="28" customHeight="1">
      <c r="A1" s="11" t="s">
        <v>631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22" customHeight="1">
      <c r="A2" s="12" t="s">
        <v>632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4" spans="1:12" ht="15">
      <c r="A4" s="13" t="s">
        <v>2</v>
      </c>
      <c r="B4" s="13"/>
      <c r="C4" s="13"/>
      <c r="D4" s="13"/>
      <c r="E4" s="13"/>
      <c r="F4" s="13"/>
      <c r="G4" s="13" t="s">
        <v>633</v>
      </c>
      <c r="H4" s="13"/>
      <c r="I4" s="13"/>
      <c r="J4" s="13"/>
      <c r="K4" s="13"/>
      <c r="L4" s="13"/>
    </row>
    <row r="5" spans="1:12">
      <c r="A5" s="27" t="s">
        <v>634</v>
      </c>
      <c r="B5" s="27"/>
      <c r="C5" s="27"/>
      <c r="D5" s="27"/>
      <c r="E5" s="27"/>
      <c r="F5" s="27"/>
      <c r="G5" s="27" t="s">
        <v>635</v>
      </c>
      <c r="H5" s="27"/>
      <c r="I5" s="27"/>
      <c r="J5" s="27"/>
      <c r="K5" s="27"/>
      <c r="L5" s="27"/>
    </row>
    <row r="6" spans="1:12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9" spans="1:12" ht="16">
      <c r="A9" s="3" t="s">
        <v>627</v>
      </c>
      <c r="B9" s="3" t="s">
        <v>628</v>
      </c>
      <c r="C9" s="3" t="s">
        <v>629</v>
      </c>
      <c r="D9" s="3" t="s">
        <v>630</v>
      </c>
      <c r="E9" s="28" t="s">
        <v>79</v>
      </c>
      <c r="F9" s="28"/>
      <c r="G9" s="3" t="s">
        <v>636</v>
      </c>
      <c r="H9" s="28" t="s">
        <v>14</v>
      </c>
      <c r="I9" s="28"/>
      <c r="J9" s="28"/>
      <c r="K9" s="28" t="s">
        <v>15</v>
      </c>
      <c r="L9" s="28"/>
    </row>
    <row r="10" spans="1:12" ht="62" customHeight="1">
      <c r="A10" s="4" t="s">
        <v>83</v>
      </c>
      <c r="B10" s="4" t="s">
        <v>84</v>
      </c>
      <c r="C10" s="4" t="s">
        <v>85</v>
      </c>
      <c r="D10" s="4" t="s">
        <v>86</v>
      </c>
      <c r="E10" s="27" t="s">
        <v>89</v>
      </c>
      <c r="F10" s="27"/>
      <c r="G10" s="4">
        <v>-1</v>
      </c>
      <c r="H10" s="27" t="s">
        <v>90</v>
      </c>
      <c r="I10" s="27"/>
      <c r="J10" s="27"/>
      <c r="K10" s="27" t="s">
        <v>91</v>
      </c>
      <c r="L10" s="27"/>
    </row>
    <row r="11" spans="1:12" ht="62" customHeight="1">
      <c r="A11" s="4" t="s">
        <v>93</v>
      </c>
      <c r="B11" s="4" t="s">
        <v>94</v>
      </c>
      <c r="C11" s="4" t="s">
        <v>85</v>
      </c>
      <c r="D11" s="4" t="s">
        <v>95</v>
      </c>
      <c r="E11" s="27" t="s">
        <v>89</v>
      </c>
      <c r="F11" s="27"/>
      <c r="G11" s="4">
        <v>-2</v>
      </c>
      <c r="H11" s="27" t="s">
        <v>98</v>
      </c>
      <c r="I11" s="27"/>
      <c r="J11" s="27"/>
      <c r="K11" s="27" t="s">
        <v>100</v>
      </c>
      <c r="L11" s="27"/>
    </row>
    <row r="12" spans="1:12" ht="62" customHeight="1">
      <c r="A12" s="4" t="s">
        <v>102</v>
      </c>
      <c r="B12" s="4" t="s">
        <v>103</v>
      </c>
      <c r="C12" s="4" t="s">
        <v>85</v>
      </c>
      <c r="D12" s="4" t="s">
        <v>104</v>
      </c>
      <c r="E12" s="27" t="s">
        <v>89</v>
      </c>
      <c r="F12" s="27"/>
      <c r="G12" s="4">
        <v>0</v>
      </c>
      <c r="H12" s="27" t="s">
        <v>107</v>
      </c>
      <c r="I12" s="27"/>
      <c r="J12" s="27"/>
      <c r="K12" s="27" t="s">
        <v>109</v>
      </c>
      <c r="L12" s="27"/>
    </row>
    <row r="13" spans="1:12" ht="62" customHeight="1">
      <c r="A13" s="4" t="s">
        <v>111</v>
      </c>
      <c r="B13" s="4" t="s">
        <v>112</v>
      </c>
      <c r="C13" s="4" t="s">
        <v>85</v>
      </c>
      <c r="D13" s="4" t="s">
        <v>113</v>
      </c>
      <c r="E13" s="27" t="s">
        <v>116</v>
      </c>
      <c r="F13" s="27"/>
      <c r="G13" s="4">
        <v>2</v>
      </c>
      <c r="H13" s="27" t="s">
        <v>117</v>
      </c>
      <c r="I13" s="27"/>
      <c r="J13" s="27"/>
      <c r="K13" s="27" t="s">
        <v>119</v>
      </c>
      <c r="L13" s="27"/>
    </row>
    <row r="14" spans="1:12" ht="62" customHeight="1">
      <c r="A14" s="4" t="s">
        <v>121</v>
      </c>
      <c r="B14" s="4" t="s">
        <v>103</v>
      </c>
      <c r="C14" s="4" t="s">
        <v>122</v>
      </c>
      <c r="D14" s="4" t="s">
        <v>104</v>
      </c>
      <c r="E14" s="27" t="s">
        <v>89</v>
      </c>
      <c r="F14" s="27"/>
      <c r="G14" s="4">
        <v>1</v>
      </c>
      <c r="H14" s="27" t="s">
        <v>125</v>
      </c>
      <c r="I14" s="27"/>
      <c r="J14" s="27"/>
      <c r="K14" s="27" t="s">
        <v>127</v>
      </c>
      <c r="L14" s="27"/>
    </row>
    <row r="15" spans="1:12" ht="62" customHeight="1">
      <c r="A15" s="4" t="s">
        <v>129</v>
      </c>
      <c r="B15" s="4" t="s">
        <v>130</v>
      </c>
      <c r="C15" s="4" t="s">
        <v>85</v>
      </c>
      <c r="D15" s="4" t="s">
        <v>86</v>
      </c>
      <c r="E15" s="27" t="s">
        <v>116</v>
      </c>
      <c r="F15" s="27"/>
      <c r="G15" s="4">
        <v>2</v>
      </c>
      <c r="H15" s="27" t="s">
        <v>133</v>
      </c>
      <c r="I15" s="27"/>
      <c r="J15" s="27"/>
      <c r="K15" s="27" t="s">
        <v>135</v>
      </c>
      <c r="L15" s="27"/>
    </row>
    <row r="16" spans="1:12" ht="62" customHeight="1">
      <c r="A16" s="4" t="s">
        <v>137</v>
      </c>
      <c r="B16" s="4" t="s">
        <v>138</v>
      </c>
      <c r="C16" s="4" t="s">
        <v>122</v>
      </c>
      <c r="D16" s="4" t="s">
        <v>89</v>
      </c>
      <c r="E16" s="27" t="s">
        <v>89</v>
      </c>
      <c r="F16" s="27"/>
      <c r="G16" s="4">
        <v>-1</v>
      </c>
      <c r="H16" s="27" t="s">
        <v>141</v>
      </c>
      <c r="I16" s="27"/>
      <c r="J16" s="27"/>
      <c r="K16" s="27" t="s">
        <v>143</v>
      </c>
      <c r="L16" s="27"/>
    </row>
    <row r="17" spans="1:12" ht="62" customHeight="1">
      <c r="A17" s="4" t="s">
        <v>144</v>
      </c>
      <c r="B17" s="4" t="s">
        <v>21</v>
      </c>
      <c r="C17" s="4" t="s">
        <v>85</v>
      </c>
      <c r="D17" s="4" t="s">
        <v>95</v>
      </c>
      <c r="E17" s="27" t="s">
        <v>89</v>
      </c>
      <c r="F17" s="27"/>
      <c r="G17" s="4">
        <v>-1</v>
      </c>
      <c r="H17" s="27" t="s">
        <v>147</v>
      </c>
      <c r="I17" s="27"/>
      <c r="J17" s="27"/>
      <c r="K17" s="27" t="s">
        <v>148</v>
      </c>
      <c r="L17" s="27"/>
    </row>
    <row r="18" spans="1:12" ht="62" customHeight="1">
      <c r="A18" s="4" t="s">
        <v>150</v>
      </c>
      <c r="B18" s="4" t="s">
        <v>130</v>
      </c>
      <c r="C18" s="4" t="s">
        <v>85</v>
      </c>
      <c r="D18" s="4" t="s">
        <v>104</v>
      </c>
      <c r="E18" s="27" t="s">
        <v>116</v>
      </c>
      <c r="F18" s="27"/>
      <c r="G18" s="4">
        <v>2</v>
      </c>
      <c r="H18" s="27" t="s">
        <v>153</v>
      </c>
      <c r="I18" s="27"/>
      <c r="J18" s="27"/>
      <c r="K18" s="27" t="s">
        <v>155</v>
      </c>
      <c r="L18" s="27"/>
    </row>
    <row r="19" spans="1:12" ht="62" customHeight="1">
      <c r="A19" s="4" t="s">
        <v>157</v>
      </c>
      <c r="B19" s="4" t="s">
        <v>158</v>
      </c>
      <c r="C19" s="4" t="s">
        <v>89</v>
      </c>
      <c r="D19" s="4" t="s">
        <v>89</v>
      </c>
      <c r="E19" s="27" t="s">
        <v>89</v>
      </c>
      <c r="F19" s="27"/>
      <c r="G19" s="4">
        <v>0</v>
      </c>
      <c r="H19" s="27" t="s">
        <v>161</v>
      </c>
      <c r="I19" s="27"/>
      <c r="J19" s="27"/>
      <c r="K19" s="27" t="s">
        <v>162</v>
      </c>
      <c r="L19" s="27"/>
    </row>
    <row r="21" spans="1:12" ht="15">
      <c r="A21" s="13" t="s">
        <v>637</v>
      </c>
      <c r="B21" s="13"/>
      <c r="C21" s="13"/>
      <c r="D21" s="13"/>
      <c r="E21" s="13" t="s">
        <v>638</v>
      </c>
      <c r="F21" s="13"/>
      <c r="G21" s="13"/>
      <c r="H21" s="13"/>
      <c r="I21" s="13" t="s">
        <v>53</v>
      </c>
      <c r="J21" s="13"/>
      <c r="K21" s="13"/>
      <c r="L21" s="13"/>
    </row>
    <row r="22" spans="1:12">
      <c r="A22" s="27" t="s">
        <v>639</v>
      </c>
      <c r="B22" s="27"/>
      <c r="C22" s="27"/>
      <c r="D22" s="27"/>
      <c r="E22" s="27" t="s">
        <v>640</v>
      </c>
      <c r="F22" s="27"/>
      <c r="G22" s="27"/>
      <c r="H22" s="27"/>
      <c r="I22" s="27" t="s">
        <v>641</v>
      </c>
      <c r="J22" s="27"/>
      <c r="K22" s="27"/>
      <c r="L22" s="27"/>
    </row>
    <row r="23" spans="1:12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spans="1:1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</row>
  </sheetData>
  <mergeCells count="45">
    <mergeCell ref="A22:D24"/>
    <mergeCell ref="E22:H24"/>
    <mergeCell ref="I22:L24"/>
    <mergeCell ref="E19:F19"/>
    <mergeCell ref="H19:J19"/>
    <mergeCell ref="K19:L19"/>
    <mergeCell ref="A21:D21"/>
    <mergeCell ref="E21:H21"/>
    <mergeCell ref="I21:L21"/>
    <mergeCell ref="E17:F17"/>
    <mergeCell ref="H17:J17"/>
    <mergeCell ref="K17:L17"/>
    <mergeCell ref="E18:F18"/>
    <mergeCell ref="H18:J18"/>
    <mergeCell ref="K18:L18"/>
    <mergeCell ref="E15:F15"/>
    <mergeCell ref="H15:J15"/>
    <mergeCell ref="K15:L15"/>
    <mergeCell ref="E16:F16"/>
    <mergeCell ref="H16:J16"/>
    <mergeCell ref="K16:L16"/>
    <mergeCell ref="E13:F13"/>
    <mergeCell ref="H13:J13"/>
    <mergeCell ref="K13:L13"/>
    <mergeCell ref="E14:F14"/>
    <mergeCell ref="H14:J14"/>
    <mergeCell ref="K14:L14"/>
    <mergeCell ref="E11:F11"/>
    <mergeCell ref="H11:J11"/>
    <mergeCell ref="K11:L11"/>
    <mergeCell ref="E12:F12"/>
    <mergeCell ref="H12:J12"/>
    <mergeCell ref="K12:L12"/>
    <mergeCell ref="E9:F9"/>
    <mergeCell ref="H9:J9"/>
    <mergeCell ref="K9:L9"/>
    <mergeCell ref="E10:F10"/>
    <mergeCell ref="H10:J10"/>
    <mergeCell ref="K10:L10"/>
    <mergeCell ref="A1:L1"/>
    <mergeCell ref="A2:L2"/>
    <mergeCell ref="A4:F4"/>
    <mergeCell ref="G4:L4"/>
    <mergeCell ref="A5:F7"/>
    <mergeCell ref="G5:L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showGridLines="0" workbookViewId="0"/>
  </sheetViews>
  <sheetFormatPr baseColWidth="10" defaultColWidth="8.83203125" defaultRowHeight="14"/>
  <cols>
    <col min="1" max="1" width="22" customWidth="1"/>
    <col min="2" max="2" width="20" customWidth="1"/>
    <col min="3" max="3" width="15" customWidth="1"/>
    <col min="4" max="4" width="16" customWidth="1"/>
    <col min="5" max="5" width="18" customWidth="1"/>
    <col min="6" max="6" width="15" customWidth="1"/>
    <col min="7" max="8" width="24" customWidth="1"/>
    <col min="9" max="10" width="20" customWidth="1"/>
  </cols>
  <sheetData>
    <row r="1" spans="1:10" ht="28" customHeight="1">
      <c r="A1" s="11" t="s">
        <v>642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22" customHeight="1">
      <c r="A2" s="12" t="s">
        <v>643</v>
      </c>
      <c r="B2" s="12"/>
      <c r="C2" s="12"/>
      <c r="D2" s="12"/>
      <c r="E2" s="12"/>
      <c r="F2" s="12"/>
      <c r="G2" s="12"/>
      <c r="H2" s="12"/>
      <c r="I2" s="12"/>
      <c r="J2" s="12"/>
    </row>
    <row r="4" spans="1:10" ht="16">
      <c r="A4" s="3" t="s">
        <v>644</v>
      </c>
      <c r="B4" s="28" t="s">
        <v>645</v>
      </c>
      <c r="C4" s="28"/>
      <c r="D4" s="28"/>
      <c r="E4" s="28"/>
      <c r="F4" s="28"/>
      <c r="G4" s="28" t="s">
        <v>646</v>
      </c>
      <c r="H4" s="28"/>
      <c r="I4" s="28"/>
      <c r="J4" s="28"/>
    </row>
    <row r="5" spans="1:10" ht="54" customHeight="1">
      <c r="A5" s="9" t="s">
        <v>647</v>
      </c>
      <c r="B5" s="27" t="s">
        <v>648</v>
      </c>
      <c r="C5" s="27"/>
      <c r="D5" s="27"/>
      <c r="E5" s="27"/>
      <c r="F5" s="27"/>
      <c r="G5" s="27" t="s">
        <v>649</v>
      </c>
      <c r="H5" s="27"/>
      <c r="I5" s="27"/>
      <c r="J5" s="27"/>
    </row>
    <row r="6" spans="1:10" ht="54" customHeight="1">
      <c r="A6" s="9" t="s">
        <v>650</v>
      </c>
      <c r="B6" s="27" t="s">
        <v>651</v>
      </c>
      <c r="C6" s="27"/>
      <c r="D6" s="27"/>
      <c r="E6" s="27"/>
      <c r="F6" s="27"/>
      <c r="G6" s="27" t="s">
        <v>652</v>
      </c>
      <c r="H6" s="27"/>
      <c r="I6" s="27"/>
      <c r="J6" s="27"/>
    </row>
    <row r="7" spans="1:10" ht="54" customHeight="1">
      <c r="A7" s="9" t="s">
        <v>653</v>
      </c>
      <c r="B7" s="27" t="s">
        <v>654</v>
      </c>
      <c r="C7" s="27"/>
      <c r="D7" s="27"/>
      <c r="E7" s="27"/>
      <c r="F7" s="27"/>
      <c r="G7" s="27" t="s">
        <v>655</v>
      </c>
      <c r="H7" s="27"/>
      <c r="I7" s="27"/>
      <c r="J7" s="27"/>
    </row>
    <row r="8" spans="1:10" ht="54" customHeight="1">
      <c r="A8" s="9" t="s">
        <v>656</v>
      </c>
      <c r="B8" s="27" t="s">
        <v>657</v>
      </c>
      <c r="C8" s="27"/>
      <c r="D8" s="27"/>
      <c r="E8" s="27"/>
      <c r="F8" s="27"/>
      <c r="G8" s="27" t="s">
        <v>658</v>
      </c>
      <c r="H8" s="27"/>
      <c r="I8" s="27"/>
      <c r="J8" s="27"/>
    </row>
    <row r="9" spans="1:10" ht="54" customHeight="1">
      <c r="A9" s="9" t="s">
        <v>659</v>
      </c>
      <c r="B9" s="27" t="s">
        <v>660</v>
      </c>
      <c r="C9" s="27"/>
      <c r="D9" s="27"/>
      <c r="E9" s="27"/>
      <c r="F9" s="27"/>
      <c r="G9" s="27" t="s">
        <v>661</v>
      </c>
      <c r="H9" s="27"/>
      <c r="I9" s="27"/>
      <c r="J9" s="27"/>
    </row>
    <row r="10" spans="1:10" ht="54" customHeight="1">
      <c r="A10" s="9" t="s">
        <v>662</v>
      </c>
      <c r="B10" s="27" t="s">
        <v>663</v>
      </c>
      <c r="C10" s="27"/>
      <c r="D10" s="27"/>
      <c r="E10" s="27"/>
      <c r="F10" s="27"/>
      <c r="G10" s="27" t="s">
        <v>664</v>
      </c>
      <c r="H10" s="27"/>
      <c r="I10" s="27"/>
      <c r="J10" s="27"/>
    </row>
    <row r="11" spans="1:10" ht="54" customHeight="1">
      <c r="A11" s="9" t="s">
        <v>665</v>
      </c>
      <c r="B11" s="27" t="s">
        <v>666</v>
      </c>
      <c r="C11" s="27"/>
      <c r="D11" s="27"/>
      <c r="E11" s="27"/>
      <c r="F11" s="27"/>
      <c r="G11" s="27" t="s">
        <v>667</v>
      </c>
      <c r="H11" s="27"/>
      <c r="I11" s="27"/>
      <c r="J11" s="27"/>
    </row>
    <row r="12" spans="1:10" ht="54" customHeight="1">
      <c r="A12" s="9" t="s">
        <v>668</v>
      </c>
      <c r="B12" s="27" t="s">
        <v>669</v>
      </c>
      <c r="C12" s="27"/>
      <c r="D12" s="27"/>
      <c r="E12" s="27"/>
      <c r="F12" s="27"/>
      <c r="G12" s="27" t="s">
        <v>670</v>
      </c>
      <c r="H12" s="27"/>
      <c r="I12" s="27"/>
      <c r="J12" s="27"/>
    </row>
    <row r="13" spans="1:10" ht="54" customHeight="1">
      <c r="A13" s="9" t="s">
        <v>671</v>
      </c>
      <c r="B13" s="27" t="s">
        <v>672</v>
      </c>
      <c r="C13" s="27"/>
      <c r="D13" s="27"/>
      <c r="E13" s="27"/>
      <c r="F13" s="27"/>
      <c r="G13" s="27" t="s">
        <v>673</v>
      </c>
      <c r="H13" s="27"/>
      <c r="I13" s="27"/>
      <c r="J13" s="27"/>
    </row>
    <row r="14" spans="1:10" ht="54" customHeight="1">
      <c r="A14" s="9" t="s">
        <v>220</v>
      </c>
      <c r="B14" s="27" t="s">
        <v>674</v>
      </c>
      <c r="C14" s="27"/>
      <c r="D14" s="27"/>
      <c r="E14" s="27"/>
      <c r="F14" s="27"/>
      <c r="G14" s="27" t="s">
        <v>675</v>
      </c>
      <c r="H14" s="27"/>
      <c r="I14" s="27"/>
      <c r="J14" s="27"/>
    </row>
    <row r="15" spans="1:10" ht="54" customHeight="1">
      <c r="A15" s="9" t="s">
        <v>676</v>
      </c>
      <c r="B15" s="27" t="s">
        <v>677</v>
      </c>
      <c r="C15" s="27"/>
      <c r="D15" s="27"/>
      <c r="E15" s="27"/>
      <c r="F15" s="27"/>
      <c r="G15" s="27" t="s">
        <v>678</v>
      </c>
      <c r="H15" s="27"/>
      <c r="I15" s="27"/>
      <c r="J15" s="27"/>
    </row>
    <row r="17" spans="1:10" ht="15">
      <c r="A17" s="13" t="s">
        <v>679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ht="48" customHeight="1">
      <c r="A18" s="6" t="s">
        <v>680</v>
      </c>
      <c r="B18" s="27" t="s">
        <v>8</v>
      </c>
      <c r="C18" s="27"/>
      <c r="D18" s="6" t="s">
        <v>681</v>
      </c>
      <c r="E18" s="31">
        <v>46255</v>
      </c>
      <c r="F18" s="27"/>
      <c r="G18" s="6" t="s">
        <v>682</v>
      </c>
      <c r="H18" s="27" t="s">
        <v>683</v>
      </c>
      <c r="I18" s="27"/>
      <c r="J18" s="27"/>
    </row>
    <row r="19" spans="1:10" ht="48" customHeight="1">
      <c r="A19" s="6" t="s">
        <v>684</v>
      </c>
      <c r="B19" s="27" t="s">
        <v>685</v>
      </c>
      <c r="C19" s="27"/>
      <c r="D19" s="6" t="s">
        <v>686</v>
      </c>
      <c r="E19" s="27" t="s">
        <v>687</v>
      </c>
      <c r="F19" s="27"/>
      <c r="G19" s="6" t="s">
        <v>688</v>
      </c>
      <c r="H19" s="27" t="s">
        <v>639</v>
      </c>
      <c r="I19" s="27"/>
      <c r="J19" s="27"/>
    </row>
    <row r="20" spans="1:10" ht="48" customHeight="1">
      <c r="A20" s="6" t="s">
        <v>689</v>
      </c>
      <c r="B20" s="27" t="s">
        <v>690</v>
      </c>
      <c r="C20" s="27"/>
      <c r="D20" s="27"/>
      <c r="E20" s="27"/>
      <c r="F20" s="27"/>
      <c r="G20" s="27"/>
      <c r="H20" s="27"/>
      <c r="I20" s="27"/>
      <c r="J20" s="27"/>
    </row>
  </sheetData>
  <mergeCells count="34">
    <mergeCell ref="B19:C19"/>
    <mergeCell ref="E19:F19"/>
    <mergeCell ref="H19:J19"/>
    <mergeCell ref="B20:J20"/>
    <mergeCell ref="B15:F15"/>
    <mergeCell ref="G15:J15"/>
    <mergeCell ref="A17:J17"/>
    <mergeCell ref="B18:C18"/>
    <mergeCell ref="E18:F18"/>
    <mergeCell ref="H18:J18"/>
    <mergeCell ref="B12:F12"/>
    <mergeCell ref="G12:J12"/>
    <mergeCell ref="B13:F13"/>
    <mergeCell ref="G13:J13"/>
    <mergeCell ref="B14:F14"/>
    <mergeCell ref="G14:J14"/>
    <mergeCell ref="B9:F9"/>
    <mergeCell ref="G9:J9"/>
    <mergeCell ref="B10:F10"/>
    <mergeCell ref="G10:J10"/>
    <mergeCell ref="B11:F11"/>
    <mergeCell ref="G11:J11"/>
    <mergeCell ref="B6:F6"/>
    <mergeCell ref="G6:J6"/>
    <mergeCell ref="B7:F7"/>
    <mergeCell ref="G7:J7"/>
    <mergeCell ref="B8:F8"/>
    <mergeCell ref="G8:J8"/>
    <mergeCell ref="A1:J1"/>
    <mergeCell ref="A2:J2"/>
    <mergeCell ref="B4:F4"/>
    <mergeCell ref="G4:J4"/>
    <mergeCell ref="B5:F5"/>
    <mergeCell ref="G5:J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showGridLines="0" workbookViewId="0"/>
  </sheetViews>
  <sheetFormatPr baseColWidth="10" defaultColWidth="8.83203125" defaultRowHeight="14"/>
  <cols>
    <col min="1" max="1" width="18" customWidth="1"/>
    <col min="2" max="2" width="22" customWidth="1"/>
    <col min="3" max="4" width="16" customWidth="1"/>
    <col min="5" max="8" width="22" customWidth="1"/>
  </cols>
  <sheetData>
    <row r="1" spans="1:8" ht="28" customHeight="1">
      <c r="A1" s="11" t="s">
        <v>691</v>
      </c>
      <c r="B1" s="11"/>
      <c r="C1" s="11"/>
      <c r="D1" s="11"/>
      <c r="E1" s="11"/>
      <c r="F1" s="11"/>
      <c r="G1" s="11"/>
      <c r="H1" s="11"/>
    </row>
    <row r="2" spans="1:8" ht="22" customHeight="1">
      <c r="A2" s="12" t="s">
        <v>692</v>
      </c>
      <c r="B2" s="12"/>
      <c r="C2" s="12"/>
      <c r="D2" s="12"/>
      <c r="E2" s="12"/>
      <c r="F2" s="12"/>
      <c r="G2" s="12"/>
      <c r="H2" s="12"/>
    </row>
    <row r="4" spans="1:8" ht="16">
      <c r="A4" s="3" t="s">
        <v>10</v>
      </c>
      <c r="B4" s="28" t="s">
        <v>693</v>
      </c>
      <c r="C4" s="28"/>
      <c r="D4" s="28"/>
      <c r="E4" s="28" t="s">
        <v>694</v>
      </c>
      <c r="F4" s="28"/>
      <c r="G4" s="28"/>
      <c r="H4" s="28"/>
    </row>
    <row r="5" spans="1:8" ht="72" customHeight="1">
      <c r="A5" s="10" t="s">
        <v>695</v>
      </c>
      <c r="B5" s="27" t="s">
        <v>696</v>
      </c>
      <c r="C5" s="27"/>
      <c r="D5" s="27"/>
      <c r="E5" s="27" t="s">
        <v>697</v>
      </c>
      <c r="F5" s="27"/>
      <c r="G5" s="27"/>
      <c r="H5" s="27"/>
    </row>
    <row r="6" spans="1:8" ht="72" customHeight="1">
      <c r="A6" s="10" t="s">
        <v>698</v>
      </c>
      <c r="B6" s="27" t="s">
        <v>699</v>
      </c>
      <c r="C6" s="27"/>
      <c r="D6" s="27"/>
      <c r="E6" s="27" t="s">
        <v>700</v>
      </c>
      <c r="F6" s="27"/>
      <c r="G6" s="27"/>
      <c r="H6" s="27"/>
    </row>
    <row r="7" spans="1:8" ht="72" customHeight="1">
      <c r="A7" s="10" t="s">
        <v>701</v>
      </c>
      <c r="B7" s="27" t="s">
        <v>702</v>
      </c>
      <c r="C7" s="27"/>
      <c r="D7" s="27"/>
      <c r="E7" s="27" t="s">
        <v>703</v>
      </c>
      <c r="F7" s="27"/>
      <c r="G7" s="27"/>
      <c r="H7" s="27"/>
    </row>
    <row r="8" spans="1:8" ht="72" customHeight="1">
      <c r="A8" s="10" t="s">
        <v>704</v>
      </c>
      <c r="B8" s="27" t="s">
        <v>705</v>
      </c>
      <c r="C8" s="27"/>
      <c r="D8" s="27"/>
      <c r="E8" s="27" t="s">
        <v>706</v>
      </c>
      <c r="F8" s="27"/>
      <c r="G8" s="27"/>
      <c r="H8" s="27"/>
    </row>
    <row r="9" spans="1:8" ht="72" customHeight="1">
      <c r="A9" s="10" t="s">
        <v>707</v>
      </c>
      <c r="B9" s="27" t="s">
        <v>708</v>
      </c>
      <c r="C9" s="27"/>
      <c r="D9" s="27"/>
      <c r="E9" s="27" t="s">
        <v>709</v>
      </c>
      <c r="F9" s="27"/>
      <c r="G9" s="27"/>
      <c r="H9" s="27"/>
    </row>
  </sheetData>
  <mergeCells count="14">
    <mergeCell ref="B9:D9"/>
    <mergeCell ref="E9:H9"/>
    <mergeCell ref="B6:D6"/>
    <mergeCell ref="E6:H6"/>
    <mergeCell ref="B7:D7"/>
    <mergeCell ref="E7:H7"/>
    <mergeCell ref="B8:D8"/>
    <mergeCell ref="E8:H8"/>
    <mergeCell ref="A1:H1"/>
    <mergeCell ref="A2:H2"/>
    <mergeCell ref="B4:D4"/>
    <mergeCell ref="E4:H4"/>
    <mergeCell ref="B5:D5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"/>
  <sheetViews>
    <sheetView showGridLines="0" workbookViewId="0"/>
  </sheetViews>
  <sheetFormatPr baseColWidth="10" defaultColWidth="8.83203125" defaultRowHeight="14"/>
  <cols>
    <col min="1" max="14" width="13" customWidth="1"/>
  </cols>
  <sheetData>
    <row r="1" spans="1:14" ht="28" customHeight="1">
      <c r="A1" s="11" t="s">
        <v>710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2" customHeight="1">
      <c r="A2" s="12" t="s">
        <v>711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 ht="15">
      <c r="A4" s="28" t="s">
        <v>712</v>
      </c>
      <c r="B4" s="28"/>
      <c r="C4" s="28" t="s">
        <v>713</v>
      </c>
      <c r="D4" s="28"/>
      <c r="E4" s="28"/>
      <c r="F4" s="28"/>
      <c r="G4" s="28"/>
      <c r="H4" s="28" t="s">
        <v>712</v>
      </c>
      <c r="I4" s="28"/>
      <c r="J4" s="28" t="s">
        <v>713</v>
      </c>
      <c r="K4" s="28"/>
      <c r="L4" s="28"/>
      <c r="M4" s="28"/>
      <c r="N4" s="28"/>
    </row>
    <row r="5" spans="1:14" ht="66" customHeight="1">
      <c r="A5" s="32" t="s">
        <v>166</v>
      </c>
      <c r="B5" s="32"/>
      <c r="C5" s="27" t="s">
        <v>714</v>
      </c>
      <c r="D5" s="27"/>
      <c r="E5" s="27"/>
      <c r="F5" s="27"/>
      <c r="G5" s="27"/>
      <c r="H5" s="32" t="s">
        <v>185</v>
      </c>
      <c r="I5" s="32"/>
      <c r="J5" s="27" t="s">
        <v>715</v>
      </c>
      <c r="K5" s="27"/>
      <c r="L5" s="27"/>
      <c r="M5" s="27"/>
      <c r="N5" s="27"/>
    </row>
    <row r="6" spans="1:14" ht="66" customHeight="1">
      <c r="A6" s="32" t="s">
        <v>716</v>
      </c>
      <c r="B6" s="32"/>
      <c r="C6" s="27" t="s">
        <v>717</v>
      </c>
      <c r="D6" s="27"/>
      <c r="E6" s="27"/>
      <c r="F6" s="27"/>
      <c r="G6" s="27"/>
      <c r="H6" s="32" t="s">
        <v>718</v>
      </c>
      <c r="I6" s="32"/>
      <c r="J6" s="27" t="s">
        <v>719</v>
      </c>
      <c r="K6" s="27"/>
      <c r="L6" s="27"/>
      <c r="M6" s="27"/>
      <c r="N6" s="27"/>
    </row>
    <row r="7" spans="1:14" ht="66" customHeight="1">
      <c r="A7" s="32" t="s">
        <v>720</v>
      </c>
      <c r="B7" s="32"/>
      <c r="C7" s="27" t="s">
        <v>721</v>
      </c>
      <c r="D7" s="27"/>
      <c r="E7" s="27"/>
      <c r="F7" s="27"/>
      <c r="G7" s="27"/>
      <c r="H7" s="32" t="s">
        <v>722</v>
      </c>
      <c r="I7" s="32"/>
      <c r="J7" s="27" t="s">
        <v>723</v>
      </c>
      <c r="K7" s="27"/>
      <c r="L7" s="27"/>
      <c r="M7" s="27"/>
      <c r="N7" s="27"/>
    </row>
    <row r="8" spans="1:14" ht="66" customHeight="1">
      <c r="A8" s="32" t="s">
        <v>724</v>
      </c>
      <c r="B8" s="32"/>
      <c r="C8" s="27" t="s">
        <v>725</v>
      </c>
      <c r="D8" s="27"/>
      <c r="E8" s="27"/>
      <c r="F8" s="27"/>
      <c r="G8" s="27"/>
      <c r="H8" s="32" t="s">
        <v>726</v>
      </c>
      <c r="I8" s="32"/>
      <c r="J8" s="27" t="s">
        <v>727</v>
      </c>
      <c r="K8" s="27"/>
      <c r="L8" s="27"/>
      <c r="M8" s="27"/>
      <c r="N8" s="27"/>
    </row>
    <row r="9" spans="1:14" ht="66" customHeight="1">
      <c r="A9" s="32" t="s">
        <v>728</v>
      </c>
      <c r="B9" s="32"/>
      <c r="C9" s="27" t="s">
        <v>729</v>
      </c>
      <c r="D9" s="27"/>
      <c r="E9" s="27"/>
      <c r="F9" s="27"/>
      <c r="G9" s="27"/>
      <c r="H9" s="32" t="s">
        <v>730</v>
      </c>
      <c r="I9" s="32"/>
      <c r="J9" s="27" t="s">
        <v>731</v>
      </c>
      <c r="K9" s="27"/>
      <c r="L9" s="27"/>
      <c r="M9" s="27"/>
      <c r="N9" s="27"/>
    </row>
    <row r="10" spans="1:14" ht="66" customHeight="1">
      <c r="A10" s="32" t="s">
        <v>732</v>
      </c>
      <c r="B10" s="32"/>
      <c r="C10" s="27" t="s">
        <v>733</v>
      </c>
      <c r="D10" s="27"/>
      <c r="E10" s="27"/>
      <c r="F10" s="27"/>
      <c r="G10" s="27"/>
      <c r="H10" s="32" t="s">
        <v>734</v>
      </c>
      <c r="I10" s="32"/>
      <c r="J10" s="27" t="s">
        <v>735</v>
      </c>
      <c r="K10" s="27"/>
      <c r="L10" s="27"/>
      <c r="M10" s="27"/>
      <c r="N10" s="27"/>
    </row>
  </sheetData>
  <mergeCells count="30">
    <mergeCell ref="A9:B9"/>
    <mergeCell ref="C9:G9"/>
    <mergeCell ref="H9:I9"/>
    <mergeCell ref="J9:N9"/>
    <mergeCell ref="A10:B10"/>
    <mergeCell ref="C10:G10"/>
    <mergeCell ref="H10:I10"/>
    <mergeCell ref="J10:N10"/>
    <mergeCell ref="A7:B7"/>
    <mergeCell ref="C7:G7"/>
    <mergeCell ref="H7:I7"/>
    <mergeCell ref="J7:N7"/>
    <mergeCell ref="A8:B8"/>
    <mergeCell ref="C8:G8"/>
    <mergeCell ref="H8:I8"/>
    <mergeCell ref="J8:N8"/>
    <mergeCell ref="A5:B5"/>
    <mergeCell ref="C5:G5"/>
    <mergeCell ref="H5:I5"/>
    <mergeCell ref="J5:N5"/>
    <mergeCell ref="A6:B6"/>
    <mergeCell ref="C6:G6"/>
    <mergeCell ref="H6:I6"/>
    <mergeCell ref="J6:N6"/>
    <mergeCell ref="A1:N1"/>
    <mergeCell ref="A2:N2"/>
    <mergeCell ref="A4:B4"/>
    <mergeCell ref="C4:G4"/>
    <mergeCell ref="H4:I4"/>
    <mergeCell ref="J4:N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"/>
  <sheetViews>
    <sheetView showGridLines="0" workbookViewId="0"/>
  </sheetViews>
  <sheetFormatPr baseColWidth="10" defaultColWidth="8.83203125" defaultRowHeight="14"/>
  <cols>
    <col min="1" max="14" width="13" customWidth="1"/>
  </cols>
  <sheetData>
    <row r="1" spans="1:14" ht="28" customHeight="1">
      <c r="A1" s="11" t="s">
        <v>736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2" customHeight="1">
      <c r="A2" s="12" t="s">
        <v>737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 ht="15">
      <c r="A4" s="28" t="s">
        <v>738</v>
      </c>
      <c r="B4" s="28"/>
      <c r="C4" s="28" t="s">
        <v>739</v>
      </c>
      <c r="D4" s="28"/>
      <c r="E4" s="28"/>
      <c r="F4" s="28"/>
      <c r="G4" s="28"/>
      <c r="H4" s="28" t="s">
        <v>738</v>
      </c>
      <c r="I4" s="28"/>
      <c r="J4" s="28" t="s">
        <v>739</v>
      </c>
      <c r="K4" s="28"/>
      <c r="L4" s="28"/>
      <c r="M4" s="28"/>
      <c r="N4" s="28"/>
    </row>
    <row r="5" spans="1:14" ht="66" customHeight="1">
      <c r="A5" s="32" t="s">
        <v>740</v>
      </c>
      <c r="B5" s="32"/>
      <c r="C5" s="27" t="s">
        <v>741</v>
      </c>
      <c r="D5" s="27"/>
      <c r="E5" s="27"/>
      <c r="F5" s="27"/>
      <c r="G5" s="27"/>
      <c r="H5" s="32" t="s">
        <v>742</v>
      </c>
      <c r="I5" s="32"/>
      <c r="J5" s="27" t="s">
        <v>743</v>
      </c>
      <c r="K5" s="27"/>
      <c r="L5" s="27"/>
      <c r="M5" s="27"/>
      <c r="N5" s="27"/>
    </row>
    <row r="6" spans="1:14" ht="66" customHeight="1">
      <c r="A6" s="32" t="s">
        <v>744</v>
      </c>
      <c r="B6" s="32"/>
      <c r="C6" s="27" t="s">
        <v>745</v>
      </c>
      <c r="D6" s="27"/>
      <c r="E6" s="27"/>
      <c r="F6" s="27"/>
      <c r="G6" s="27"/>
      <c r="H6" s="32" t="s">
        <v>746</v>
      </c>
      <c r="I6" s="32"/>
      <c r="J6" s="27" t="s">
        <v>747</v>
      </c>
      <c r="K6" s="27"/>
      <c r="L6" s="27"/>
      <c r="M6" s="27"/>
      <c r="N6" s="27"/>
    </row>
    <row r="7" spans="1:14" ht="66" customHeight="1">
      <c r="A7" s="32" t="s">
        <v>748</v>
      </c>
      <c r="B7" s="32"/>
      <c r="C7" s="27" t="s">
        <v>749</v>
      </c>
      <c r="D7" s="27"/>
      <c r="E7" s="27"/>
      <c r="F7" s="27"/>
      <c r="G7" s="27"/>
      <c r="H7" s="32" t="s">
        <v>750</v>
      </c>
      <c r="I7" s="32"/>
      <c r="J7" s="27" t="s">
        <v>751</v>
      </c>
      <c r="K7" s="27"/>
      <c r="L7" s="27"/>
      <c r="M7" s="27"/>
      <c r="N7" s="27"/>
    </row>
    <row r="8" spans="1:14" ht="66" customHeight="1">
      <c r="A8" s="32" t="s">
        <v>752</v>
      </c>
      <c r="B8" s="32"/>
      <c r="C8" s="27" t="s">
        <v>753</v>
      </c>
      <c r="D8" s="27"/>
      <c r="E8" s="27"/>
      <c r="F8" s="27"/>
      <c r="G8" s="27"/>
      <c r="H8" s="32" t="s">
        <v>754</v>
      </c>
      <c r="I8" s="32"/>
      <c r="J8" s="27" t="s">
        <v>755</v>
      </c>
      <c r="K8" s="27"/>
      <c r="L8" s="27"/>
      <c r="M8" s="27"/>
      <c r="N8" s="27"/>
    </row>
    <row r="9" spans="1:14" ht="66" customHeight="1">
      <c r="A9" s="32" t="s">
        <v>756</v>
      </c>
      <c r="B9" s="32"/>
      <c r="C9" s="27" t="s">
        <v>757</v>
      </c>
      <c r="D9" s="27"/>
      <c r="E9" s="27"/>
      <c r="F9" s="27"/>
      <c r="G9" s="27"/>
      <c r="H9" s="32" t="s">
        <v>752</v>
      </c>
      <c r="I9" s="32"/>
      <c r="J9" s="27" t="s">
        <v>758</v>
      </c>
      <c r="K9" s="27"/>
      <c r="L9" s="27"/>
      <c r="M9" s="27"/>
      <c r="N9" s="27"/>
    </row>
    <row r="10" spans="1:14" ht="66" customHeight="1">
      <c r="A10" s="32" t="s">
        <v>754</v>
      </c>
      <c r="B10" s="32"/>
      <c r="C10" s="27" t="s">
        <v>759</v>
      </c>
      <c r="D10" s="27"/>
      <c r="E10" s="27"/>
      <c r="F10" s="27"/>
      <c r="G10" s="27"/>
      <c r="H10" s="32" t="s">
        <v>756</v>
      </c>
      <c r="I10" s="32"/>
      <c r="J10" s="27" t="s">
        <v>760</v>
      </c>
      <c r="K10" s="27"/>
      <c r="L10" s="27"/>
      <c r="M10" s="27"/>
      <c r="N10" s="27"/>
    </row>
  </sheetData>
  <mergeCells count="30">
    <mergeCell ref="A9:B9"/>
    <mergeCell ref="C9:G9"/>
    <mergeCell ref="H9:I9"/>
    <mergeCell ref="J9:N9"/>
    <mergeCell ref="A10:B10"/>
    <mergeCell ref="C10:G10"/>
    <mergeCell ref="H10:I10"/>
    <mergeCell ref="J10:N10"/>
    <mergeCell ref="A7:B7"/>
    <mergeCell ref="C7:G7"/>
    <mergeCell ref="H7:I7"/>
    <mergeCell ref="J7:N7"/>
    <mergeCell ref="A8:B8"/>
    <mergeCell ref="C8:G8"/>
    <mergeCell ref="H8:I8"/>
    <mergeCell ref="J8:N8"/>
    <mergeCell ref="A5:B5"/>
    <mergeCell ref="C5:G5"/>
    <mergeCell ref="H5:I5"/>
    <mergeCell ref="J5:N5"/>
    <mergeCell ref="A6:B6"/>
    <mergeCell ref="C6:G6"/>
    <mergeCell ref="H6:I6"/>
    <mergeCell ref="J6:N6"/>
    <mergeCell ref="A1:N1"/>
    <mergeCell ref="A2:N2"/>
    <mergeCell ref="A4:B4"/>
    <mergeCell ref="C4:G4"/>
    <mergeCell ref="H4:I4"/>
    <mergeCell ref="J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Blue Sheet</vt:lpstr>
      <vt:lpstr>Brand</vt:lpstr>
      <vt:lpstr>Technology Stack</vt:lpstr>
      <vt:lpstr>Actions &amp; Decisions</vt:lpstr>
      <vt:lpstr>Commercial Model</vt:lpstr>
      <vt:lpstr>Presentation View 1</vt:lpstr>
      <vt:lpstr>Presentation View 2</vt:lpstr>
      <vt:lpstr>Method &amp; Governance</vt:lpstr>
      <vt:lpstr>Criteria Statements</vt:lpstr>
      <vt:lpstr>Concept Card side 1</vt:lpstr>
      <vt:lpstr>Concept Card side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Vahlsing, Todd</cp:lastModifiedBy>
  <dcterms:created xsi:type="dcterms:W3CDTF">2026-08-21T20:16:52Z</dcterms:created>
  <dcterms:modified xsi:type="dcterms:W3CDTF">2026-08-21T20:16:52Z</dcterms:modified>
</cp:coreProperties>
</file>