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60" yWindow="-21600" windowWidth="38400" windowHeight="21600" tabRatio="600" firstSheet="0" activeTab="2" autoFilterDateGrouping="1"/>
  </bookViews>
  <sheets>
    <sheet xmlns:r="http://schemas.openxmlformats.org/officeDocument/2006/relationships" name="Blue Sheet" sheetId="1" state="visible" r:id="rId1"/>
    <sheet xmlns:r="http://schemas.openxmlformats.org/officeDocument/2006/relationships" name="Brand" sheetId="2" state="visible" r:id="rId2"/>
    <sheet xmlns:r="http://schemas.openxmlformats.org/officeDocument/2006/relationships" name="Technology Stack" sheetId="3" state="visible" r:id="rId3"/>
    <sheet xmlns:r="http://schemas.openxmlformats.org/officeDocument/2006/relationships" name="Actions &amp; Decisions" sheetId="4" state="visible" r:id="rId4"/>
    <sheet xmlns:r="http://schemas.openxmlformats.org/officeDocument/2006/relationships" name="Commercial Model" sheetId="5" state="visible" r:id="rId5"/>
    <sheet xmlns:r="http://schemas.openxmlformats.org/officeDocument/2006/relationships" name="Presentation View 1" sheetId="6" state="visible" r:id="rId6"/>
    <sheet xmlns:r="http://schemas.openxmlformats.org/officeDocument/2006/relationships" name="Presentation View 2" sheetId="7" state="visible" r:id="rId7"/>
    <sheet xmlns:r="http://schemas.openxmlformats.org/officeDocument/2006/relationships" name="Method &amp; Governance" sheetId="8" state="visible" r:id="rId8"/>
    <sheet xmlns:r="http://schemas.openxmlformats.org/officeDocument/2006/relationships" name="Criteria Statements" sheetId="9" state="visible" r:id="rId9"/>
    <sheet xmlns:r="http://schemas.openxmlformats.org/officeDocument/2006/relationships" name="Concept Card side 1" sheetId="10" state="visible" r:id="rId10"/>
    <sheet xmlns:r="http://schemas.openxmlformats.org/officeDocument/2006/relationships" name="Concept Card side 2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1">
    <font>
      <name val="Carlito"/>
      <sz val="11"/>
    </font>
    <font>
      <name val="Carlito"/>
      <b val="1"/>
      <color rgb="FFFFFFFF"/>
      <sz val="16"/>
    </font>
    <font>
      <name val="Carlito"/>
      <i val="1"/>
      <color rgb="FF555555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83A61"/>
      <sz val="11"/>
    </font>
    <font>
      <name val="Carlito"/>
      <b val="1"/>
      <color rgb="FF1F2937"/>
      <sz val="11"/>
    </font>
    <font>
      <name val="Carlito"/>
      <color rgb="FF1F2937"/>
      <sz val="11"/>
    </font>
    <font>
      <name val="Carlito"/>
      <b val="1"/>
      <color rgb="FF27632A"/>
      <sz val="11"/>
    </font>
    <font>
      <name val="Carlito"/>
      <b val="1"/>
      <color rgb="FFA61B1B"/>
      <sz val="11"/>
    </font>
    <font>
      <name val="Carlito"/>
      <b val="1"/>
      <color rgb="FF2FA8DD"/>
      <sz val="11"/>
    </font>
  </fonts>
  <fills count="10">
    <fill>
      <patternFill/>
    </fill>
    <fill>
      <patternFill patternType="gray125"/>
    </fill>
    <fill>
      <patternFill patternType="solid">
        <fgColor rgb="FF183A61"/>
      </patternFill>
    </fill>
    <fill>
      <patternFill patternType="solid">
        <fgColor rgb="FF858585"/>
      </patternFill>
    </fill>
    <fill>
      <patternFill patternType="solid">
        <fgColor rgb="FFD9E6F2"/>
      </patternFill>
    </fill>
    <fill>
      <patternFill patternType="solid">
        <fgColor rgb="FFB8CEE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DDEBF7"/>
      </patternFill>
    </fill>
  </fills>
  <borders count="22">
    <border>
      <left/>
      <right/>
      <top/>
      <bottom/>
      <diagonal/>
    </border>
    <border>
      <left style="thin">
        <color rgb="FF7F8C99"/>
      </left>
      <right style="thin">
        <color rgb="FF7F8C99"/>
      </right>
      <top style="thin">
        <color rgb="FF7F8C99"/>
      </top>
      <bottom style="thin">
        <color rgb="FF7F8C99"/>
      </bottom>
      <diagonal/>
    </border>
    <border>
      <left style="thin">
        <color rgb="FF7F8C99"/>
      </left>
      <right/>
      <top style="thin">
        <color rgb="FF7F8C99"/>
      </top>
      <bottom/>
      <diagonal/>
    </border>
    <border>
      <left/>
      <right/>
      <top style="thin">
        <color rgb="FF7F8C99"/>
      </top>
      <bottom/>
      <diagonal/>
    </border>
    <border>
      <left/>
      <right style="thin">
        <color rgb="FF7F8C99"/>
      </right>
      <top style="thin">
        <color rgb="FF7F8C99"/>
      </top>
      <bottom/>
      <diagonal/>
    </border>
    <border>
      <left style="thin">
        <color rgb="FF7F8C99"/>
      </left>
      <right/>
      <top/>
      <bottom/>
      <diagonal/>
    </border>
    <border>
      <left/>
      <right style="thin">
        <color rgb="FF7F8C99"/>
      </right>
      <top/>
      <bottom/>
      <diagonal/>
    </border>
    <border>
      <left style="thin">
        <color rgb="FF7F8C99"/>
      </left>
      <right/>
      <top/>
      <bottom style="thin">
        <color rgb="FF7F8C99"/>
      </bottom>
      <diagonal/>
    </border>
    <border>
      <left/>
      <right/>
      <top/>
      <bottom style="thin">
        <color rgb="FF7F8C99"/>
      </bottom>
      <diagonal/>
    </border>
    <border>
      <left/>
      <right style="thin">
        <color rgb="FF7F8C99"/>
      </right>
      <top/>
      <bottom style="thin">
        <color rgb="FF7F8C99"/>
      </bottom>
      <diagonal/>
    </border>
    <border>
      <left style="thin">
        <color rgb="FF9AA9B6"/>
      </left>
      <right style="thin">
        <color rgb="FF9AA9B6"/>
      </right>
      <top style="thin">
        <color rgb="FF9AA9B6"/>
      </top>
      <bottom style="thin">
        <color rgb="FF9AA9B6"/>
      </bottom>
      <diagonal/>
    </border>
    <border>
      <left/>
      <right/>
      <top style="thin">
        <color rgb="FF9AA9B6"/>
      </top>
      <bottom/>
      <diagonal/>
    </border>
    <border>
      <left/>
      <right style="thin">
        <color rgb="FF9AA9B6"/>
      </right>
      <top style="thin">
        <color rgb="FF9AA9B6"/>
      </top>
      <bottom/>
      <diagonal/>
    </border>
    <border>
      <left/>
      <right/>
      <top style="thin">
        <color rgb="FF9AA9B6"/>
      </top>
      <bottom style="thin">
        <color rgb="FF9AA9B6"/>
      </bottom>
      <diagonal/>
    </border>
    <border>
      <left/>
      <right style="thin">
        <color rgb="FF9AA9B6"/>
      </right>
      <top style="thin">
        <color rgb="FF9AA9B6"/>
      </top>
      <bottom style="thin">
        <color rgb="FF9AA9B6"/>
      </bottom>
      <diagonal/>
    </border>
    <border>
      <left style="thin">
        <color rgb="FF9AA9B6"/>
      </left>
      <right/>
      <top/>
      <bottom/>
      <diagonal/>
    </border>
    <border>
      <left/>
      <right style="thin">
        <color rgb="FF9AA9B6"/>
      </right>
      <top/>
      <bottom/>
      <diagonal/>
    </border>
    <border>
      <left style="thin">
        <color rgb="FF9AA9B6"/>
      </left>
      <right/>
      <top/>
      <bottom style="thin">
        <color rgb="FF9AA9B6"/>
      </bottom>
      <diagonal/>
    </border>
    <border>
      <left/>
      <right/>
      <top/>
      <bottom style="thin">
        <color rgb="FF9AA9B6"/>
      </bottom>
      <diagonal/>
    </border>
    <border>
      <left/>
      <right style="thin">
        <color rgb="FF9AA9B6"/>
      </right>
      <top/>
      <bottom style="thin">
        <color rgb="FF9AA9B6"/>
      </bottom>
      <diagonal/>
    </border>
    <border>
      <left/>
      <right/>
      <top style="thin">
        <color rgb="FF7F8C99"/>
      </top>
      <bottom style="thin">
        <color rgb="FF7F8C99"/>
      </bottom>
      <diagonal/>
    </border>
    <border>
      <left/>
      <right style="thin">
        <color rgb="FF7F8C99"/>
      </right>
      <top style="thin">
        <color rgb="FF7F8C99"/>
      </top>
      <bottom style="thin">
        <color rgb="FF7F8C9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7" fillId="5" borderId="10" applyAlignment="1" pivotButton="0" quotePrefix="0" xfId="0">
      <alignment vertical="top" wrapText="1"/>
    </xf>
    <xf numFmtId="0" fontId="6" fillId="6" borderId="1" pivotButton="0" quotePrefix="0" xfId="0"/>
    <xf numFmtId="0" fontId="6" fillId="4" borderId="10" applyAlignment="1" pivotButton="0" quotePrefix="0" xfId="0">
      <alignment vertical="top" wrapText="1"/>
    </xf>
    <xf numFmtId="4" fontId="7" fillId="5" borderId="10" applyAlignment="1" pivotButton="0" quotePrefix="0" xfId="0">
      <alignment vertical="top" wrapText="1"/>
    </xf>
    <xf numFmtId="10" fontId="7" fillId="5" borderId="1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0" fontId="5" fillId="5" borderId="5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0" fontId="5" fillId="5" borderId="7" applyAlignment="1" pivotButton="0" quotePrefix="0" xfId="0">
      <alignment vertical="center" wrapText="1"/>
    </xf>
    <xf numFmtId="0" fontId="5" fillId="5" borderId="8" applyAlignment="1" pivotButton="0" quotePrefix="0" xfId="0">
      <alignment vertical="center" wrapText="1"/>
    </xf>
    <xf numFmtId="0" fontId="5" fillId="5" borderId="9" applyAlignment="1" pivotButton="0" quotePrefix="0" xfId="0">
      <alignment vertical="center" wrapText="1"/>
    </xf>
    <xf numFmtId="0" fontId="3" fillId="3" borderId="1" pivotButton="0" quotePrefix="0" xfId="0"/>
    <xf numFmtId="0" fontId="6" fillId="6" borderId="1" pivotButton="0" quotePrefix="0" xfId="0"/>
    <xf numFmtId="0" fontId="7" fillId="5" borderId="10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8" fillId="7" borderId="0" pivotButton="0" quotePrefix="0" xfId="0"/>
    <xf numFmtId="0" fontId="9" fillId="8" borderId="0" pivotButton="0" quotePrefix="0" xfId="0"/>
    <xf numFmtId="164" fontId="7" fillId="5" borderId="10" applyAlignment="1" pivotButton="0" quotePrefix="0" xfId="0">
      <alignment vertical="top" wrapText="1"/>
    </xf>
    <xf numFmtId="0" fontId="5" fillId="4" borderId="10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opLeftCell="A21" workbookViewId="0">
      <selection activeCell="A1" sqref="A1:P1"/>
    </sheetView>
  </sheetViews>
  <sheetFormatPr baseColWidth="10" defaultColWidth="8.83203125" defaultRowHeight="14"/>
  <cols>
    <col width="30" customWidth="1" min="1" max="1"/>
    <col width="13" customWidth="1" min="2" max="2"/>
    <col width="15" customWidth="1" min="3" max="4"/>
    <col width="24" customWidth="1" min="5" max="6"/>
    <col width="20" customWidth="1" min="7" max="7"/>
    <col width="11" customWidth="1" min="8" max="8"/>
    <col width="27" customWidth="1" min="9" max="9"/>
    <col width="18" customWidth="1" min="10" max="11"/>
    <col width="14" customWidth="1" min="12" max="13"/>
    <col width="18" customWidth="1" min="14" max="14"/>
    <col width="20" customWidth="1" min="15" max="15"/>
    <col width="15" customWidth="1" min="16" max="16"/>
  </cols>
  <sheetData>
    <row r="1" ht="28" customHeight="1">
      <c r="A1" s="11" t="inlineStr">
        <is>
          <t>POLLO CAMPERO — STRATEGIC ANALYSIS</t>
        </is>
      </c>
    </row>
    <row r="2" ht="22" customHeight="1">
      <c r="A2" s="12" t="inlineStr">
        <is>
          <t>Executive working account plan | updated 2026-08-27</t>
        </is>
      </c>
    </row>
    <row r="4" ht="15" customHeight="1">
      <c r="A4" s="13" t="inlineStr">
        <is>
          <t>SINGLE SALES OBJECTIVE</t>
        </is>
      </c>
      <c r="E4" s="13" t="inlineStr">
        <is>
          <t>CUSTOMER'S STATED OBJECTIVE</t>
        </is>
      </c>
      <c r="K4" s="13" t="inlineStr">
        <is>
          <t>OPPORTUNITY SCORECARD</t>
        </is>
      </c>
    </row>
    <row r="5" ht="44" customHeight="1">
      <c r="A5" s="15" t="inlineStr">
        <is>
          <t>Date</t>
        </is>
      </c>
      <c r="B5" s="14" t="inlineStr">
        <is>
          <t>2026-08-27</t>
        </is>
      </c>
      <c r="C5" s="15" t="inlineStr">
        <is>
          <t>Salesperson</t>
        </is>
      </c>
      <c r="D5" s="14" t="inlineStr">
        <is>
          <t>Todd Vahlsing</t>
        </is>
      </c>
      <c r="E5" s="33" t="inlineStr">
        <is>
          <t>Consolidate vendors to improve efficiency, economics and service while maintaining strong fraud and chargeback protection across payment channels. Modernize and unify interior and drive-thru digital menu boards; centralize content, pricing, promotions, scheduling and dayparting; integrate Oracle and NCR for near-real-time price/inventory and outdoor order confirmation; reduce IT/Marketing manual burden; improve brand consistency; and support growth, new stores and future dynamic upsell.</t>
        </is>
      </c>
      <c r="F5" s="34" t="n"/>
      <c r="G5" s="34" t="n"/>
      <c r="H5" s="34" t="n"/>
      <c r="I5" s="34" t="n"/>
      <c r="J5" s="35" t="n"/>
      <c r="K5" s="28" t="inlineStr">
        <is>
          <t>Criterion</t>
        </is>
      </c>
      <c r="L5" s="28" t="inlineStr">
        <is>
          <t>Y/N/U</t>
        </is>
      </c>
      <c r="M5" s="28" t="inlineStr">
        <is>
          <t>Weight</t>
        </is>
      </c>
      <c r="N5" s="28" t="inlineStr">
        <is>
          <t>Points</t>
        </is>
      </c>
      <c r="O5" s="28" t="inlineStr">
        <is>
          <t>Current read</t>
        </is>
      </c>
      <c r="P5" s="28" t="inlineStr">
        <is>
          <t>Next step</t>
        </is>
      </c>
    </row>
    <row r="6" ht="44" customHeight="1">
      <c r="A6" s="15" t="inlineStr">
        <is>
          <t>Account</t>
        </is>
      </c>
      <c r="B6" s="14" t="inlineStr">
        <is>
          <t>Pollo Campero</t>
        </is>
      </c>
      <c r="C6" s="15" t="inlineStr">
        <is>
          <t>Company / area</t>
        </is>
      </c>
      <c r="D6" s="14" t="inlineStr">
        <is>
          <t>U.S. estate</t>
        </is>
      </c>
      <c r="E6" s="36" t="n"/>
      <c r="J6" s="37" t="n"/>
      <c r="K6" s="27" t="inlineStr">
        <is>
          <t>Sufficient budget exists</t>
        </is>
      </c>
      <c r="L6" s="27" t="inlineStr">
        <is>
          <t>U</t>
        </is>
      </c>
      <c r="M6" s="27" t="n">
        <v>20</v>
      </c>
      <c r="N6" s="27">
        <f>IF(L6="Y",M6,0)</f>
        <v/>
      </c>
      <c r="O6" s="27" t="inlineStr">
        <is>
          <t>TDR contains no assigned budget.</t>
        </is>
      </c>
      <c r="P6" s="27" t="inlineStr">
        <is>
          <t>Confirm budget source and approval path.</t>
        </is>
      </c>
    </row>
    <row r="7" ht="44" customHeight="1">
      <c r="A7" s="15" t="inlineStr">
        <is>
          <t>Sales revenue / units</t>
        </is>
      </c>
      <c r="B7" s="14" t="inlineStr">
        <is>
          <t>[Sales revenue / units - current or planning-case estimate]</t>
        </is>
      </c>
      <c r="C7" s="15" t="inlineStr">
        <is>
          <t>Product / solution</t>
        </is>
      </c>
      <c r="D7" s="14" t="inlineStr">
        <is>
          <t>[Product / solution in scope]</t>
        </is>
      </c>
      <c r="E7" s="36" t="n"/>
      <c r="J7" s="37" t="n"/>
      <c r="K7" s="27" t="inlineStr">
        <is>
          <t>We have the access we need</t>
        </is>
      </c>
      <c r="L7" s="27" t="inlineStr">
        <is>
          <t>U</t>
        </is>
      </c>
      <c r="M7" s="27" t="n">
        <v>20</v>
      </c>
      <c r="N7" s="27">
        <f>IF(L7="Y",M7,0)</f>
        <v/>
      </c>
      <c r="O7" s="27" t="inlineStr">
        <is>
          <t>Direct access to Randy, Diego, Terry and Jorge, a user-confirmed key stakeholder in both payments and the DMB RFI; no verified EBI or coach access.</t>
        </is>
      </c>
      <c r="P7" s="27" t="inlineStr">
        <is>
          <t>Use Jorge's cross-workstream position to map decision makers, criteria and authority without assuming he is the EBI or Coach.</t>
        </is>
      </c>
    </row>
    <row r="8" ht="44" customHeight="1">
      <c r="A8" s="15" t="inlineStr">
        <is>
          <t>Close date</t>
        </is>
      </c>
      <c r="B8" s="14" t="inlineStr">
        <is>
          <t>[Close date or process stage]</t>
        </is>
      </c>
      <c r="C8" s="15" t="inlineStr">
        <is>
          <t>Customer timing</t>
        </is>
      </c>
      <c r="D8" s="14" t="inlineStr">
        <is>
          <t>[Customer timing, e.g. Active / Parked]</t>
        </is>
      </c>
      <c r="E8" s="36" t="n"/>
      <c r="J8" s="37" t="n"/>
      <c r="K8" s="27" t="inlineStr">
        <is>
          <t>Customer buying process is understood</t>
        </is>
      </c>
      <c r="L8" s="27" t="inlineStr">
        <is>
          <t>U</t>
        </is>
      </c>
      <c r="M8" s="27" t="n">
        <v>20</v>
      </c>
      <c r="N8" s="27">
        <f>IF(L8="Y",M8,0)</f>
        <v/>
      </c>
      <c r="O8" s="27" t="inlineStr">
        <is>
          <t>Formal RFP received. Revised proposal and completed SOW/pricing are due 2026-09-04; evaluation scorecard, approvers and veto roles remain unverified.</t>
        </is>
      </c>
      <c r="P8" s="27" t="inlineStr">
        <is>
          <t>Submit consolidated clarifications and confirm evaluation criteria, decision calendar, approvers and vetoes.</t>
        </is>
      </c>
    </row>
    <row r="9" ht="62" customHeight="1">
      <c r="A9" s="15" t="inlineStr">
        <is>
          <t>Single sales objective</t>
        </is>
      </c>
      <c r="B9" s="14" t="inlineStr">
        <is>
          <t>Win the U.S. DMB modernization program; secure a qualified path to payments and adjacent restaurant technology only where customer value and access justify it.</t>
        </is>
      </c>
      <c r="C9" s="38" t="n"/>
      <c r="D9" s="39" t="n"/>
      <c r="E9" s="36" t="n"/>
      <c r="J9" s="37" t="n"/>
      <c r="K9" s="27" t="inlineStr">
        <is>
          <t>Supportive Economic Buying Influence</t>
        </is>
      </c>
      <c r="L9" s="27" t="inlineStr">
        <is>
          <t>N</t>
        </is>
      </c>
      <c r="M9" s="27" t="n">
        <v>20</v>
      </c>
      <c r="N9" s="27">
        <f>IF(L9="Y",M9,0)</f>
        <v/>
      </c>
      <c r="O9" s="27" t="inlineStr">
        <is>
          <t>Potential executives identified; EBI unverified.</t>
        </is>
      </c>
      <c r="P9" s="27" t="inlineStr">
        <is>
          <t>Validate Luis Javier Rodas / Jose Gregorio Baquero role.</t>
        </is>
      </c>
    </row>
    <row r="10" ht="44" customHeight="1">
      <c r="A10" s="15" t="inlineStr">
        <is>
          <t>Commercial hypothesis</t>
        </is>
      </c>
      <c r="B10" s="14" t="inlineStr">
        <is>
          <t>$25/screen/month standalone; $12.50 with qualifying payments participation; white glove $25-$50/screen/month pending scope.</t>
        </is>
      </c>
      <c r="C10" s="38" t="n"/>
      <c r="D10" s="39" t="n"/>
      <c r="E10" s="40" t="n"/>
      <c r="F10" s="41" t="n"/>
      <c r="G10" s="41" t="n"/>
      <c r="H10" s="41" t="n"/>
      <c r="I10" s="41" t="n"/>
      <c r="J10" s="42" t="n"/>
      <c r="K10" s="27" t="inlineStr">
        <is>
          <t>At least one Coach</t>
        </is>
      </c>
      <c r="L10" s="27" t="inlineStr">
        <is>
          <t>N</t>
        </is>
      </c>
      <c r="M10" s="27" t="n">
        <v>20</v>
      </c>
      <c r="N10" s="27">
        <f>IF(L10="Y",M10,0)</f>
        <v/>
      </c>
      <c r="O10" s="27" t="inlineStr">
        <is>
          <t>No customer-side coach verified.</t>
        </is>
      </c>
      <c r="P10" s="27" t="inlineStr">
        <is>
          <t>Test Scott O'Neill and procurement contacts for coach behavior.</t>
        </is>
      </c>
    </row>
    <row r="11" ht="15" customHeight="1">
      <c r="K11" s="25" t="inlineStr">
        <is>
          <t>QUALIFICATION SCORE</t>
        </is>
      </c>
      <c r="L11" s="38" t="n"/>
      <c r="M11" s="39" t="n"/>
      <c r="N11" s="26">
        <f>SUM(N6:N10)</f>
        <v/>
      </c>
      <c r="O11" s="26" t="inlineStr">
        <is>
          <t>/ 100</t>
        </is>
      </c>
      <c r="P11" s="39" t="n"/>
    </row>
    <row r="12" ht="15" customHeight="1">
      <c r="A12" s="13" t="inlineStr">
        <is>
          <t>EUPHORIA–PANIC</t>
        </is>
      </c>
      <c r="E12" s="13" t="inlineStr">
        <is>
          <t>COMPETITION</t>
        </is>
      </c>
      <c r="K12" s="13" t="inlineStr">
        <is>
          <t>POSITION</t>
        </is>
      </c>
    </row>
    <row r="13" ht="42" customHeight="1">
      <c r="A13" s="6" t="inlineStr">
        <is>
          <t>Current state</t>
        </is>
      </c>
      <c r="B13" s="27" t="inlineStr">
        <is>
          <t>Concern</t>
        </is>
      </c>
      <c r="C13" s="43" t="n"/>
      <c r="D13" s="44" t="n"/>
      <c r="E13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F13" s="45" t="n"/>
      <c r="G13" s="45" t="n"/>
      <c r="H13" s="45" t="n"/>
      <c r="I13" s="45" t="n"/>
      <c r="J13" s="46" t="n"/>
      <c r="K13" s="6" t="inlineStr">
        <is>
          <t>Place in funnel</t>
        </is>
      </c>
      <c r="L13" s="27" t="inlineStr">
        <is>
          <t>Qualify</t>
        </is>
      </c>
      <c r="M13" s="27" t="n"/>
      <c r="N13" s="6" t="inlineStr">
        <is>
          <t>Position vs. competition</t>
        </is>
      </c>
      <c r="O13" s="27" t="inlineStr">
        <is>
          <t>Shared / unknown</t>
        </is>
      </c>
      <c r="P13" s="27" t="n"/>
    </row>
    <row r="14" ht="42" customHeight="1">
      <c r="A14" s="6" t="inlineStr">
        <is>
          <t>Reason</t>
        </is>
      </c>
      <c r="B14" s="27" t="inlineStr">
        <is>
          <t>Strong technical fit, but no verified customer coach, EBI, budget or decision process.</t>
        </is>
      </c>
      <c r="C14" s="43" t="n"/>
      <c r="D14" s="44" t="n"/>
      <c r="E14" s="47" t="n"/>
      <c r="J14" s="48" t="n"/>
      <c r="K14" s="6" t="inlineStr">
        <is>
          <t>Customer priority</t>
        </is>
      </c>
      <c r="L14" s="27" t="inlineStr">
        <is>
          <t>Active</t>
        </is>
      </c>
      <c r="M14" s="27" t="n"/>
      <c r="N14" s="6" t="inlineStr">
        <is>
          <t>Only alternative / front-runner / shared / zero</t>
        </is>
      </c>
      <c r="O14" s="27" t="inlineStr">
        <is>
          <t>[Only alternative / front-runner / shared / zero]</t>
        </is>
      </c>
      <c r="P14" s="27" t="n"/>
    </row>
    <row r="15" ht="42" customHeight="1">
      <c r="A15" s="6" t="inlineStr">
        <is>
          <t>Timing</t>
        </is>
      </c>
      <c r="B15" s="27" t="inlineStr">
        <is>
          <t>Active modernization; infrastructure described as end-of-life.</t>
        </is>
      </c>
      <c r="C15" s="43" t="n"/>
      <c r="D15" s="44" t="n"/>
      <c r="E15" s="49" t="n"/>
      <c r="F15" s="50" t="n"/>
      <c r="G15" s="50" t="n"/>
      <c r="H15" s="50" t="n"/>
      <c r="I15" s="50" t="n"/>
      <c r="J15" s="51" t="n"/>
      <c r="K15" s="6" t="inlineStr">
        <is>
          <t>Critical test</t>
        </is>
      </c>
      <c r="L15" s="27" t="inlineStr">
        <is>
          <t>Is the decision genuinely open and who controls it?</t>
        </is>
      </c>
      <c r="M15" s="27" t="n"/>
      <c r="N15" s="6" t="inlineStr">
        <is>
          <t>Immediate move</t>
        </is>
      </c>
      <c r="O15" s="27" t="inlineStr">
        <is>
          <t>Map customer buying influences before claiming pursuit confidence.</t>
        </is>
      </c>
      <c r="P15" s="27" t="n"/>
    </row>
    <row r="17" ht="15" customHeight="1">
      <c r="A17" s="13" t="inlineStr">
        <is>
          <t>BUYING INFLUENCES INVOLVED — NAME, TITLE, LOCATION • ROLE • INFLUENCE • MODE • WIN–RESULTS • COMPETITIVE POSITION</t>
        </is>
      </c>
    </row>
    <row r="18" ht="32" customHeight="1">
      <c r="A18" s="28" t="inlineStr">
        <is>
          <t>Name / title / location</t>
        </is>
      </c>
      <c r="B18" s="28" t="inlineStr">
        <is>
          <t>Role E/T/U/C</t>
        </is>
      </c>
      <c r="C18" s="28" t="inlineStr">
        <is>
          <t>Influence H/M/L</t>
        </is>
      </c>
      <c r="D18" s="28" t="inlineStr">
        <is>
          <t>Mode G/T/EK/OC</t>
        </is>
      </c>
      <c r="E18" s="28" t="inlineStr">
        <is>
          <t>Personal win</t>
        </is>
      </c>
      <c r="F18" s="28" t="inlineStr">
        <is>
          <t>Business result</t>
        </is>
      </c>
      <c r="G18" s="28" t="inlineStr">
        <is>
          <t>Competitive preference</t>
        </is>
      </c>
      <c r="H18" s="28" t="inlineStr">
        <is>
          <t>Rating +5/–5</t>
        </is>
      </c>
      <c r="I18" s="28" t="inlineStr">
        <is>
          <t>Current read</t>
        </is>
      </c>
      <c r="J18" s="28" t="inlineStr">
        <is>
          <t>Access / relationship</t>
        </is>
      </c>
      <c r="K18" s="28" t="inlineStr">
        <is>
          <t>Next step</t>
        </is>
      </c>
      <c r="L18" s="38" t="n"/>
      <c r="M18" s="38" t="n"/>
      <c r="N18" s="39" t="n"/>
      <c r="O18" s="28" t="inlineStr">
        <is>
          <t>Owner</t>
        </is>
      </c>
      <c r="P18" s="39" t="n"/>
    </row>
    <row r="19" ht="66" customHeight="1">
      <c r="A19" s="27" t="inlineStr">
        <is>
          <t>Luis Javier Rodas — Managing Director &amp; COO, Campero USA — Dallas, TX</t>
        </is>
      </c>
      <c r="B19" s="27" t="inlineStr">
        <is>
          <t>E? / U</t>
        </is>
      </c>
      <c r="C19" s="27" t="inlineStr">
        <is>
          <t>High</t>
        </is>
      </c>
      <c r="D19" s="27" t="inlineStr">
        <is>
          <t>Growth / Even Keel</t>
        </is>
      </c>
      <c r="E19" s="27" t="inlineStr">
        <is>
          <t>Deliver U.S. growth without disrupting operations or brand experience.</t>
        </is>
      </c>
      <c r="F19" s="27" t="inlineStr">
        <is>
          <t>Scalable, reliable estate modernization supporting 250-location ambition.</t>
        </is>
      </c>
      <c r="G19" s="27" t="inlineStr">
        <is>
          <t>Unknown</t>
        </is>
      </c>
      <c r="H19" s="27" t="n">
        <v>-1</v>
      </c>
      <c r="I19" s="27" t="inlineStr">
        <is>
          <t>Public leader; no direct decision evidence.</t>
        </is>
      </c>
      <c r="J19" s="27" t="inlineStr">
        <is>
          <t>Unknown</t>
        </is>
      </c>
      <c r="K19" s="27" t="inlineStr">
        <is>
          <t>Confirm current title, authority, success criteria and DMB sponsorship.</t>
        </is>
      </c>
      <c r="L19" s="43" t="n"/>
      <c r="M19" s="43" t="n"/>
      <c r="N19" s="44" t="n"/>
      <c r="O19" s="27" t="inlineStr">
        <is>
          <t>Todd / RM</t>
        </is>
      </c>
      <c r="P19" s="44" t="n"/>
    </row>
    <row r="20" ht="66" customHeight="1">
      <c r="A20" s="27" t="inlineStr">
        <is>
          <t>Jose Gregorio Baquero — Global CEO, Pollo Campero — Guatemala</t>
        </is>
      </c>
      <c r="B20" s="27" t="inlineStr">
        <is>
          <t>E?</t>
        </is>
      </c>
      <c r="C20" s="27" t="inlineStr">
        <is>
          <t>High</t>
        </is>
      </c>
      <c r="D20" s="27" t="inlineStr">
        <is>
          <t>Growth</t>
        </is>
      </c>
      <c r="E20" s="27" t="inlineStr">
        <is>
          <t>Protect global brand, capital and scalable standards.</t>
        </is>
      </c>
      <c r="F20" s="27" t="inlineStr">
        <is>
          <t>A governed platform that supports growth across markets.</t>
        </is>
      </c>
      <c r="G20" s="27" t="inlineStr">
        <is>
          <t>Unknown</t>
        </is>
      </c>
      <c r="H20" s="27" t="n">
        <v>-2</v>
      </c>
      <c r="I20" s="27" t="inlineStr">
        <is>
          <t>Named by CMI as global CEO; role in U.S. DMB not verified.</t>
        </is>
      </c>
      <c r="J20" s="27" t="inlineStr">
        <is>
          <t>None</t>
        </is>
      </c>
      <c r="K20" s="27" t="inlineStr">
        <is>
          <t>Determine approval/veto role and whether global standards apply.</t>
        </is>
      </c>
      <c r="L20" s="43" t="n"/>
      <c r="M20" s="43" t="n"/>
      <c r="N20" s="44" t="n"/>
      <c r="O20" s="27" t="inlineStr">
        <is>
          <t>Todd / executive sponsor</t>
        </is>
      </c>
      <c r="P20" s="44" t="n"/>
    </row>
    <row r="21" ht="66" customHeight="1">
      <c r="A21" s="27" t="inlineStr">
        <is>
          <t>Katherine Celeste Urbina Barillas — Purchasing Specialist, CMI</t>
        </is>
      </c>
      <c r="B21" s="27" t="inlineStr">
        <is>
          <t>T / E?</t>
        </is>
      </c>
      <c r="C21" s="27" t="inlineStr">
        <is>
          <t>High</t>
        </is>
      </c>
      <c r="D21" s="27" t="inlineStr">
        <is>
          <t>Even Keel</t>
        </is>
      </c>
      <c r="E21" s="27" t="inlineStr">
        <is>
          <t>Run a fair, compliant process with comparable commitments.</t>
        </is>
      </c>
      <c r="F21" s="27" t="inlineStr">
        <is>
          <t>Executable contract, pricing and delivery accountability.</t>
        </is>
      </c>
      <c r="G21" s="27" t="inlineStr">
        <is>
          <t>Unknown</t>
        </is>
      </c>
      <c r="H21" s="27" t="n">
        <v>0</v>
      </c>
      <c r="I21" s="27" t="inlineStr">
        <is>
          <t>Named RFI recipient and cover-letter contact.</t>
        </is>
      </c>
      <c r="J21" s="27" t="inlineStr">
        <is>
          <t>Direct process path</t>
        </is>
      </c>
      <c r="K21" s="27" t="inlineStr">
        <is>
          <t>Confirm ownership of scoring, clarifications, negotiation and recommendation.</t>
        </is>
      </c>
      <c r="L21" s="43" t="n"/>
      <c r="M21" s="43" t="n"/>
      <c r="N21" s="44" t="n"/>
      <c r="O21" s="27" t="inlineStr">
        <is>
          <t>Todd / response lead</t>
        </is>
      </c>
      <c r="P21" s="44" t="n"/>
    </row>
    <row r="22" ht="66" customHeight="1">
      <c r="A22" s="27" t="inlineStr">
        <is>
          <t>Randy Heriberto Mulato Cerrate — Purchasing Specialist, CMI Alimentos</t>
        </is>
      </c>
      <c r="B22" s="27" t="inlineStr">
        <is>
          <t>T / C?</t>
        </is>
      </c>
      <c r="C22" s="27" t="inlineStr">
        <is>
          <t>High</t>
        </is>
      </c>
      <c r="D22" s="27" t="inlineStr">
        <is>
          <t>Growth / Even Keel</t>
        </is>
      </c>
      <c r="E22" s="27" t="inlineStr">
        <is>
          <t>Run a responsive process, provide clean inputs and assemble a credible proposal.</t>
        </is>
      </c>
      <c r="F22" s="27" t="inlineStr">
        <is>
          <t>Comparable DMB and payments proposals with controlled supplier risk.</t>
        </is>
      </c>
      <c r="G22" s="27" t="inlineStr">
        <is>
          <t>Potentially favorable</t>
        </is>
      </c>
      <c r="H22" s="27" t="n">
        <v>2</v>
      </c>
      <c r="I22" s="27" t="inlineStr">
        <is>
          <t>Attended Aug. 12 discovery; replied Aug. 21 that the approach works and committed to share statements for next-step review.</t>
        </is>
      </c>
      <c r="J22" s="27" t="inlineStr">
        <is>
          <t>Direct / responsive</t>
        </is>
      </c>
      <c r="K22" s="27" t="inlineStr">
        <is>
          <t>Receive statements; confirm authority, evaluation role and whether he will provide internal guidance.</t>
        </is>
      </c>
      <c r="L22" s="43" t="n"/>
      <c r="M22" s="43" t="n"/>
      <c r="N22" s="44" t="n"/>
      <c r="O22" s="27" t="inlineStr">
        <is>
          <t>Todd / Amy</t>
        </is>
      </c>
      <c r="P22" s="44" t="n"/>
    </row>
    <row r="23" ht="66" customHeight="1">
      <c r="A23" s="27" t="inlineStr">
        <is>
          <t>Diego Haro — Senior Accountant, CMI</t>
        </is>
      </c>
      <c r="B23" s="27" t="inlineStr">
        <is>
          <t>T / E?</t>
        </is>
      </c>
      <c r="C23" s="27" t="inlineStr">
        <is>
          <t>Medium/High</t>
        </is>
      </c>
      <c r="D23" s="27" t="inlineStr">
        <is>
          <t>Even Keel</t>
        </is>
      </c>
      <c r="E23" s="27" t="inlineStr">
        <is>
          <t>Economic transparency, reconciliation and controlled risk.</t>
        </is>
      </c>
      <c r="F23" s="27" t="inlineStr">
        <is>
          <t>Defensible business case and accurate payment economics.</t>
        </is>
      </c>
      <c r="G23" s="27" t="inlineStr">
        <is>
          <t>Unknown</t>
        </is>
      </c>
      <c r="H23" s="27" t="n">
        <v>1</v>
      </c>
      <c r="I23" s="27" t="inlineStr">
        <is>
          <t>Named Aug. 12 discovery participant and recipient of the Aug. 20 follow-up.</t>
        </is>
      </c>
      <c r="J23" s="27" t="inlineStr">
        <is>
          <t>Direct</t>
        </is>
      </c>
      <c r="K23" s="27" t="inlineStr">
        <is>
          <t>Validate role in statements, processor architecture, budget, analysis and approvals.</t>
        </is>
      </c>
      <c r="L23" s="43" t="n"/>
      <c r="M23" s="43" t="n"/>
      <c r="N23" s="44" t="n"/>
      <c r="O23" s="27" t="inlineStr">
        <is>
          <t>Payments / finance</t>
        </is>
      </c>
      <c r="P23" s="44" t="n"/>
    </row>
    <row r="24" ht="66" customHeight="1">
      <c r="A24" s="27" t="inlineStr">
        <is>
          <t>Scott O'Neill — Restaurant Technology Manager, Pollo Campero</t>
        </is>
      </c>
      <c r="B24" s="27" t="inlineStr">
        <is>
          <t>T / U / C?</t>
        </is>
      </c>
      <c r="C24" s="27" t="inlineStr">
        <is>
          <t>High</t>
        </is>
      </c>
      <c r="D24" s="27" t="inlineStr">
        <is>
          <t>Growth / Even Keel</t>
        </is>
      </c>
      <c r="E24" s="27" t="inlineStr">
        <is>
          <t>Choose reliable restaurant technology and be seen as a credible change leader.</t>
        </is>
      </c>
      <c r="F24" s="27" t="inlineStr">
        <is>
          <t>Low-risk integration, deployment, uptime and support.</t>
        </is>
      </c>
      <c r="G24" s="27" t="inlineStr">
        <is>
          <t>Potentially favorable</t>
        </is>
      </c>
      <c r="H24" s="27" t="n">
        <v>2</v>
      </c>
      <c r="I24" s="27" t="inlineStr">
        <is>
          <t>Prior positive NomadGo demo and friendly follow-ups; dormant relationship.</t>
        </is>
      </c>
      <c r="J24" s="27" t="inlineStr">
        <is>
          <t>Dormant warm</t>
        </is>
      </c>
      <c r="K24" s="27" t="inlineStr">
        <is>
          <t>Re-engage and test for coach criteria: access, credibility and guidance.</t>
        </is>
      </c>
      <c r="L24" s="43" t="n"/>
      <c r="M24" s="43" t="n"/>
      <c r="N24" s="44" t="n"/>
      <c r="O24" s="27" t="inlineStr">
        <is>
          <t>Todd</t>
        </is>
      </c>
      <c r="P24" s="44" t="n"/>
    </row>
    <row r="25" ht="66" customHeight="1">
      <c r="A25" s="27" t="inlineStr">
        <is>
          <t>Fernando Perez — Head of Operations (title unverified)</t>
        </is>
      </c>
      <c r="B25" s="27" t="inlineStr">
        <is>
          <t>U / E?</t>
        </is>
      </c>
      <c r="C25" s="27" t="inlineStr">
        <is>
          <t>Medium/High</t>
        </is>
      </c>
      <c r="D25" s="27" t="inlineStr">
        <is>
          <t>Unknown</t>
        </is>
      </c>
      <c r="E25" s="27" t="inlineStr">
        <is>
          <t>Protect store operations, speed and guest experience.</t>
        </is>
      </c>
      <c r="F25" s="27" t="inlineStr">
        <is>
          <t>Minimal disruption and consistent execution.</t>
        </is>
      </c>
      <c r="G25" s="27" t="inlineStr">
        <is>
          <t>Unknown</t>
        </is>
      </c>
      <c r="H25" s="27" t="n">
        <v>-1</v>
      </c>
      <c r="I25" s="27" t="inlineStr">
        <is>
          <t>Cold LinkedIn path; conflicting historical titles.</t>
        </is>
      </c>
      <c r="J25" s="27" t="inlineStr">
        <is>
          <t>Weak</t>
        </is>
      </c>
      <c r="K25" s="27" t="inlineStr">
        <is>
          <t>Verify title, current remit and operational influence.</t>
        </is>
      </c>
      <c r="L25" s="43" t="n"/>
      <c r="M25" s="43" t="n"/>
      <c r="N25" s="44" t="n"/>
      <c r="O25" s="27" t="inlineStr">
        <is>
          <t>Todd</t>
        </is>
      </c>
      <c r="P25" s="44" t="n"/>
    </row>
    <row r="26" ht="66" customHeight="1">
      <c r="A26" s="27" t="inlineStr">
        <is>
          <t>Karla Patino — VP, U.S. Marketing &amp; Sales — Dallas, TX</t>
        </is>
      </c>
      <c r="B26" s="27" t="inlineStr">
        <is>
          <t>U</t>
        </is>
      </c>
      <c r="C26" s="27" t="inlineStr">
        <is>
          <t>High</t>
        </is>
      </c>
      <c r="D26" s="27" t="inlineStr">
        <is>
          <t>Growth</t>
        </is>
      </c>
      <c r="E26" s="27" t="inlineStr">
        <is>
          <t>Build the most-loved brand for U.S. Hispanic consumers while reaching new audiences.</t>
        </is>
      </c>
      <c r="F26" s="27" t="inlineStr">
        <is>
          <t>Consistent brand presentation, agile promotions and measurable sales growth.</t>
        </is>
      </c>
      <c r="G26" s="27" t="inlineStr">
        <is>
          <t>Unknown</t>
        </is>
      </c>
      <c r="H26" s="27" t="n">
        <v>-1</v>
      </c>
      <c r="I26" s="27" t="inlineStr">
        <is>
          <t>Public appointment June 2026; no pursuit access.</t>
        </is>
      </c>
      <c r="J26" s="27" t="inlineStr">
        <is>
          <t>None</t>
        </is>
      </c>
      <c r="K26" s="27" t="inlineStr">
        <is>
          <t>Confirm ownership of DMB content, promotions, dayparting and success metrics.</t>
        </is>
      </c>
      <c r="L26" s="43" t="n"/>
      <c r="M26" s="43" t="n"/>
      <c r="N26" s="44" t="n"/>
      <c r="O26" s="27" t="inlineStr">
        <is>
          <t>Todd / marketing lead</t>
        </is>
      </c>
      <c r="P26" s="44" t="n"/>
    </row>
    <row r="27" ht="66" customHeight="1">
      <c r="A27" s="27" t="inlineStr">
        <is>
          <t>Jorge de la Parra — title and location unverified, CMI</t>
        </is>
      </c>
      <c r="B27" s="27" t="inlineStr">
        <is>
          <t>T / U / C?</t>
        </is>
      </c>
      <c r="C27" s="27" t="inlineStr">
        <is>
          <t>High</t>
        </is>
      </c>
      <c r="D27" s="27" t="inlineStr">
        <is>
          <t>Even Keel</t>
        </is>
      </c>
      <c r="E27" s="27" t="inlineStr">
        <is>
          <t>Shape both workstreams, coordinate the right people and maintain momentum.</t>
        </is>
      </c>
      <c r="F27" s="27" t="inlineStr">
        <is>
          <t>A coherent payments and DMB decision that meets CMI's business, technical and commercial requirements.</t>
        </is>
      </c>
      <c r="G27" s="27" t="inlineStr">
        <is>
          <t>Potentially favorable</t>
        </is>
      </c>
      <c r="H27" s="27" t="n">
        <v>2</v>
      </c>
      <c r="I27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J27" s="27" t="inlineStr">
        <is>
          <t>Direct / key cross-workstream stakeholder with an executive relationship path</t>
        </is>
      </c>
      <c r="K27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27" s="43" t="n"/>
      <c r="M27" s="43" t="n"/>
      <c r="N27" s="44" t="n"/>
      <c r="O27" s="27" t="inlineStr">
        <is>
          <t>Todd / Amy / Ryan</t>
        </is>
      </c>
      <c r="P27" s="44" t="n"/>
    </row>
    <row r="28" ht="66" customHeight="1">
      <c r="A28" s="27" t="inlineStr">
        <is>
          <t>Terry Fresquez — title and location unverified, CMI</t>
        </is>
      </c>
      <c r="B28" s="27" t="inlineStr">
        <is>
          <t>U? / T?</t>
        </is>
      </c>
      <c r="C28" s="27" t="inlineStr">
        <is>
          <t>Unknown</t>
        </is>
      </c>
      <c r="D28" s="27" t="inlineStr">
        <is>
          <t>Unknown</t>
        </is>
      </c>
      <c r="E28" s="27" t="inlineStr">
        <is>
          <t>Unknown - participated in initial discussion.</t>
        </is>
      </c>
      <c r="F28" s="27" t="inlineStr">
        <is>
          <t>Potential contribution to payments, technology or operating decision.</t>
        </is>
      </c>
      <c r="G28" s="27" t="inlineStr">
        <is>
          <t>Unknown</t>
        </is>
      </c>
      <c r="H28" s="27" t="n">
        <v>0</v>
      </c>
      <c r="I28" s="27" t="inlineStr">
        <is>
          <t>Named Aug. 12 discovery attendee and Aug. 20 follow-up recipient.</t>
        </is>
      </c>
      <c r="J28" s="27" t="inlineStr">
        <is>
          <t>Direct</t>
        </is>
      </c>
      <c r="K28" s="27" t="inlineStr">
        <is>
          <t>Confirm title, remit, role, influence, win and decision rights.</t>
        </is>
      </c>
      <c r="L28" s="43" t="n"/>
      <c r="M28" s="43" t="n"/>
      <c r="N28" s="44" t="n"/>
      <c r="O28" s="27" t="inlineStr">
        <is>
          <t>Todd / Amy</t>
        </is>
      </c>
      <c r="P28" s="44" t="n"/>
    </row>
    <row r="29" ht="66" customHeight="1">
      <c r="A29" s="27" t="inlineStr">
        <is>
          <t>Katherine Celeste Urbina Barillas — Purchasing Specialist — CMI / Pollo Campero</t>
        </is>
      </c>
      <c r="B29" s="27" t="inlineStr">
        <is>
          <t>Procurement contact / U?</t>
        </is>
      </c>
      <c r="C29" s="27" t="inlineStr">
        <is>
          <t>High process influence; economic and technical authority unverified</t>
        </is>
      </c>
      <c r="D29" s="27" t="inlineStr">
        <is>
          <t>Even Keel</t>
        </is>
      </c>
      <c r="E29" s="27" t="inlineStr">
        <is>
          <t>Run a complete, comparable and timely procurement process.</t>
        </is>
      </c>
      <c r="F29" s="27" t="inlineStr">
        <is>
          <t>Receive a complete revised proposal and priced SOW responsive to the updated requirements.</t>
        </is>
      </c>
      <c r="G29" s="27" t="inlineStr">
        <is>
          <t>Unknown</t>
        </is>
      </c>
      <c r="H29" s="27" t="n">
        <v>0</v>
      </c>
      <c r="I29" s="27" t="inlineStr">
        <is>
          <t>Primary procurement channel. Transmitted the updated TDR and SOW/pricing template and established the 2026-09-04 deadline.</t>
        </is>
      </c>
      <c r="J29" s="27" t="inlineStr">
        <is>
          <t>Direct email / formal procurement channel</t>
        </is>
      </c>
      <c r="K29" s="27" t="inlineStr">
        <is>
          <t>Send one consolidated clarification set and submit the revised proposal and pricing on time.</t>
        </is>
      </c>
      <c r="L29" s="43" t="n"/>
      <c r="M29" s="43" t="n"/>
      <c r="N29" s="44" t="n"/>
      <c r="O29" s="27" t="inlineStr">
        <is>
          <t>Todd / proposal lead</t>
        </is>
      </c>
      <c r="P29" s="44" t="n"/>
    </row>
    <row r="30"/>
    <row r="31"/>
    <row r="32" ht="15" customHeight="1">
      <c r="A32" s="13" t="inlineStr">
        <is>
          <t>SUMMARY OF MY POSITION TODAY</t>
        </is>
      </c>
      <c r="E32" s="13" t="inlineStr">
        <is>
          <t>POSSIBLE ACTIONS</t>
        </is>
      </c>
      <c r="K32" s="13" t="inlineStr">
        <is>
          <t>BEST ACTION PLAN</t>
        </is>
      </c>
    </row>
    <row r="33" ht="15" customHeight="1">
      <c r="A33" s="29" t="inlineStr">
        <is>
          <t>STRENGTHS</t>
        </is>
      </c>
    </row>
    <row r="34" ht="44" customHeight="1">
      <c r="A34" s="27" t="inlineStr">
        <is>
          <t>Customer-defined, end-of-life DMB need across a growing estate.</t>
        </is>
      </c>
      <c r="B34" s="43" t="n"/>
      <c r="C34" s="43" t="n"/>
      <c r="D34" s="44" t="n"/>
      <c r="E34" s="27" t="inlineStr">
        <is>
          <t>Use exact customer language and a requirement/evidence compliance matrix.</t>
        </is>
      </c>
      <c r="F34" s="43" t="n"/>
      <c r="G34" s="43" t="n"/>
      <c r="H34" s="43" t="n"/>
      <c r="I34" s="43" t="n"/>
      <c r="J34" s="44" t="n"/>
      <c r="K34" s="27" t="inlineStr">
        <is>
          <t>Receive/qualify full RFP; verify scoring, dates and decision roles.</t>
        </is>
      </c>
      <c r="L34" s="43" t="n"/>
      <c r="M34" s="44" t="n"/>
      <c r="N34" s="27" t="inlineStr">
        <is>
          <t>Todd / response lead</t>
        </is>
      </c>
      <c r="O34" s="44" t="n"/>
      <c r="P34" s="27" t="inlineStr">
        <is>
          <t>On receipt</t>
        </is>
      </c>
    </row>
    <row r="35" ht="44" customHeight="1">
      <c r="A35" s="27" t="inlineStr">
        <is>
          <t>Genius fits DMB, hardware, integration, rollout and support scope.</t>
        </is>
      </c>
      <c r="B35" s="43" t="n"/>
      <c r="C35" s="43" t="n"/>
      <c r="D35" s="44" t="n"/>
      <c r="E35" s="27" t="inlineStr">
        <is>
          <t>Map every requirement to proven capability, partner, dependency or gap.</t>
        </is>
      </c>
      <c r="F35" s="43" t="n"/>
      <c r="G35" s="43" t="n"/>
      <c r="H35" s="43" t="n"/>
      <c r="I35" s="43" t="n"/>
      <c r="J35" s="44" t="n"/>
      <c r="K35" s="27" t="inlineStr">
        <is>
          <t>Re-engage Scott O'Neill and map the customer buying system.</t>
        </is>
      </c>
      <c r="L35" s="43" t="n"/>
      <c r="M35" s="44" t="n"/>
      <c r="N35" s="27" t="inlineStr">
        <is>
          <t>Todd / RM</t>
        </is>
      </c>
      <c r="O35" s="44" t="n"/>
      <c r="P35" s="27" t="inlineStr">
        <is>
          <t>First clarification</t>
        </is>
      </c>
    </row>
    <row r="36" ht="44" customHeight="1">
      <c r="A36" s="27" t="inlineStr">
        <is>
          <t>Direct customer engagement; Randy committed to share statements, and Jorge independently contacted Tracy after the meeting.</t>
        </is>
      </c>
      <c r="B36" s="43" t="n"/>
      <c r="C36" s="43" t="n"/>
      <c r="D36" s="44" t="n"/>
      <c r="E36" s="27" t="inlineStr">
        <is>
          <t>Convert momentum and Jorge's executive relationship path into verified access, decision insight and scheduled work sessions.</t>
        </is>
      </c>
      <c r="F36" s="43" t="n"/>
      <c r="G36" s="43" t="n"/>
      <c r="H36" s="43" t="n"/>
      <c r="I36" s="43" t="n"/>
      <c r="J36" s="44" t="n"/>
      <c r="K36" s="27" t="inlineStr">
        <is>
          <t>Validate what Jorge communicated to Tracy, then map Olo/Olo Pay, Stripe, Fiserv, Valutec and POS migration state.</t>
        </is>
      </c>
      <c r="L36" s="43" t="n"/>
      <c r="M36" s="44" t="n"/>
      <c r="N36" s="27" t="inlineStr">
        <is>
          <t>Todd / Ryan / solution + payments</t>
        </is>
      </c>
      <c r="O36" s="44" t="n"/>
      <c r="P36" s="27" t="inlineStr">
        <is>
          <t>Discovery</t>
        </is>
      </c>
    </row>
    <row r="37" ht="44" customHeight="1">
      <c r="A37" s="27" t="inlineStr">
        <is>
          <t>Payments and broader stack create optional enterprise value.</t>
        </is>
      </c>
      <c r="B37" s="43" t="n"/>
      <c r="C37" s="43" t="n"/>
      <c r="D37" s="44" t="n"/>
      <c r="E37" s="27" t="inlineStr">
        <is>
          <t>Keep payments optional and prove economics/operational benefit.</t>
        </is>
      </c>
      <c r="F37" s="43" t="n"/>
      <c r="G37" s="43" t="n"/>
      <c r="H37" s="43" t="n"/>
      <c r="I37" s="43" t="n"/>
      <c r="J37" s="44" t="n"/>
      <c r="K37" s="27" t="inlineStr">
        <is>
          <t>Approve standalone, participation and white-glove guardrails.</t>
        </is>
      </c>
      <c r="L37" s="43" t="n"/>
      <c r="M37" s="44" t="n"/>
      <c r="N37" s="27" t="inlineStr">
        <is>
          <t>Todd / Ryan / Finance</t>
        </is>
      </c>
      <c r="O37" s="44" t="n"/>
      <c r="P37" s="27" t="inlineStr">
        <is>
          <t>Commercial review</t>
        </is>
      </c>
    </row>
    <row r="38"/>
    <row r="39" ht="15" customHeight="1">
      <c r="A39" s="30" t="inlineStr">
        <is>
          <t>RED FLAGS</t>
        </is>
      </c>
    </row>
    <row r="40" ht="44" customHeight="1">
      <c r="A40" s="27" t="inlineStr">
        <is>
          <t>No verified EBI, customer coach, budget, scorecard or decision calendar.</t>
        </is>
      </c>
      <c r="B40" s="43" t="n"/>
      <c r="C40" s="43" t="n"/>
      <c r="D40" s="44" t="n"/>
      <c r="E40" s="27" t="inlineStr">
        <is>
          <t>Use first clarification/discovery cycle to validate buying influences.</t>
        </is>
      </c>
      <c r="F40" s="43" t="n"/>
      <c r="G40" s="43" t="n"/>
      <c r="H40" s="43" t="n"/>
      <c r="I40" s="43" t="n"/>
      <c r="J40" s="44" t="n"/>
      <c r="K40" s="27" t="inlineStr">
        <is>
          <t>Stakeholder map and coach test.</t>
        </is>
      </c>
      <c r="L40" s="43" t="n"/>
      <c r="M40" s="44" t="n"/>
      <c r="N40" s="27" t="inlineStr">
        <is>
          <t>Todd / RM</t>
        </is>
      </c>
      <c r="O40" s="44" t="n"/>
      <c r="P40" s="27" t="inlineStr">
        <is>
          <t>Open</t>
        </is>
      </c>
    </row>
    <row r="41" ht="44" customHeight="1">
      <c r="A41" s="27" t="inlineStr">
        <is>
          <t>Oracle migration may already constrain broader platform scope.</t>
        </is>
      </c>
      <c r="B41" s="43" t="n"/>
      <c r="C41" s="43" t="n"/>
      <c r="D41" s="44" t="n"/>
      <c r="E41" s="27" t="inlineStr">
        <is>
          <t>Separate DMB win from speculative POS displacement; verify contract/deployment status.</t>
        </is>
      </c>
      <c r="F41" s="43" t="n"/>
      <c r="G41" s="43" t="n"/>
      <c r="H41" s="43" t="n"/>
      <c r="I41" s="43" t="n"/>
      <c r="J41" s="44" t="n"/>
      <c r="K41" s="27" t="inlineStr">
        <is>
          <t>Bid/no-bid and wedge decision.</t>
        </is>
      </c>
      <c r="L41" s="43" t="n"/>
      <c r="M41" s="44" t="n"/>
      <c r="N41" s="27" t="inlineStr">
        <is>
          <t>Todd / solution lead</t>
        </is>
      </c>
      <c r="O41" s="44" t="n"/>
      <c r="P41" s="27" t="inlineStr">
        <is>
          <t>Open</t>
        </is>
      </c>
    </row>
    <row r="42" ht="44" customHeight="1">
      <c r="A42" s="27" t="inlineStr">
        <is>
          <t>Olo/Olo Pay fraud and chargeback value could make digital payments sticky.</t>
        </is>
      </c>
      <c r="B42" s="43" t="n"/>
      <c r="C42" s="43" t="n"/>
      <c r="D42" s="44" t="n"/>
      <c r="E42" s="27" t="inlineStr">
        <is>
          <t>Benchmark authorization, fraud, disputes, token portability and economics before claiming value.</t>
        </is>
      </c>
      <c r="F42" s="43" t="n"/>
      <c r="G42" s="43" t="n"/>
      <c r="H42" s="43" t="n"/>
      <c r="I42" s="43" t="n"/>
      <c r="J42" s="44" t="n"/>
      <c r="K42" s="27" t="inlineStr">
        <is>
          <t>Digital payments diligence.</t>
        </is>
      </c>
      <c r="L42" s="43" t="n"/>
      <c r="M42" s="44" t="n"/>
      <c r="N42" s="27" t="inlineStr">
        <is>
          <t>Payments lead</t>
        </is>
      </c>
      <c r="O42" s="44" t="n"/>
      <c r="P42" s="27" t="inlineStr">
        <is>
          <t>Open</t>
        </is>
      </c>
    </row>
    <row r="43" ht="44" customHeight="1">
      <c r="A43" s="27" t="inlineStr">
        <is>
          <t>Screen/store mix and white-glove workload are not validated.</t>
        </is>
      </c>
      <c r="B43" s="43" t="n"/>
      <c r="C43" s="43" t="n"/>
      <c r="D43" s="44" t="n"/>
      <c r="E43" s="27" t="inlineStr">
        <is>
          <t>Price archetypes and explicit assumptions; reconcile to site inventory.</t>
        </is>
      </c>
      <c r="F43" s="43" t="n"/>
      <c r="G43" s="43" t="n"/>
      <c r="H43" s="43" t="n"/>
      <c r="I43" s="43" t="n"/>
      <c r="J43" s="44" t="n"/>
      <c r="K43" s="27" t="inlineStr">
        <is>
          <t>BOM and service cost validation.</t>
        </is>
      </c>
      <c r="L43" s="43" t="n"/>
      <c r="M43" s="44" t="n"/>
      <c r="N43" s="27" t="inlineStr">
        <is>
          <t>Deployment / services</t>
        </is>
      </c>
      <c r="O43" s="44" t="n"/>
      <c r="P43" s="27" t="inlineStr">
        <is>
          <t>Open</t>
        </is>
      </c>
    </row>
    <row r="44" ht="44" customHeight="1">
      <c r="A44" s="27" t="inlineStr">
        <is>
          <t>Bank of America sample statements conflict with field report of Fiserv.</t>
        </is>
      </c>
      <c r="B44" s="43" t="n"/>
      <c r="C44" s="43" t="n"/>
      <c r="D44" s="44" t="n"/>
      <c r="E44" s="27" t="inlineStr">
        <is>
          <t>Treat as entity/store/sample ambiguity until estate architecture is confirmed.</t>
        </is>
      </c>
      <c r="F44" s="43" t="n"/>
      <c r="G44" s="43" t="n"/>
      <c r="H44" s="43" t="n"/>
      <c r="I44" s="43" t="n"/>
      <c r="J44" s="44" t="n"/>
      <c r="K44" s="27" t="inlineStr">
        <is>
          <t>Resolve processor/entity footprint.</t>
        </is>
      </c>
      <c r="L44" s="43" t="n"/>
      <c r="M44" s="44" t="n"/>
      <c r="N44" s="27" t="inlineStr">
        <is>
          <t>Payments lead</t>
        </is>
      </c>
      <c r="O44" s="44" t="n"/>
      <c r="P44" s="27" t="inlineStr">
        <is>
          <t>Open</t>
        </is>
      </c>
    </row>
  </sheetData>
  <mergeCells count="83">
    <mergeCell ref="A17:P17"/>
    <mergeCell ref="K40:M40"/>
    <mergeCell ref="K12:P12"/>
    <mergeCell ref="A44:D44"/>
    <mergeCell ref="O26:P26"/>
    <mergeCell ref="K24:N24"/>
    <mergeCell ref="E32:J32"/>
    <mergeCell ref="O25:P25"/>
    <mergeCell ref="K26:N26"/>
    <mergeCell ref="E5:J10"/>
    <mergeCell ref="K4:P4"/>
    <mergeCell ref="O27:P27"/>
    <mergeCell ref="K34:M34"/>
    <mergeCell ref="A41:D41"/>
    <mergeCell ref="N40:O40"/>
    <mergeCell ref="O11:P11"/>
    <mergeCell ref="K36:M36"/>
    <mergeCell ref="A33:D33"/>
    <mergeCell ref="A42:D42"/>
    <mergeCell ref="K11:M11"/>
    <mergeCell ref="N35:O35"/>
    <mergeCell ref="K44:M44"/>
    <mergeCell ref="A35:D35"/>
    <mergeCell ref="E34:J34"/>
    <mergeCell ref="B10:D10"/>
    <mergeCell ref="N36:O36"/>
    <mergeCell ref="O29:P29"/>
    <mergeCell ref="E36:J36"/>
    <mergeCell ref="B9:D9"/>
    <mergeCell ref="N42:O42"/>
    <mergeCell ref="E44:J44"/>
    <mergeCell ref="N44:O44"/>
    <mergeCell ref="O21:P21"/>
    <mergeCell ref="K21:N21"/>
    <mergeCell ref="A1:P1"/>
    <mergeCell ref="E37:J37"/>
    <mergeCell ref="E12:J12"/>
    <mergeCell ref="K35:M35"/>
    <mergeCell ref="E4:J4"/>
    <mergeCell ref="K27:N27"/>
    <mergeCell ref="B14:D14"/>
    <mergeCell ref="O19:P19"/>
    <mergeCell ref="O28:P28"/>
    <mergeCell ref="E13:J15"/>
    <mergeCell ref="E40:J40"/>
    <mergeCell ref="B13:D13"/>
    <mergeCell ref="N41:O41"/>
    <mergeCell ref="K19:N19"/>
    <mergeCell ref="K28:N28"/>
    <mergeCell ref="N43:O43"/>
    <mergeCell ref="O20:P20"/>
    <mergeCell ref="A34:D34"/>
    <mergeCell ref="K25:N25"/>
    <mergeCell ref="A39:D39"/>
    <mergeCell ref="O22:P22"/>
    <mergeCell ref="A36:D36"/>
    <mergeCell ref="E35:J35"/>
    <mergeCell ref="K29:N29"/>
    <mergeCell ref="A37:D37"/>
    <mergeCell ref="A12:D12"/>
    <mergeCell ref="O23:P23"/>
    <mergeCell ref="A32:D32"/>
    <mergeCell ref="K23:N23"/>
    <mergeCell ref="K41:M41"/>
    <mergeCell ref="K32:P32"/>
    <mergeCell ref="A4:D4"/>
    <mergeCell ref="O24:P24"/>
    <mergeCell ref="O18:P18"/>
    <mergeCell ref="A43:D43"/>
    <mergeCell ref="K43:M43"/>
    <mergeCell ref="N37:O37"/>
    <mergeCell ref="A40:D40"/>
    <mergeCell ref="K18:N18"/>
    <mergeCell ref="K42:M42"/>
    <mergeCell ref="B15:D15"/>
    <mergeCell ref="E41:J41"/>
    <mergeCell ref="K37:M37"/>
    <mergeCell ref="K20:N20"/>
    <mergeCell ref="E43:J43"/>
    <mergeCell ref="K22:N22"/>
    <mergeCell ref="N34:O34"/>
    <mergeCell ref="E42:J42"/>
    <mergeCell ref="A2:P2"/>
  </mergeCells>
  <dataValidations count="4">
    <dataValidation sqref="L6:L10" showDropDown="0" showInputMessage="0" showErrorMessage="0" allowBlank="0" type="list">
      <formula1>"Y,N,U"</formula1>
    </dataValidation>
    <dataValidation sqref="B13" showDropDown="0" showInputMessage="0" showErrorMessage="0" allowBlank="0" type="list">
      <formula1>"Euphoria,Great,Secure,Comfort,OK,Concern,Discomfort,Worry,Fear,Panic"</formula1>
    </dataValidation>
    <dataValidation sqref="L13" showDropDown="0" showInputMessage="0" showErrorMessage="0" allowBlank="0" type="list">
      <formula1>"Prospect,Qualify,Pursue,Close"</formula1>
    </dataValidation>
    <dataValidation sqref="O14" showDropDown="0" showInputMessage="0" showErrorMessage="0" allowBlank="0" type="list">
      <formula1>"Only alternative,Front-runner,Shared,Zero"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:H1"/>
    </sheetView>
  </sheetViews>
  <sheetFormatPr baseColWidth="10" defaultColWidth="8.83203125" defaultRowHeight="14"/>
  <cols>
    <col width="21" customWidth="1" min="1" max="1"/>
    <col width="50" customWidth="1" min="2" max="2"/>
    <col width="43" customWidth="1" min="3" max="3"/>
    <col width="15" customWidth="1" min="4" max="4"/>
    <col width="16" customWidth="1" min="5" max="5"/>
    <col width="39" customWidth="1" min="6" max="6"/>
    <col width="43" customWidth="1" min="7" max="7"/>
    <col width="23" customWidth="1" min="8" max="8"/>
  </cols>
  <sheetData>
    <row r="1" ht="28" customHeight="1">
      <c r="A1" s="11" t="inlineStr">
        <is>
          <t>POLLO CAMPERO — BRAND PROFILE</t>
        </is>
      </c>
    </row>
    <row r="2" ht="22" customHeight="1">
      <c r="A2" s="12" t="inlineStr">
        <is>
          <t>Executive account context, strategic implications and questions to resolve.</t>
        </is>
      </c>
    </row>
    <row r="4" ht="16" customHeight="1">
      <c r="A4" s="28" t="inlineStr">
        <is>
          <t>Category</t>
        </is>
      </c>
      <c r="B4" s="28" t="inlineStr">
        <is>
          <t>What we know</t>
        </is>
      </c>
      <c r="C4" s="28" t="inlineStr">
        <is>
          <t>Strategic implication</t>
        </is>
      </c>
      <c r="D4" s="28" t="inlineStr">
        <is>
          <t>Confidence</t>
        </is>
      </c>
      <c r="E4" s="28" t="inlineStr">
        <is>
          <t>As of</t>
        </is>
      </c>
      <c r="F4" s="28" t="inlineStr">
        <is>
          <t>Buying relevance</t>
        </is>
      </c>
      <c r="G4" s="28" t="inlineStr">
        <is>
          <t>Question to validate</t>
        </is>
      </c>
      <c r="H4" s="28" t="inlineStr">
        <is>
          <t>Owner</t>
        </is>
      </c>
    </row>
    <row r="5" ht="66" customHeight="1">
      <c r="A5" s="27" t="inlineStr">
        <is>
          <t>Identity &amp; heritage</t>
        </is>
      </c>
      <c r="B5" s="27" t="inlineStr">
        <is>
          <t>Founded in Guatemala in 1971; family-centered brand built on deeply seasoned fried/roasted chicken and Central American heritage.</t>
        </is>
      </c>
      <c r="C5" s="27" t="inlineStr">
        <is>
          <t>Technology must preserve distinctive brand expression, not homogenize it.</t>
        </is>
      </c>
      <c r="D5" s="27" t="inlineStr">
        <is>
          <t>High</t>
        </is>
      </c>
      <c r="E5" s="27" t="inlineStr">
        <is>
          <t>2026-08-21</t>
        </is>
      </c>
      <c r="F5" s="27" t="inlineStr"/>
      <c r="G5" s="27" t="inlineStr"/>
      <c r="H5" s="27" t="inlineStr"/>
    </row>
    <row r="6" ht="66" customHeight="1">
      <c r="A6" s="27" t="inlineStr">
        <is>
          <t>Ownership</t>
        </is>
      </c>
      <c r="B6" s="27" t="inlineStr">
        <is>
          <t>Part of family-owned multilatina CMI / CMI Foods.</t>
        </is>
      </c>
      <c r="C6" s="27" t="inlineStr">
        <is>
          <t>Potential global/family governance above Campero USA.</t>
        </is>
      </c>
      <c r="D6" s="27" t="inlineStr">
        <is>
          <t>High</t>
        </is>
      </c>
      <c r="E6" s="27" t="inlineStr">
        <is>
          <t>2026-08-21</t>
        </is>
      </c>
      <c r="F6" s="27" t="inlineStr"/>
      <c r="G6" s="27" t="inlineStr"/>
      <c r="H6" s="27" t="inlineStr"/>
    </row>
    <row r="7" ht="66" customHeight="1">
      <c r="A7" s="27" t="inlineStr">
        <is>
          <t>Global scale</t>
        </is>
      </c>
      <c r="B7" s="27" t="inlineStr">
        <is>
          <t>CMI brand page reports 370+ restaurants, 7,000+ employees and operations across eight countries.</t>
        </is>
      </c>
      <c r="C7" s="27" t="inlineStr">
        <is>
          <t>Global support can differentiate, but only with country-by-country proof.</t>
        </is>
      </c>
      <c r="D7" s="27" t="inlineStr">
        <is>
          <t>High</t>
        </is>
      </c>
      <c r="E7" s="27" t="inlineStr">
        <is>
          <t>2026-08-21</t>
        </is>
      </c>
      <c r="F7" s="27" t="inlineStr"/>
      <c r="G7" s="27" t="inlineStr"/>
      <c r="H7" s="27" t="inlineStr"/>
    </row>
    <row r="8" ht="66" customHeight="1">
      <c r="A8" s="27" t="inlineStr">
        <is>
          <t>U.S. footprint</t>
        </is>
      </c>
      <c r="B8" s="27" t="inlineStr">
        <is>
          <t>Company announced more than 150 U.S. restaurants in June 2026.</t>
        </is>
      </c>
      <c r="C8" s="27" t="inlineStr">
        <is>
          <t>Use 150+ as current directional count; RFP scope still requires reconciliation.</t>
        </is>
      </c>
      <c r="D8" s="27" t="inlineStr">
        <is>
          <t>High</t>
        </is>
      </c>
      <c r="E8" s="27" t="inlineStr">
        <is>
          <t>2026-06-29</t>
        </is>
      </c>
      <c r="F8" s="27" t="inlineStr"/>
      <c r="G8" s="27" t="inlineStr"/>
      <c r="H8" s="27" t="inlineStr"/>
    </row>
    <row r="9" ht="66" customHeight="1">
      <c r="A9" s="27" t="inlineStr">
        <is>
          <t>Growth goal</t>
        </is>
      </c>
      <c r="B9" s="27" t="inlineStr">
        <is>
          <t>Current company release targets 250 U.S. locations by 2030.</t>
        </is>
      </c>
      <c r="C9" s="27" t="inlineStr">
        <is>
          <t>New-store deployment, standards, uptime and lifecycle support are strategic.</t>
        </is>
      </c>
      <c r="D9" s="27" t="inlineStr">
        <is>
          <t>High</t>
        </is>
      </c>
      <c r="E9" s="27" t="inlineStr">
        <is>
          <t>2026-06-29</t>
        </is>
      </c>
      <c r="F9" s="27" t="inlineStr"/>
      <c r="G9" s="27" t="inlineStr"/>
      <c r="H9" s="27" t="inlineStr"/>
    </row>
    <row r="10" ht="66" customHeight="1">
      <c r="A10" s="27" t="inlineStr">
        <is>
          <t>Growth markets</t>
        </is>
      </c>
      <c r="B10" s="27" t="inlineStr">
        <is>
          <t>CMI identified Florida and California as key growth markets.</t>
        </is>
      </c>
      <c r="C10" s="27" t="inlineStr">
        <is>
          <t>Regional rollout/service coverage and environmental/site variance matter.</t>
        </is>
      </c>
      <c r="D10" s="27" t="inlineStr">
        <is>
          <t>Medium</t>
        </is>
      </c>
      <c r="E10" s="27" t="inlineStr">
        <is>
          <t>2024-06-20</t>
        </is>
      </c>
      <c r="F10" s="27" t="inlineStr"/>
      <c r="G10" s="27" t="inlineStr"/>
      <c r="H10" s="27" t="inlineStr"/>
    </row>
    <row r="11" ht="66" customHeight="1">
      <c r="A11" s="27" t="inlineStr">
        <is>
          <t>U.S. leadership</t>
        </is>
      </c>
      <c r="B11" s="27" t="inlineStr">
        <is>
          <t>Luis Javier Rodas is publicly identified as Managing Director/COO; Karla Patino became VP U.S. Marketing &amp; Sales in June 2026.</t>
        </is>
      </c>
      <c r="C11" s="27" t="inlineStr">
        <is>
          <t>Potential business/user influences; roles in DMB decision must be confirmed.</t>
        </is>
      </c>
      <c r="D11" s="27" t="inlineStr">
        <is>
          <t>High</t>
        </is>
      </c>
      <c r="E11" s="27" t="inlineStr">
        <is>
          <t>2026-06-29</t>
        </is>
      </c>
      <c r="F11" s="27" t="inlineStr"/>
      <c r="G11" s="27" t="inlineStr"/>
      <c r="H11" s="27" t="inlineStr"/>
    </row>
    <row r="12" ht="66" customHeight="1">
      <c r="A12" s="27" t="inlineStr">
        <is>
          <t>Global leadership</t>
        </is>
      </c>
      <c r="B12" s="27" t="inlineStr">
        <is>
          <t>CMI identifies Juan Jose Gutierrez Mayorga as Chairman of CMI Foods; current CMI release names Jose Gregorio Baquero as global CEO of Pollo Campero.</t>
        </is>
      </c>
      <c r="C12" s="27" t="inlineStr">
        <is>
          <t>Potential ownership/global governance above U.S. buyers.</t>
        </is>
      </c>
      <c r="D12" s="27" t="inlineStr">
        <is>
          <t>Medium/High</t>
        </is>
      </c>
      <c r="E12" s="27" t="inlineStr">
        <is>
          <t>2026</t>
        </is>
      </c>
      <c r="F12" s="27" t="inlineStr"/>
      <c r="G12" s="27" t="inlineStr"/>
      <c r="H12" s="27" t="inlineStr"/>
    </row>
    <row r="13" ht="66" customHeight="1">
      <c r="A13" s="27" t="inlineStr">
        <is>
          <t>Digital ordering</t>
        </is>
      </c>
      <c r="B13" s="27" t="inlineStr">
        <is>
          <t>Official U.S. ordering route is hosted on Olo.</t>
        </is>
      </c>
      <c r="C13" s="27" t="inlineStr">
        <is>
          <t>Olo is a verified integration boundary.</t>
        </is>
      </c>
      <c r="D13" s="27" t="inlineStr">
        <is>
          <t>High</t>
        </is>
      </c>
      <c r="E13" s="27" t="inlineStr">
        <is>
          <t>2026-08-21</t>
        </is>
      </c>
      <c r="F13" s="27" t="inlineStr"/>
      <c r="G13" s="27" t="inlineStr"/>
      <c r="H13" s="27" t="inlineStr"/>
    </row>
    <row r="14" ht="66" customHeight="1">
      <c r="A14" s="27" t="inlineStr">
        <is>
          <t>Rewards</t>
        </is>
      </c>
      <c r="B14" s="27" t="inlineStr">
        <is>
          <t>Campero Rewards earns 10 points per $1 in-store, online or app; program is tiered and migrated prior-member balances.</t>
        </is>
      </c>
      <c r="C14" s="27" t="inlineStr">
        <is>
          <t>Omnichannel identity, offers and loyalty continuity are material.</t>
        </is>
      </c>
      <c r="D14" s="27" t="inlineStr">
        <is>
          <t>High</t>
        </is>
      </c>
      <c r="E14" s="27" t="inlineStr">
        <is>
          <t>2026-08-21</t>
        </is>
      </c>
      <c r="F14" s="27" t="inlineStr"/>
      <c r="G14" s="27" t="inlineStr"/>
      <c r="H14" s="27" t="inlineStr"/>
    </row>
    <row r="15" ht="66" customHeight="1">
      <c r="A15" s="27" t="inlineStr">
        <is>
          <t>Brand ambition</t>
        </is>
      </c>
      <c r="B15" s="27" t="inlineStr">
        <is>
          <t>Karla Patino stated a goal of making Campero the most-loved brand for the U.S. Hispanic community while growth also reaches new audiences.</t>
        </is>
      </c>
      <c r="C15" s="27" t="inlineStr">
        <is>
          <t>DMB should support culturally authentic content plus local relevance and agile promotion.</t>
        </is>
      </c>
      <c r="D15" s="27" t="inlineStr">
        <is>
          <t>High</t>
        </is>
      </c>
      <c r="E15" s="27" t="inlineStr">
        <is>
          <t>2026-06-29</t>
        </is>
      </c>
      <c r="F15" s="27" t="inlineStr"/>
      <c r="G15" s="27" t="inlineStr"/>
      <c r="H15" s="27" t="inlineStr"/>
    </row>
    <row r="16" ht="66" customHeight="1">
      <c r="A16" s="27" t="inlineStr">
        <is>
          <t>Economics / scale</t>
        </is>
      </c>
      <c r="B16" s="27" t="inlineStr">
        <is>
          <t>Working 2024 baseline is $334.2M in U.S. system sales and approximately $3.165M AUV; the current working card-volume estimate is $200M+.</t>
        </is>
      </c>
      <c r="C16" s="27" t="inlineStr">
        <is>
          <t>Commercially meaningful account, but figures require live validation.</t>
        </is>
      </c>
      <c r="D16" s="27" t="inlineStr">
        <is>
          <t>Medium</t>
        </is>
      </c>
      <c r="E16" s="27" t="inlineStr">
        <is>
          <t>2026-08-20</t>
        </is>
      </c>
      <c r="F16" s="27" t="inlineStr"/>
      <c r="G16" s="27" t="inlineStr"/>
      <c r="H16" s="27" t="inlineStr"/>
    </row>
    <row r="17" ht="66" customHeight="1">
      <c r="A17" s="27" t="inlineStr">
        <is>
          <t>Relationship history</t>
        </is>
      </c>
      <c r="B17" s="27" t="inlineStr">
        <is>
          <t>Scott O'Neill remains a dormant warm relationship. The Aug. 12 call created direct access to Randy Mulato, Diego Haro, Jorge de la Parra and Terry Fresquez; Randy responded positively Aug. 21 and committed to share statements. Jorge is a key stakeholder in both payments and the DMB RFI, knows Ryan's boss Tracy, and texted Tracy shortly after the meeting.</t>
        </is>
      </c>
      <c r="C17" s="27" t="inlineStr">
        <is>
          <t>Jorge is the central known cross-workstream stakeholder and now has a confirmed executive relationship path into our organization. The outreach is a positive mobilization signal, but Jorge has not yet demonstrated all three Coach tests or verified Economic Buyer authority.</t>
        </is>
      </c>
      <c r="D17" s="27" t="inlineStr">
        <is>
          <t>High</t>
        </is>
      </c>
      <c r="E17" s="27" t="inlineStr">
        <is>
          <t>2026-08-21</t>
        </is>
      </c>
      <c r="F17" s="27" t="inlineStr"/>
      <c r="G17" s="27" t="inlineStr"/>
      <c r="H17" s="27" t="inlineStr"/>
    </row>
    <row r="18" ht="66" customHeight="1">
      <c r="A18" s="27" t="inlineStr">
        <is>
          <t>Current pursuit</t>
        </is>
      </c>
      <c r="B18" s="27" t="inlineStr">
        <is>
          <t>Global Payments/Genius submitted the DMB RFI response on 2026-08-21. Pollo Campero advanced the procurement to a formal RFP and delivered the updated TDR and SOW/pricing template on 2026-08-26. Revised response is due 2026-09-04.</t>
        </is>
      </c>
      <c r="C18" s="27" t="inlineStr">
        <is>
          <t>Active competitive procurement. DMB remains the primary motion; Worldpay/payments and broader Genius consolidation are optional expansion paths, not prerequisites.</t>
        </is>
      </c>
      <c r="D18" s="27" t="inlineStr">
        <is>
          <t>High</t>
        </is>
      </c>
      <c r="E18" s="27" t="inlineStr">
        <is>
          <t>2026-08-27</t>
        </is>
      </c>
      <c r="F18" s="27" t="inlineStr"/>
      <c r="G18" s="27" t="inlineStr"/>
      <c r="H18" s="27" t="inlineStr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tabSelected="1" workbookViewId="0">
      <selection activeCell="A1" sqref="A1:K1"/>
    </sheetView>
  </sheetViews>
  <sheetFormatPr baseColWidth="10" defaultColWidth="8.83203125" defaultRowHeight="14"/>
  <cols>
    <col width="24" customWidth="1" min="1" max="1"/>
    <col width="31" customWidth="1" min="2" max="2"/>
    <col width="42" customWidth="1" min="3" max="3"/>
    <col width="13" customWidth="1" min="4" max="4"/>
    <col width="28" customWidth="1" min="5" max="5"/>
    <col width="34" customWidth="1" min="6" max="6"/>
    <col width="38" customWidth="1" min="7" max="7"/>
    <col width="31" customWidth="1" min="8" max="8"/>
    <col width="35" customWidth="1" min="9" max="9"/>
    <col width="42" customWidth="1" min="10" max="10"/>
    <col width="16" customWidth="1" min="11" max="11"/>
  </cols>
  <sheetData>
    <row r="1" ht="28" customHeight="1">
      <c r="A1" s="11" t="inlineStr">
        <is>
          <t>POLLO CAMPERO — CURRENT TECHNOLOGY &amp; VENDOR LANDSCAPE</t>
        </is>
      </c>
    </row>
    <row r="2" ht="22" customHeight="1">
      <c r="A2" s="12" t="inlineStr">
        <is>
          <t>Executive working view of the current environment, whitespace and next validation.</t>
        </is>
      </c>
    </row>
    <row r="4" ht="16" customHeight="1">
      <c r="A4" s="28" t="inlineStr">
        <is>
          <t>Layer</t>
        </is>
      </c>
      <c r="B4" s="28" t="inlineStr">
        <is>
          <t>Current vendor / product</t>
        </is>
      </c>
      <c r="C4" s="28" t="inlineStr">
        <is>
          <t>Current state</t>
        </is>
      </c>
      <c r="D4" s="28" t="inlineStr">
        <is>
          <t>Confidence</t>
        </is>
      </c>
      <c r="E4" s="28" t="inlineStr">
        <is>
          <t>Decision owner / influence</t>
        </is>
      </c>
      <c r="F4" s="28" t="inlineStr">
        <is>
          <t>Customer value / pain</t>
        </is>
      </c>
      <c r="G4" s="28" t="inlineStr">
        <is>
          <t>Genius / Worldpay relevance</t>
        </is>
      </c>
      <c r="H4" s="28" t="inlineStr">
        <is>
          <t>Incumbent advantage</t>
        </is>
      </c>
      <c r="I4" s="28" t="inlineStr">
        <is>
          <t>Risk / constraint</t>
        </is>
      </c>
      <c r="J4" s="28" t="inlineStr">
        <is>
          <t>Next step</t>
        </is>
      </c>
      <c r="K4" s="28" t="inlineStr">
        <is>
          <t>Status</t>
        </is>
      </c>
    </row>
    <row r="5" ht="68" customHeight="1">
      <c r="A5" s="27" t="inlineStr">
        <is>
          <t>DMB / CMS</t>
        </is>
      </c>
      <c r="B5" s="27" t="inlineStr">
        <is>
          <t>ZoneIn and Stream among multiple vendors</t>
        </is>
      </c>
      <c r="C5" s="27" t="inlineStr">
        <is>
          <t>Fragmented, manual and end-of-life; RFI seeks a unified platform.</t>
        </is>
      </c>
      <c r="D5" s="27" t="inlineStr">
        <is>
          <t>high</t>
        </is>
      </c>
      <c r="E5" s="27" t="n"/>
      <c r="F5" s="27" t="n"/>
      <c r="G5" s="27" t="n"/>
      <c r="H5" s="27" t="n"/>
      <c r="I5" s="27" t="n"/>
      <c r="J5" s="27" t="n"/>
      <c r="K5" s="27" t="inlineStr">
        <is>
          <t>Active</t>
        </is>
      </c>
    </row>
    <row r="6" ht="68" customHeight="1">
      <c r="A6" s="27" t="inlineStr">
        <is>
          <t>POS software</t>
        </is>
      </c>
      <c r="B6" s="27" t="inlineStr">
        <is>
          <t>NCR Aloha + Oracle Simphony</t>
        </is>
      </c>
      <c r="C6" s="27" t="inlineStr">
        <is>
          <t>Working view is a mixed estate migrating toward Simphony.</t>
        </is>
      </c>
      <c r="D6" s="27" t="inlineStr">
        <is>
          <t>medium</t>
        </is>
      </c>
      <c r="E6" s="27" t="n"/>
      <c r="F6" s="27" t="n"/>
      <c r="G6" s="27" t="n"/>
      <c r="H6" s="27" t="n"/>
      <c r="I6" s="27" t="n"/>
      <c r="J6" s="27" t="n"/>
      <c r="K6" s="27" t="inlineStr">
        <is>
          <t>Verify</t>
        </is>
      </c>
    </row>
    <row r="7" ht="68" customHeight="1">
      <c r="A7" s="27" t="inlineStr">
        <is>
          <t>POS hardware / workstations</t>
        </is>
      </c>
      <c r="B7" s="27" t="inlineStr">
        <is>
          <t>Provider and models not yet confirmed</t>
        </is>
      </c>
      <c r="C7" s="27" t="inlineStr">
        <is>
          <t>Hardware estate, ownership, age, peripherals and refresh cycle are unknown.</t>
        </is>
      </c>
      <c r="D7" s="27" t="inlineStr">
        <is>
          <t>low</t>
        </is>
      </c>
      <c r="E7" s="27" t="n"/>
      <c r="F7" s="27" t="n"/>
      <c r="G7" s="27" t="n"/>
      <c r="H7" s="27" t="n"/>
      <c r="I7" s="27" t="n"/>
      <c r="J7" s="27" t="n"/>
      <c r="K7" s="27" t="inlineStr">
        <is>
          <t>Open</t>
        </is>
      </c>
    </row>
    <row r="8" ht="68" customHeight="1">
      <c r="A8" s="27" t="inlineStr">
        <is>
          <t>Online ordering</t>
        </is>
      </c>
      <c r="B8" s="27" t="inlineStr">
        <is>
          <t>Olo</t>
        </is>
      </c>
      <c r="C8" s="27" t="inlineStr">
        <is>
          <t>Olo is the current direct-ordering platform.</t>
        </is>
      </c>
      <c r="D8" s="27" t="inlineStr">
        <is>
          <t>high</t>
        </is>
      </c>
      <c r="E8" s="27" t="n"/>
      <c r="F8" s="27" t="n"/>
      <c r="G8" s="27" t="n"/>
      <c r="H8" s="27" t="n"/>
      <c r="I8" s="27" t="n"/>
      <c r="J8" s="27" t="n"/>
      <c r="K8" s="27" t="inlineStr">
        <is>
          <t>Confirmed</t>
        </is>
      </c>
    </row>
    <row r="9" ht="68" customHeight="1">
      <c r="A9" s="27" t="inlineStr">
        <is>
          <t>Above-store digital gateway / payments</t>
        </is>
      </c>
      <c r="B9" s="27" t="inlineStr">
        <is>
          <t>Olo Pay using Stripe</t>
        </is>
      </c>
      <c r="C9" s="27" t="inlineStr">
        <is>
          <t>Working view; consolidation must preserve strong fraud and chargeback protection.</t>
        </is>
      </c>
      <c r="D9" s="27" t="inlineStr">
        <is>
          <t>medium</t>
        </is>
      </c>
      <c r="E9" s="27" t="n"/>
      <c r="F9" s="27" t="n"/>
      <c r="G9" s="27" t="n"/>
      <c r="H9" s="27" t="n"/>
      <c r="I9" s="27" t="n"/>
      <c r="J9" s="27" t="n"/>
      <c r="K9" s="27" t="inlineStr">
        <is>
          <t>Verify</t>
        </is>
      </c>
    </row>
    <row r="10" ht="68" customHeight="1">
      <c r="A10" s="27" t="inlineStr">
        <is>
          <t>In-store acquiring</t>
        </is>
      </c>
      <c r="B10" s="27" t="inlineStr">
        <is>
          <t>Fiserv working view; Bank of America appears in sampled statements</t>
        </is>
      </c>
      <c r="C10" s="27" t="inlineStr">
        <is>
          <t>Current architecture may differ by entity, store, channel or provider role.</t>
        </is>
      </c>
      <c r="D10" s="27" t="inlineStr">
        <is>
          <t>medium</t>
        </is>
      </c>
      <c r="E10" s="27" t="n"/>
      <c r="F10" s="27" t="n"/>
      <c r="G10" s="27" t="n"/>
      <c r="H10" s="27" t="n"/>
      <c r="I10" s="27" t="n"/>
      <c r="J10" s="27" t="n"/>
      <c r="K10" s="27" t="inlineStr">
        <is>
          <t>Reconcile</t>
        </is>
      </c>
    </row>
    <row r="11" ht="68" customHeight="1">
      <c r="A11" s="27" t="inlineStr">
        <is>
          <t>Payment terminal</t>
        </is>
      </c>
      <c r="B11" s="27" t="inlineStr">
        <is>
          <t>Verifone P400 on Simphony side</t>
        </is>
      </c>
      <c r="C11" s="27" t="inlineStr">
        <is>
          <t>Terminal environment requires validation.</t>
        </is>
      </c>
      <c r="D11" s="27" t="inlineStr">
        <is>
          <t>medium</t>
        </is>
      </c>
      <c r="E11" s="27" t="n"/>
      <c r="F11" s="27" t="n"/>
      <c r="G11" s="27" t="n"/>
      <c r="H11" s="27" t="n"/>
      <c r="I11" s="27" t="n"/>
      <c r="J11" s="27" t="n"/>
      <c r="K11" s="27" t="inlineStr">
        <is>
          <t>Verify</t>
        </is>
      </c>
    </row>
    <row r="12" ht="68" customHeight="1">
      <c r="A12" s="27" t="inlineStr">
        <is>
          <t>Back office</t>
        </is>
      </c>
      <c r="B12" s="27" t="inlineStr">
        <is>
          <t>Provider and modules not yet confirmed</t>
        </is>
      </c>
      <c r="C12" s="27" t="inlineStr">
        <is>
          <t>Cash, inventory, labor, reporting and above-store integrations remain unmapped.</t>
        </is>
      </c>
      <c r="D12" s="27" t="inlineStr">
        <is>
          <t>low</t>
        </is>
      </c>
      <c r="E12" s="27" t="n"/>
      <c r="F12" s="27" t="n"/>
      <c r="G12" s="27" t="n"/>
      <c r="H12" s="27" t="n"/>
      <c r="I12" s="27" t="n"/>
      <c r="J12" s="27" t="n"/>
      <c r="K12" s="27" t="inlineStr">
        <is>
          <t>Open</t>
        </is>
      </c>
    </row>
    <row r="13" ht="68" customHeight="1">
      <c r="A13" s="27" t="inlineStr">
        <is>
          <t>AI / analytics</t>
        </is>
      </c>
      <c r="B13" s="27" t="inlineStr">
        <is>
          <t>Provider and active use cases not yet confirmed</t>
        </is>
      </c>
      <c r="C13" s="27" t="inlineStr">
        <is>
          <t>No verified enterprise AI provider or production restaurant use case is mapped.</t>
        </is>
      </c>
      <c r="D13" s="27" t="inlineStr">
        <is>
          <t>low</t>
        </is>
      </c>
      <c r="E13" s="27" t="n"/>
      <c r="F13" s="27" t="n"/>
      <c r="G13" s="27" t="n"/>
      <c r="H13" s="27" t="n"/>
      <c r="I13" s="27" t="n"/>
      <c r="J13" s="27" t="n"/>
      <c r="K13" s="27" t="inlineStr">
        <is>
          <t>Open</t>
        </is>
      </c>
    </row>
    <row r="14" ht="68" customHeight="1">
      <c r="A14" s="27" t="inlineStr">
        <is>
          <t>Gift cards</t>
        </is>
      </c>
      <c r="B14" s="27" t="inlineStr">
        <is>
          <t>Valutec</t>
        </is>
      </c>
      <c r="C14" s="27" t="inlineStr">
        <is>
          <t>Working incumbent view; current issue and ownership need clarification.</t>
        </is>
      </c>
      <c r="D14" s="27" t="inlineStr">
        <is>
          <t>medium</t>
        </is>
      </c>
      <c r="E14" s="27" t="n"/>
      <c r="F14" s="27" t="n"/>
      <c r="G14" s="27" t="n"/>
      <c r="H14" s="27" t="n"/>
      <c r="I14" s="27" t="n"/>
      <c r="J14" s="27" t="n"/>
      <c r="K14" s="27" t="inlineStr">
        <is>
          <t>Verify</t>
        </is>
      </c>
    </row>
    <row r="15" ht="68" customHeight="1">
      <c r="A15" s="27" t="inlineStr">
        <is>
          <t>Loyalty / app</t>
        </is>
      </c>
      <c r="B15" s="27" t="inlineStr">
        <is>
          <t>Campero Rewards; platform provider not confirmed</t>
        </is>
      </c>
      <c r="C15" s="27" t="inlineStr">
        <is>
          <t>Tiered program spans in-store, online and app.</t>
        </is>
      </c>
      <c r="D15" s="27" t="inlineStr">
        <is>
          <t>medium</t>
        </is>
      </c>
      <c r="E15" s="27" t="n"/>
      <c r="F15" s="27" t="n"/>
      <c r="G15" s="27" t="n"/>
      <c r="H15" s="27" t="n"/>
      <c r="I15" s="27" t="n"/>
      <c r="J15" s="27" t="n"/>
      <c r="K15" s="27" t="inlineStr">
        <is>
          <t>Verify</t>
        </is>
      </c>
    </row>
    <row r="16" ht="68" customHeight="1">
      <c r="A16" s="27" t="inlineStr">
        <is>
          <t>Content operations</t>
        </is>
      </c>
      <c r="B16" s="27" t="inlineStr">
        <is>
          <t>Highly manual current process</t>
        </is>
      </c>
      <c r="C16" s="27" t="inlineStr">
        <is>
          <t>Corporate and field workflows create material IT/Marketing burden.</t>
        </is>
      </c>
      <c r="D16" s="27" t="inlineStr">
        <is>
          <t>high</t>
        </is>
      </c>
      <c r="E16" s="27" t="n"/>
      <c r="F16" s="27" t="n"/>
      <c r="G16" s="27" t="n"/>
      <c r="H16" s="27" t="n"/>
      <c r="I16" s="27" t="n"/>
      <c r="J16" s="27" t="n"/>
      <c r="K16" s="27" t="inlineStr">
        <is>
          <t>Active</t>
        </is>
      </c>
    </row>
    <row r="17" ht="68" customHeight="1">
      <c r="A17" s="27" t="inlineStr">
        <is>
          <t>Displays / field service</t>
        </is>
      </c>
      <c r="B17" s="27" t="inlineStr">
        <is>
          <t>Samsung/LG indoor; LG outdoor; mixed configurations</t>
        </is>
      </c>
      <c r="C17" s="27" t="inlineStr">
        <is>
          <t>Five indoor average; drive-thru configurations vary; full lifecycle support requested.</t>
        </is>
      </c>
      <c r="D17" s="27" t="inlineStr">
        <is>
          <t>high</t>
        </is>
      </c>
      <c r="E17" s="27" t="n"/>
      <c r="F17" s="27" t="n"/>
      <c r="G17" s="27" t="n"/>
      <c r="H17" s="27" t="n"/>
      <c r="I17" s="27" t="n"/>
      <c r="J17" s="27" t="n"/>
      <c r="K17" s="27" t="inlineStr">
        <is>
          <t>Active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selection activeCell="A1" sqref="A1"/>
    </sheetView>
  </sheetViews>
  <sheetFormatPr baseColWidth="10" defaultColWidth="8.83203125" defaultRowHeight="14"/>
  <cols>
    <col width="15" customWidth="1" min="1" max="1"/>
    <col width="30" customWidth="1" min="2" max="2"/>
    <col width="42" customWidth="1" min="3" max="3"/>
    <col width="28" customWidth="1" min="4" max="4"/>
    <col width="30" customWidth="1" min="5" max="5"/>
    <col width="27" customWidth="1" min="6" max="6"/>
    <col width="12" customWidth="1" min="7" max="7"/>
    <col width="40" customWidth="1" min="8" max="8"/>
    <col width="24" customWidth="1" min="9" max="9"/>
    <col width="22" customWidth="1" min="10" max="10"/>
    <col width="15" customWidth="1" min="11" max="11"/>
    <col width="30" customWidth="1" min="12" max="12"/>
  </cols>
  <sheetData>
    <row r="1" ht="28" customHeight="1">
      <c r="A1" s="11" t="inlineStr">
        <is>
          <t>POLLO CAMPERO — ACTION &amp; DECISION REGISTER</t>
        </is>
      </c>
    </row>
    <row r="2" ht="22" customHeight="1">
      <c r="A2" s="12" t="inlineStr">
        <is>
          <t>Every material unknown has an owner and next step.</t>
        </is>
      </c>
    </row>
    <row r="4" ht="16" customHeight="1">
      <c r="A4" s="28" t="inlineStr">
        <is>
          <t>Type</t>
        </is>
      </c>
      <c r="B4" s="28" t="inlineStr">
        <is>
          <t>Issue / opportunity</t>
        </is>
      </c>
      <c r="C4" s="28" t="inlineStr">
        <is>
          <t>Why it matters</t>
        </is>
      </c>
      <c r="D4" s="28" t="inlineStr">
        <is>
          <t>Customer outcome</t>
        </is>
      </c>
      <c r="E4" s="28" t="inlineStr">
        <is>
          <t>Worldpay / Genius value</t>
        </is>
      </c>
      <c r="F4" s="28" t="inlineStr">
        <is>
          <t>Stakeholders</t>
        </is>
      </c>
      <c r="G4" s="28" t="inlineStr">
        <is>
          <t>Priority</t>
        </is>
      </c>
      <c r="H4" s="28" t="inlineStr">
        <is>
          <t>Action / commitment</t>
        </is>
      </c>
      <c r="I4" s="28" t="inlineStr">
        <is>
          <t>Owner</t>
        </is>
      </c>
      <c r="J4" s="28" t="inlineStr">
        <is>
          <t>Trigger / target</t>
        </is>
      </c>
      <c r="K4" s="28" t="inlineStr">
        <is>
          <t>Status</t>
        </is>
      </c>
      <c r="L4" s="28" t="inlineStr">
        <is>
          <t>Blocker / update</t>
        </is>
      </c>
    </row>
    <row r="5" ht="68" customHeight="1">
      <c r="A5" s="27" t="inlineStr">
        <is>
          <t>Commitment</t>
        </is>
      </c>
      <c r="B5" s="27" t="inlineStr">
        <is>
          <t>Customer statements</t>
        </is>
      </c>
      <c r="C5" s="27" t="inlineStr">
        <is>
          <t>[Why it matters]</t>
        </is>
      </c>
      <c r="D5" s="27" t="inlineStr">
        <is>
          <t>[Customer outcome]</t>
        </is>
      </c>
      <c r="E5" s="27" t="inlineStr">
        <is>
          <t>[Worldpay / Genius value]</t>
        </is>
      </c>
      <c r="F5" s="27" t="inlineStr">
        <is>
          <t>[Stakeholders]</t>
        </is>
      </c>
      <c r="G5" s="27" t="inlineStr">
        <is>
          <t>[Priority]</t>
        </is>
      </c>
      <c r="H5" s="27" t="inlineStr">
        <is>
          <t>Receive, inventory and normalize statements; identify missing entities/channels.</t>
        </is>
      </c>
      <c r="I5" s="27" t="inlineStr">
        <is>
          <t>Randy -&gt; Todd / Amy</t>
        </is>
      </c>
      <c r="J5" s="27" t="inlineStr">
        <is>
          <t>Customer committed; date TBD</t>
        </is>
      </c>
      <c r="K5" s="27" t="inlineStr">
        <is>
          <t>Waiting</t>
        </is>
      </c>
      <c r="L5" s="27" t="inlineStr">
        <is>
          <t>Statements not yet received.</t>
        </is>
      </c>
    </row>
    <row r="6" ht="68" customHeight="1">
      <c r="A6" s="27" t="inlineStr">
        <is>
          <t>Commitment</t>
        </is>
      </c>
      <c r="B6" s="27" t="inlineStr">
        <is>
          <t>Payments discovery questions</t>
        </is>
      </c>
      <c r="C6" s="27" t="n"/>
      <c r="D6" s="27" t="n"/>
      <c r="E6" s="27" t="n"/>
      <c r="F6" s="27" t="n"/>
      <c r="G6" s="27" t="n"/>
      <c r="H6" s="27" t="inlineStr">
        <is>
          <t>Send concise questions covering architecture, volume, fraud, disputes, tokens, contracts and requirements.</t>
        </is>
      </c>
      <c r="I6" s="27" t="inlineStr">
        <is>
          <t>Amy McKay</t>
        </is>
      </c>
      <c r="J6" s="27" t="inlineStr">
        <is>
          <t>Before payments deep dive</t>
        </is>
      </c>
      <c r="K6" s="27" t="inlineStr">
        <is>
          <t>Open</t>
        </is>
      </c>
      <c r="L6" s="27" t="inlineStr">
        <is>
          <t>Completion not yet confirmed.</t>
        </is>
      </c>
    </row>
    <row r="7" ht="68" customHeight="1">
      <c r="A7" s="27" t="inlineStr">
        <is>
          <t>Commitment</t>
        </is>
      </c>
      <c r="B7" s="27" t="inlineStr">
        <is>
          <t>Schedule two customer sessions</t>
        </is>
      </c>
      <c r="C7" s="27" t="n"/>
      <c r="D7" s="27" t="n"/>
      <c r="E7" s="27" t="n"/>
      <c r="F7" s="27" t="n"/>
      <c r="G7" s="27" t="n"/>
      <c r="H7" s="27" t="inlineStr">
        <is>
          <t>Secure dates, attendees, objectives and desired outcomes; use Jorge to validate the buying process and decision criteria for both workstreams.</t>
        </is>
      </c>
      <c r="I7" s="27" t="inlineStr">
        <is>
          <t>Jorge / Todd / Amy</t>
        </is>
      </c>
      <c r="J7" s="27" t="inlineStr">
        <is>
          <t>Next customer response</t>
        </is>
      </c>
      <c r="K7" s="27" t="inlineStr">
        <is>
          <t>Waiting</t>
        </is>
      </c>
      <c r="L7" s="27" t="inlineStr">
        <is>
          <t>No dates shown; Jorge's formal title and decision authority remain unverified.</t>
        </is>
      </c>
    </row>
    <row r="8" ht="68" customHeight="1">
      <c r="A8" s="27" t="inlineStr">
        <is>
          <t>Opportunity</t>
        </is>
      </c>
      <c r="B8" s="27" t="inlineStr">
        <is>
          <t>Jorge-Tracy executive relationship path</t>
        </is>
      </c>
      <c r="C8" s="27" t="n"/>
      <c r="D8" s="27" t="n"/>
      <c r="E8" s="27" t="n"/>
      <c r="F8" s="27" t="n"/>
      <c r="G8" s="27" t="n"/>
      <c r="H8" s="27" t="inlineStr">
        <is>
          <t>Have Ryan or Tracy confirm the substance and tone of Jorge's outreach; determine whether it provides access, guidance or advocacy and update Jorge's role/rating only on evidence.</t>
        </is>
      </c>
      <c r="I8" s="27" t="inlineStr">
        <is>
          <t>Todd / Ryan</t>
        </is>
      </c>
      <c r="J8" s="27" t="inlineStr">
        <is>
          <t>Before next customer session</t>
        </is>
      </c>
      <c r="K8" s="27" t="inlineStr">
        <is>
          <t>Open</t>
        </is>
      </c>
      <c r="L8" s="27" t="inlineStr">
        <is>
          <t>Message content, purpose and resulting action are not yet known; signal does not by itself establish Coach status.</t>
        </is>
      </c>
    </row>
    <row r="9" ht="68" customHeight="1">
      <c r="A9" s="27" t="inlineStr">
        <is>
          <t>Dependency</t>
        </is>
      </c>
      <c r="B9" s="27" t="inlineStr">
        <is>
          <t>Payments NDA coverage</t>
        </is>
      </c>
      <c r="C9" s="27" t="n"/>
      <c r="D9" s="27" t="n"/>
      <c r="E9" s="27" t="n"/>
      <c r="F9" s="27" t="n"/>
      <c r="G9" s="27" t="n"/>
      <c r="H9" s="27" t="inlineStr">
        <is>
          <t>Obtain written confirmation that existing NDA covers payments or route a separate NDA.</t>
        </is>
      </c>
      <c r="I9" s="27" t="inlineStr">
        <is>
          <t>Todd / Amy / legal</t>
        </is>
      </c>
      <c r="J9" s="27" t="inlineStr">
        <is>
          <t>Before detailed data exchange</t>
        </is>
      </c>
      <c r="K9" s="27" t="inlineStr">
        <is>
          <t>Open</t>
        </is>
      </c>
      <c r="L9" s="27" t="inlineStr">
        <is>
          <t>Randy's reply indicates approach works, but legal scope is not explicit.</t>
        </is>
      </c>
    </row>
    <row r="10" ht="68" customHeight="1">
      <c r="A10" s="27" t="inlineStr">
        <is>
          <t>Commitment</t>
        </is>
      </c>
      <c r="B10" s="27" t="inlineStr">
        <is>
          <t>Valutec escalation</t>
        </is>
      </c>
      <c r="C10" s="27" t="n"/>
      <c r="D10" s="27" t="n"/>
      <c r="E10" s="27" t="n"/>
      <c r="F10" s="27" t="n"/>
      <c r="G10" s="27" t="n"/>
      <c r="H10" s="27" t="inlineStr">
        <is>
          <t>Receive/forward original email and identify issue owner, history and requested outcome.</t>
        </is>
      </c>
      <c r="I10" s="27" t="inlineStr">
        <is>
          <t>Amy / customer owner</t>
        </is>
      </c>
      <c r="J10" s="27" t="inlineStr">
        <is>
          <t>Before solution sessions</t>
        </is>
      </c>
      <c r="K10" s="27" t="inlineStr">
        <is>
          <t>Waiting</t>
        </is>
      </c>
      <c r="L10" s="27" t="inlineStr">
        <is>
          <t>Original Valutec email not shown.</t>
        </is>
      </c>
    </row>
    <row r="11" ht="68" customHeight="1">
      <c r="A11" s="27" t="inlineStr">
        <is>
          <t>Dependency</t>
        </is>
      </c>
      <c r="B11" s="27" t="inlineStr">
        <is>
          <t>Full RFP / decision process</t>
        </is>
      </c>
      <c r="C11" s="27" t="n"/>
      <c r="D11" s="27" t="n"/>
      <c r="E11" s="27" t="n"/>
      <c r="F11" s="27" t="n"/>
      <c r="G11" s="27" t="n"/>
      <c r="H11" s="27" t="inlineStr">
        <is>
          <t>Build compliance matrix and confirm clarification, presentation, decision and rollout dates.</t>
        </is>
      </c>
      <c r="I11" s="27" t="inlineStr">
        <is>
          <t>Todd / response lead</t>
        </is>
      </c>
      <c r="J11" s="27" t="inlineStr">
        <is>
          <t>On receipt / next contact</t>
        </is>
      </c>
      <c r="K11" s="27" t="inlineStr">
        <is>
          <t>Waiting</t>
        </is>
      </c>
      <c r="L11" s="27" t="inlineStr">
        <is>
          <t>No verified complete process.</t>
        </is>
      </c>
    </row>
    <row r="12" ht="68" customHeight="1">
      <c r="A12" s="27" t="inlineStr">
        <is>
          <t>Risk</t>
        </is>
      </c>
      <c r="B12" s="27" t="inlineStr">
        <is>
          <t>No verified EBI or coach</t>
        </is>
      </c>
      <c r="C12" s="27" t="n"/>
      <c r="D12" s="27" t="n"/>
      <c r="E12" s="27" t="n"/>
      <c r="F12" s="27" t="n"/>
      <c r="G12" s="27" t="n"/>
      <c r="H12" s="27" t="inlineStr">
        <is>
          <t>Run buying-influence validation; test Scott for coach behavior.</t>
        </is>
      </c>
      <c r="I12" s="27" t="inlineStr">
        <is>
          <t>Todd / RM</t>
        </is>
      </c>
      <c r="J12" s="27" t="inlineStr">
        <is>
          <t>First customer interaction</t>
        </is>
      </c>
      <c r="K12" s="27" t="inlineStr">
        <is>
          <t>Open</t>
        </is>
      </c>
      <c r="L12" s="27" t="inlineStr">
        <is>
          <t>Customer access incomplete.</t>
        </is>
      </c>
    </row>
    <row r="13" ht="68" customHeight="1">
      <c r="A13" s="27" t="inlineStr">
        <is>
          <t>Decision</t>
        </is>
      </c>
      <c r="B13" s="27" t="inlineStr">
        <is>
          <t>Keep DMB objective separate from platform/payments expansion</t>
        </is>
      </c>
      <c r="C13" s="27" t="n"/>
      <c r="D13" s="27" t="n"/>
      <c r="E13" s="27" t="n"/>
      <c r="F13" s="27" t="n"/>
      <c r="G13" s="27" t="n"/>
      <c r="H13" s="27" t="inlineStr">
        <is>
          <t>Approve modular positioning and bid/no-bid gates.</t>
        </is>
      </c>
      <c r="I13" s="27" t="inlineStr">
        <is>
          <t>Todd / Ryan</t>
        </is>
      </c>
      <c r="J13" s="27" t="inlineStr">
        <is>
          <t>Before proposal review</t>
        </is>
      </c>
      <c r="K13" s="27" t="inlineStr">
        <is>
          <t>Open</t>
        </is>
      </c>
      <c r="L13" s="27" t="inlineStr">
        <is>
          <t>Scope and decision openness unknown.</t>
        </is>
      </c>
    </row>
    <row r="14" ht="68" customHeight="1">
      <c r="A14" s="27" t="inlineStr">
        <is>
          <t>Risk</t>
        </is>
      </c>
      <c r="B14" s="27" t="inlineStr">
        <is>
          <t>Resolve acquiring conflict</t>
        </is>
      </c>
      <c r="C14" s="27" t="n"/>
      <c r="D14" s="27" t="n"/>
      <c r="E14" s="27" t="n"/>
      <c r="F14" s="27" t="n"/>
      <c r="G14" s="27" t="n"/>
      <c r="H14" s="27" t="inlineStr">
        <is>
          <t>Map acquirer, processor, gateway, entity and store/channel footprint.</t>
        </is>
      </c>
      <c r="I14" s="27" t="inlineStr">
        <is>
          <t>Payments lead</t>
        </is>
      </c>
      <c r="J14" s="27" t="inlineStr">
        <is>
          <t>Before payments offer</t>
        </is>
      </c>
      <c r="K14" s="27" t="inlineStr">
        <is>
          <t>Open</t>
        </is>
      </c>
      <c r="L14" s="27" t="inlineStr">
        <is>
          <t>Estate architecture not reconciled.</t>
        </is>
      </c>
    </row>
    <row r="15" ht="68" customHeight="1">
      <c r="A15" s="27" t="inlineStr">
        <is>
          <t>Opportunity</t>
        </is>
      </c>
      <c r="B15" s="27" t="inlineStr">
        <is>
          <t>Payments participation pricing</t>
        </is>
      </c>
      <c r="C15" s="27" t="n"/>
      <c r="D15" s="27" t="n"/>
      <c r="E15" s="27" t="n"/>
      <c r="F15" s="27" t="n"/>
      <c r="G15" s="27" t="n"/>
      <c r="H15" s="27" t="inlineStr">
        <is>
          <t>Model standalone and participation cases with eligibility, term and clawback.</t>
        </is>
      </c>
      <c r="I15" s="27" t="inlineStr">
        <is>
          <t>Todd / finance</t>
        </is>
      </c>
      <c r="J15" s="27" t="inlineStr">
        <is>
          <t>Commercial review</t>
        </is>
      </c>
      <c r="K15" s="27" t="inlineStr">
        <is>
          <t>In Analysis</t>
        </is>
      </c>
      <c r="L15" s="27" t="inlineStr">
        <is>
          <t>Full volume/contracts unknown.</t>
        </is>
      </c>
    </row>
    <row r="16" ht="68" customHeight="1">
      <c r="A16" s="27" t="inlineStr">
        <is>
          <t>Risk</t>
        </is>
      </c>
      <c r="B16" s="27" t="inlineStr">
        <is>
          <t>Olo Pay/Stripe value and switching friction</t>
        </is>
      </c>
      <c r="C16" s="27" t="n"/>
      <c r="D16" s="27" t="n"/>
      <c r="E16" s="27" t="n"/>
      <c r="F16" s="27" t="n"/>
      <c r="G16" s="27" t="n"/>
      <c r="H16" s="27" t="inlineStr">
        <is>
          <t>Benchmark auth, fraud, dispute, token, reporting and commercial metrics.</t>
        </is>
      </c>
      <c r="I16" s="27" t="inlineStr">
        <is>
          <t>Payments lead</t>
        </is>
      </c>
      <c r="J16" s="27" t="inlineStr">
        <is>
          <t>Digital discovery</t>
        </is>
      </c>
      <c r="K16" s="27" t="inlineStr">
        <is>
          <t>Open</t>
        </is>
      </c>
      <c r="L16" s="27" t="inlineStr">
        <is>
          <t>Performance and contract unavailable.</t>
        </is>
      </c>
    </row>
    <row r="17" ht="68" customHeight="1">
      <c r="A17" s="27" t="inlineStr">
        <is>
          <t>Opportunity</t>
        </is>
      </c>
      <c r="B17" s="27" t="inlineStr">
        <is>
          <t>White-glove managed content</t>
        </is>
      </c>
      <c r="C17" s="27" t="n"/>
      <c r="D17" s="27" t="n"/>
      <c r="E17" s="27" t="n"/>
      <c r="F17" s="27" t="n"/>
      <c r="G17" s="27" t="n"/>
      <c r="H17" s="27" t="inlineStr">
        <is>
          <t>Offer location package, included changes, SLA and overage-not unlimited per-screen labor.</t>
        </is>
      </c>
      <c r="I17" s="27" t="inlineStr">
        <is>
          <t>Services lead</t>
        </is>
      </c>
      <c r="J17" s="27" t="inlineStr">
        <is>
          <t>Proposal design</t>
        </is>
      </c>
      <c r="K17" s="27" t="inlineStr">
        <is>
          <t>Draft</t>
        </is>
      </c>
      <c r="L17" s="27" t="inlineStr">
        <is>
          <t>Workload and governance unknown.</t>
        </is>
      </c>
    </row>
    <row r="18" ht="68" customHeight="1">
      <c r="A18" s="27" t="inlineStr">
        <is>
          <t>Risk</t>
        </is>
      </c>
      <c r="B18" s="27" t="inlineStr">
        <is>
          <t>Configuration and field-service economics</t>
        </is>
      </c>
      <c r="C18" s="27" t="n"/>
      <c r="D18" s="27" t="n"/>
      <c r="E18" s="27" t="n"/>
      <c r="F18" s="27" t="n"/>
      <c r="G18" s="27" t="n"/>
      <c r="H18" s="27" t="inlineStr">
        <is>
          <t>Price store archetypes and reconcile after inventory/site surveys.</t>
        </is>
      </c>
      <c r="I18" s="27" t="inlineStr">
        <is>
          <t>Deployment / finance</t>
        </is>
      </c>
      <c r="J18" s="27" t="inlineStr">
        <is>
          <t>Before final price</t>
        </is>
      </c>
      <c r="K18" s="27" t="inlineStr">
        <is>
          <t>Open</t>
        </is>
      </c>
      <c r="L18" s="27" t="inlineStr">
        <is>
          <t>Nine-screen case is illustrative only.</t>
        </is>
      </c>
    </row>
    <row r="19" ht="68" customHeight="1">
      <c r="A19" s="27" t="inlineStr">
        <is>
          <t>Dependency</t>
        </is>
      </c>
      <c r="B19" s="27" t="inlineStr">
        <is>
          <t>Validate NCR DMB/OCU integration</t>
        </is>
      </c>
      <c r="C19" s="27" t="n"/>
      <c r="D19" s="27" t="n"/>
      <c r="E19" s="27" t="n"/>
      <c r="F19" s="27" t="n"/>
      <c r="G19" s="27" t="n"/>
      <c r="H19" s="27" t="inlineStr">
        <is>
          <t>Document supported NCR/Aloha versions, data flows, dependencies, certification, support and limitations.</t>
        </is>
      </c>
      <c r="I19" s="27" t="inlineStr">
        <is>
          <t>Product + Integration</t>
        </is>
      </c>
      <c r="J19" s="27" t="inlineStr">
        <is>
          <t>Before response finalization</t>
        </is>
      </c>
      <c r="K19" s="27" t="inlineStr">
        <is>
          <t>Open</t>
        </is>
      </c>
      <c r="L19" s="27" t="inlineStr">
        <is>
          <t>Internal validation or customer clarification pending.</t>
        </is>
      </c>
    </row>
    <row r="20" ht="68" customHeight="1">
      <c r="A20" s="27" t="inlineStr">
        <is>
          <t>Dependency</t>
        </is>
      </c>
      <c r="B20" s="27" t="inlineStr">
        <is>
          <t>Validate Oracle DMB integration</t>
        </is>
      </c>
      <c r="C20" s="27" t="n"/>
      <c r="D20" s="27" t="n"/>
      <c r="E20" s="27" t="n"/>
      <c r="F20" s="27" t="n"/>
      <c r="G20" s="27" t="n"/>
      <c r="H20" s="27" t="inlineStr">
        <is>
          <t>Identify Oracle product/version, APIs, agreements, certification, effort, fees and support model.</t>
        </is>
      </c>
      <c r="I20" s="27" t="inlineStr">
        <is>
          <t>Product + Integration</t>
        </is>
      </c>
      <c r="J20" s="27" t="inlineStr">
        <is>
          <t>Before response finalization</t>
        </is>
      </c>
      <c r="K20" s="27" t="inlineStr">
        <is>
          <t>Open</t>
        </is>
      </c>
      <c r="L20" s="27" t="inlineStr">
        <is>
          <t>Internal validation or customer clarification pending.</t>
        </is>
      </c>
    </row>
    <row r="21" ht="68" customHeight="1">
      <c r="A21" s="27" t="inlineStr">
        <is>
          <t>Risk</t>
        </is>
      </c>
      <c r="B21" s="27" t="inlineStr">
        <is>
          <t>Validate transaction-aware dynamic upselling</t>
        </is>
      </c>
      <c r="C21" s="27" t="n"/>
      <c r="D21" s="27" t="n"/>
      <c r="E21" s="27" t="n"/>
      <c r="F21" s="27" t="n"/>
      <c r="G21" s="27" t="n"/>
      <c r="H21" s="27" t="inlineStr">
        <is>
          <t>Separate rules-based suggestive selling from live third-party POS transaction-event behavior; define pilot if needed.</t>
        </is>
      </c>
      <c r="I21" s="27" t="inlineStr">
        <is>
          <t>Product</t>
        </is>
      </c>
      <c r="J21" s="27" t="inlineStr">
        <is>
          <t>Before response finalization</t>
        </is>
      </c>
      <c r="K21" s="27" t="inlineStr">
        <is>
          <t>Open</t>
        </is>
      </c>
      <c r="L21" s="27" t="inlineStr">
        <is>
          <t>Internal validation or customer clarification pending.</t>
        </is>
      </c>
    </row>
    <row r="22" ht="68" customHeight="1">
      <c r="A22" s="27" t="inlineStr">
        <is>
          <t>Dependency</t>
        </is>
      </c>
      <c r="B22" s="27" t="inlineStr">
        <is>
          <t>Define removed-asset lifecycle service</t>
        </is>
      </c>
      <c r="C22" s="27" t="n"/>
      <c r="D22" s="27" t="n"/>
      <c r="E22" s="27" t="n"/>
      <c r="F22" s="27" t="n"/>
      <c r="G22" s="27" t="n"/>
      <c r="H22" s="27" t="inlineStr">
        <is>
          <t>Define de-installation, tagging, grading, custody, insurance, storage, reporting, testing, freight and redeployment.</t>
        </is>
      </c>
      <c r="I22" s="27" t="inlineStr">
        <is>
          <t>Operations + Field Services</t>
        </is>
      </c>
      <c r="J22" s="27" t="inlineStr">
        <is>
          <t>Before pricing certification</t>
        </is>
      </c>
      <c r="K22" s="27" t="inlineStr">
        <is>
          <t>Open</t>
        </is>
      </c>
      <c r="L22" s="27" t="inlineStr">
        <is>
          <t>Internal validation or customer clarification pending.</t>
        </is>
      </c>
    </row>
    <row r="23" ht="68" customHeight="1">
      <c r="A23" s="27" t="inlineStr">
        <is>
          <t>Commitment</t>
        </is>
      </c>
      <c r="B23" s="27" t="inlineStr">
        <is>
          <t>Complete and validate SOW pricing</t>
        </is>
      </c>
      <c r="C23" s="27" t="n"/>
      <c r="D23" s="27" t="n"/>
      <c r="E23" s="27" t="n"/>
      <c r="F23" s="27" t="n"/>
      <c r="G23" s="27" t="n"/>
      <c r="H23" s="27" t="inlineStr">
        <is>
          <t>Correct placeholder fee bases and populate every required/optional row with assumptions, exclusions and approved pricing.</t>
        </is>
      </c>
      <c r="I23" s="27" t="inlineStr">
        <is>
          <t>Finance + Sales Operations</t>
        </is>
      </c>
      <c r="J23" s="27" t="inlineStr">
        <is>
          <t>2026-09-04</t>
        </is>
      </c>
      <c r="K23" s="27" t="inlineStr">
        <is>
          <t>Open</t>
        </is>
      </c>
      <c r="L23" s="27" t="inlineStr">
        <is>
          <t>Internal validation or customer clarification pending.</t>
        </is>
      </c>
    </row>
    <row r="24" ht="68" customHeight="1">
      <c r="A24" s="27" t="inlineStr">
        <is>
          <t>Commitment</t>
        </is>
      </c>
      <c r="B24" s="27" t="inlineStr">
        <is>
          <t>Submit consolidated clarification questions</t>
        </is>
      </c>
      <c r="C24" s="27" t="n"/>
      <c r="D24" s="27" t="n"/>
      <c r="E24" s="27" t="n"/>
      <c r="F24" s="27" t="n"/>
      <c r="G24" s="27" t="n"/>
      <c r="H24" s="27" t="inlineStr">
        <is>
          <t>Send one consolidated question set covering estate, POS, integrations, content, support, asset management and commercial terms.</t>
        </is>
      </c>
      <c r="I24" s="27" t="inlineStr">
        <is>
          <t>Todd / proposal lead</t>
        </is>
      </c>
      <c r="J24" s="27" t="inlineStr">
        <is>
          <t>Immediate</t>
        </is>
      </c>
      <c r="K24" s="27" t="inlineStr">
        <is>
          <t>Open</t>
        </is>
      </c>
      <c r="L24" s="27" t="inlineStr">
        <is>
          <t>Internal validation or customer clarification pending.</t>
        </is>
      </c>
    </row>
    <row r="25" ht="68" customHeight="1">
      <c r="A25" s="27" t="inlineStr">
        <is>
          <t>Dependency</t>
        </is>
      </c>
      <c r="B25" s="27" t="inlineStr">
        <is>
          <t>Validate existing-display compatibility and warranty policy</t>
        </is>
      </c>
      <c r="C25" s="27" t="n"/>
      <c r="D25" s="27" t="n"/>
      <c r="E25" s="27" t="n"/>
      <c r="F25" s="27" t="n"/>
      <c r="G25" s="27" t="n"/>
      <c r="H25" s="27" t="inlineStr">
        <is>
          <t>Define supported Samsung/LG models, inspection thresholds, useful life, media-player architecture and reused-equipment SLA/warranty.</t>
        </is>
      </c>
      <c r="I25" s="27" t="inlineStr">
        <is>
          <t>Hardware + Support</t>
        </is>
      </c>
      <c r="J25" s="27" t="inlineStr">
        <is>
          <t>Before pricing certification</t>
        </is>
      </c>
      <c r="K25" s="27" t="inlineStr">
        <is>
          <t>Open</t>
        </is>
      </c>
      <c r="L25" s="27" t="inlineStr">
        <is>
          <t>Internal validation or customer clarification pending.</t>
        </is>
      </c>
    </row>
    <row r="26" ht="68" customHeight="1">
      <c r="A26" s="27" t="inlineStr">
        <is>
          <t>Dependency</t>
        </is>
      </c>
      <c r="B26" s="27" t="inlineStr">
        <is>
          <t>Define installation inclusions and exclusions</t>
        </is>
      </c>
      <c r="C26" s="27" t="n"/>
      <c r="D26" s="27" t="n"/>
      <c r="E26" s="27" t="n"/>
      <c r="F26" s="27" t="n"/>
      <c r="G26" s="27" t="n"/>
      <c r="H26" s="27" t="inlineStr">
        <is>
          <t>Clarify standard labor, travel, lifts, after-hours work, electrical/network work, permits, structural/civil work and revisit rules.</t>
        </is>
      </c>
      <c r="I26" s="27" t="inlineStr">
        <is>
          <t>Implementation + Legal</t>
        </is>
      </c>
      <c r="J26" s="27" t="inlineStr">
        <is>
          <t>Before pricing certification</t>
        </is>
      </c>
      <c r="K26" s="27" t="inlineStr">
        <is>
          <t>Open</t>
        </is>
      </c>
      <c r="L26" s="27" t="inlineStr">
        <is>
          <t>Internal validation or customer clarification pending.</t>
        </is>
      </c>
    </row>
    <row r="27" ht="68" customHeight="1">
      <c r="A27" s="27" t="inlineStr">
        <is>
          <t>Dependency</t>
        </is>
      </c>
      <c r="B27" s="27" t="inlineStr">
        <is>
          <t>Define managed content service</t>
        </is>
      </c>
      <c r="C27" s="27" t="n"/>
      <c r="D27" s="27" t="n"/>
      <c r="E27" s="27" t="n"/>
      <c r="F27" s="27" t="n"/>
      <c r="G27" s="27" t="n"/>
      <c r="H27" s="27" t="inlineStr">
        <is>
          <t>Define intake, approvals, included request volumes, turnaround SLAs, emergency requests, creative scope and overage fees.</t>
        </is>
      </c>
      <c r="I27" s="27" t="inlineStr">
        <is>
          <t>Content Operations</t>
        </is>
      </c>
      <c r="J27" s="27" t="inlineStr">
        <is>
          <t>Before pricing certification</t>
        </is>
      </c>
      <c r="K27" s="27" t="inlineStr">
        <is>
          <t>Open</t>
        </is>
      </c>
      <c r="L27" s="27" t="inlineStr">
        <is>
          <t>Internal validation or customer clarification pending.</t>
        </is>
      </c>
    </row>
    <row r="28" ht="68" customHeight="1">
      <c r="A28" s="27" t="inlineStr">
        <is>
          <t>Commitment</t>
        </is>
      </c>
      <c r="B28" s="27" t="inlineStr">
        <is>
          <t>Submit revised RFP response</t>
        </is>
      </c>
      <c r="C28" s="27" t="n"/>
      <c r="D28" s="27" t="n"/>
      <c r="E28" s="27" t="n"/>
      <c r="F28" s="27" t="n"/>
      <c r="G28" s="27" t="n"/>
      <c r="H28" s="27" t="inlineStr">
        <is>
          <t>Deliver revised proposal and completed SOW/pricing template through Katherine.</t>
        </is>
      </c>
      <c r="I28" s="27" t="inlineStr">
        <is>
          <t>Todd / proposal lead</t>
        </is>
      </c>
      <c r="J28" s="27" t="inlineStr">
        <is>
          <t>2026-09-04</t>
        </is>
      </c>
      <c r="K28" s="27" t="inlineStr">
        <is>
          <t>Open</t>
        </is>
      </c>
      <c r="L28" s="27" t="inlineStr">
        <is>
          <t>Internal validation or customer clarification pending.</t>
        </is>
      </c>
    </row>
  </sheetData>
  <mergeCells count="2">
    <mergeCell ref="A2:L2"/>
    <mergeCell ref="A1:L1"/>
  </mergeCells>
  <dataValidations count="2">
    <dataValidation sqref="G5:G18" showDropDown="0" showInputMessage="0" showErrorMessage="0" allowBlank="0" type="list">
      <formula1>"Critical,High,Medium,Low"</formula1>
    </dataValidation>
    <dataValidation sqref="K5:K18" showDropDown="0" showInputMessage="0" showErrorMessage="0" allowBlank="0" type="list">
      <formula1>"Open,Waiting,In analysis,Draft,Complete,Blocked,Parked"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46" customWidth="1" min="2" max="2"/>
    <col width="18" customWidth="1" min="3" max="3"/>
    <col width="25" customWidth="1" min="4" max="4"/>
    <col width="14" customWidth="1" min="5" max="5"/>
    <col width="44" customWidth="1" min="6" max="6"/>
    <col width="48" customWidth="1" min="7" max="7"/>
    <col width="18" customWidth="1" min="8" max="8"/>
  </cols>
  <sheetData>
    <row r="1" ht="28" customHeight="1">
      <c r="A1" s="11" t="inlineStr">
        <is>
          <t>POLLO CAMPERO — COMMERCIAL MODEL</t>
        </is>
      </c>
    </row>
    <row r="2" ht="22" customHeight="1">
      <c r="A2" s="12" t="inlineStr">
        <is>
          <t>Working economics, pricing hypotheses and gates before customer commitment.</t>
        </is>
      </c>
    </row>
    <row r="4" ht="16" customHeight="1">
      <c r="A4" s="28" t="inlineStr">
        <is>
          <t>Item</t>
        </is>
      </c>
      <c r="B4" s="28" t="inlineStr">
        <is>
          <t>Current read</t>
        </is>
      </c>
      <c r="C4" s="28" t="inlineStr">
        <is>
          <t>Value</t>
        </is>
      </c>
      <c r="D4" s="28" t="inlineStr">
        <is>
          <t>Unit</t>
        </is>
      </c>
      <c r="E4" s="28" t="inlineStr">
        <is>
          <t>Confidence</t>
        </is>
      </c>
      <c r="F4" s="28" t="inlineStr">
        <is>
          <t>Commercial implication</t>
        </is>
      </c>
      <c r="G4" s="28" t="inlineStr">
        <is>
          <t>Required validation</t>
        </is>
      </c>
      <c r="H4" s="28" t="inlineStr">
        <is>
          <t>Status</t>
        </is>
      </c>
    </row>
    <row r="5" ht="54" customHeight="1">
      <c r="A5" s="27" t="inlineStr">
        <is>
          <t>Observed statement volume</t>
        </is>
      </c>
      <c r="B5" s="27" t="n"/>
      <c r="C5" s="7" t="n">
        <v>1236000</v>
      </c>
      <c r="D5" s="27" t="inlineStr">
        <is>
          <t>USD approx.</t>
        </is>
      </c>
      <c r="E5" s="27" t="inlineStr">
        <is>
          <t>medium</t>
        </is>
      </c>
      <c r="F5" s="27" t="n"/>
      <c r="G5" s="27" t="n"/>
      <c r="H5" s="27" t="inlineStr">
        <is>
          <t>observed</t>
        </is>
      </c>
    </row>
    <row r="6" ht="54" customHeight="1">
      <c r="A6" s="27" t="inlineStr">
        <is>
          <t>Observed all-in rate</t>
        </is>
      </c>
      <c r="B6" s="27" t="n"/>
      <c r="C6" s="8" t="n">
        <v>0.0155</v>
      </c>
      <c r="D6" s="27" t="inlineStr">
        <is>
          <t>rate</t>
        </is>
      </c>
      <c r="E6" s="27" t="inlineStr">
        <is>
          <t>medium</t>
        </is>
      </c>
      <c r="F6" s="27" t="n"/>
      <c r="G6" s="27" t="n"/>
      <c r="H6" s="27" t="inlineStr">
        <is>
          <t>observed</t>
        </is>
      </c>
    </row>
    <row r="7" ht="54" customHeight="1">
      <c r="A7" s="27" t="inlineStr">
        <is>
          <t>Field-reported card volume</t>
        </is>
      </c>
      <c r="B7" s="27" t="n"/>
      <c r="C7" s="7" t="n">
        <v>200000000</v>
      </c>
      <c r="D7" s="27" t="inlineStr">
        <is>
          <t>USD+/year</t>
        </is>
      </c>
      <c r="E7" s="27" t="inlineStr">
        <is>
          <t>low</t>
        </is>
      </c>
      <c r="F7" s="27" t="n"/>
      <c r="G7" s="27" t="n"/>
      <c r="H7" s="27" t="inlineStr">
        <is>
          <t>hypothesis</t>
        </is>
      </c>
    </row>
    <row r="8" ht="54" customHeight="1">
      <c r="A8" s="27" t="inlineStr">
        <is>
          <t>Standalone DMB subscription</t>
        </is>
      </c>
      <c r="B8" s="27" t="inlineStr">
        <is>
          <t>[Standalone price hypothesis]</t>
        </is>
      </c>
      <c r="C8" s="7" t="n">
        <v>25</v>
      </c>
      <c r="D8" s="27" t="inlineStr">
        <is>
          <t>USD/screen/month</t>
        </is>
      </c>
      <c r="E8" s="27" t="inlineStr">
        <is>
          <t>low</t>
        </is>
      </c>
      <c r="F8" s="27" t="n"/>
      <c r="G8" s="27" t="n"/>
      <c r="H8" s="27" t="inlineStr">
        <is>
          <t>hypothesis</t>
        </is>
      </c>
    </row>
    <row r="9" ht="54" customHeight="1">
      <c r="A9" s="27" t="inlineStr">
        <is>
          <t>Payments-participation DMB</t>
        </is>
      </c>
      <c r="B9" s="27" t="inlineStr">
        <is>
          <t>[Participation price hypothesis]</t>
        </is>
      </c>
      <c r="C9" s="7" t="n">
        <v>12.5</v>
      </c>
      <c r="D9" s="27" t="inlineStr">
        <is>
          <t>USD/screen/month</t>
        </is>
      </c>
      <c r="E9" s="27" t="inlineStr">
        <is>
          <t>low</t>
        </is>
      </c>
      <c r="F9" s="27" t="n"/>
      <c r="G9" s="27" t="n"/>
      <c r="H9" s="27" t="inlineStr">
        <is>
          <t>hypothesis</t>
        </is>
      </c>
    </row>
    <row r="10" ht="54" customHeight="1">
      <c r="A10" s="27" t="inlineStr">
        <is>
          <t>White-glove service</t>
        </is>
      </c>
      <c r="B10" s="27" t="n"/>
      <c r="C10" s="7" t="inlineStr">
        <is>
          <t>25 to 50</t>
        </is>
      </c>
      <c r="D10" s="27" t="inlineStr">
        <is>
          <t>USD/screen/month</t>
        </is>
      </c>
      <c r="E10" s="27" t="inlineStr">
        <is>
          <t>low</t>
        </is>
      </c>
      <c r="F10" s="27" t="n"/>
      <c r="G10" s="27" t="n"/>
      <c r="H10" s="27" t="inlineStr">
        <is>
          <t>hypothesis</t>
        </is>
      </c>
    </row>
    <row r="11" ht="54" customHeight="1">
      <c r="A11" s="27" t="inlineStr">
        <is>
          <t>Base screen archetype</t>
        </is>
      </c>
      <c r="B11" s="27" t="inlineStr">
        <is>
          <t>[Base screen/unit archetype]</t>
        </is>
      </c>
      <c r="C11" s="7" t="n">
        <v>9</v>
      </c>
      <c r="D11" s="27" t="inlineStr">
        <is>
          <t>screens/store</t>
        </is>
      </c>
      <c r="E11" s="27" t="inlineStr">
        <is>
          <t>medium</t>
        </is>
      </c>
      <c r="F11" s="27" t="n"/>
      <c r="G11" s="27" t="n"/>
      <c r="H11" s="27" t="inlineStr">
        <is>
          <t>hypothesis</t>
        </is>
      </c>
    </row>
    <row r="12" ht="54" customHeight="1">
      <c r="A12" s="27" t="inlineStr">
        <is>
          <t>Project management fee (POS + DMB)</t>
        </is>
      </c>
      <c r="B12" s="27" t="n"/>
      <c r="C12" s="7" t="inlineStr">
        <is>
          <t>Waived at RFP stage; negotiation lever for later</t>
        </is>
      </c>
      <c r="D12" s="27" t="inlineStr"/>
      <c r="E12" s="27" t="inlineStr">
        <is>
          <t>high</t>
        </is>
      </c>
      <c r="F12" s="27" t="n"/>
      <c r="G12" s="27" t="n"/>
      <c r="H12" s="27" t="inlineStr">
        <is>
          <t>decided</t>
        </is>
      </c>
    </row>
    <row r="13" ht="54" customHeight="1">
      <c r="A13" s="27" t="inlineStr">
        <is>
          <t>Project kickoff fee</t>
        </is>
      </c>
      <c r="B13" s="27" t="n"/>
      <c r="C13" s="7" t="inlineStr">
        <is>
          <t>$0 -- included in service</t>
        </is>
      </c>
      <c r="D13" s="27" t="inlineStr"/>
      <c r="E13" s="27" t="inlineStr">
        <is>
          <t>high</t>
        </is>
      </c>
      <c r="F13" s="27" t="n"/>
      <c r="G13" s="27" t="n"/>
      <c r="H13" s="27" t="inlineStr">
        <is>
          <t>decided</t>
        </is>
      </c>
    </row>
    <row r="14" ht="54" customHeight="1">
      <c r="A14" s="27" t="inlineStr">
        <is>
          <t>Content management fee basis</t>
        </is>
      </c>
      <c r="B14" s="27" t="n"/>
      <c r="C14" s="7" t="inlineStr">
        <is>
          <t>Not charged for basic content/assets; priced above that for high-frequency ongoing content changes</t>
        </is>
      </c>
      <c r="D14" s="27" t="inlineStr"/>
      <c r="E14" s="27" t="inlineStr">
        <is>
          <t>medium</t>
        </is>
      </c>
      <c r="F14" s="27" t="n"/>
      <c r="G14" s="27" t="n"/>
      <c r="H14" s="27" t="inlineStr">
        <is>
          <t>decided</t>
        </is>
      </c>
    </row>
    <row r="15" ht="54" customHeight="1">
      <c r="A15" s="27" t="inlineStr">
        <is>
          <t>Site survey pricing</t>
        </is>
      </c>
      <c r="B15" s="27" t="n"/>
      <c r="C15" s="7" t="inlineStr">
        <is>
          <t>Exists on standard price sheet -- exact figure owed by Ryan Hildebrand, not yet provided</t>
        </is>
      </c>
      <c r="D15" s="27" t="inlineStr"/>
      <c r="E15" s="27" t="inlineStr">
        <is>
          <t>low</t>
        </is>
      </c>
      <c r="F15" s="27" t="n"/>
      <c r="G15" s="27" t="n"/>
      <c r="H15" s="27" t="inlineStr">
        <is>
          <t>pending</t>
        </is>
      </c>
    </row>
    <row r="16" ht="54" customHeight="1">
      <c r="A16" s="27" t="inlineStr">
        <is>
          <t>Illustrative monthly standalone</t>
        </is>
      </c>
      <c r="B16" s="27" t="inlineStr">
        <is>
          <t>Formula: archetype x standalone price</t>
        </is>
      </c>
      <c r="C16" s="7">
        <f>C11*C8</f>
        <v/>
      </c>
      <c r="D16" s="27" t="inlineStr">
        <is>
          <t>USD / store / month</t>
        </is>
      </c>
      <c r="E16" s="27" t="inlineStr">
        <is>
          <t>N/A</t>
        </is>
      </c>
      <c r="F16" s="27" t="inlineStr">
        <is>
          <t>Simple planning illustration.</t>
        </is>
      </c>
      <c r="G16" s="27" t="inlineStr">
        <is>
          <t>Replace with archetype mix and approved price.</t>
        </is>
      </c>
      <c r="H16" s="27" t="inlineStr">
        <is>
          <t>Calculated</t>
        </is>
      </c>
    </row>
    <row r="17" ht="54" customHeight="1">
      <c r="A17" s="27" t="inlineStr">
        <is>
          <t>Illustrative monthly participation</t>
        </is>
      </c>
      <c r="B17" s="27" t="inlineStr">
        <is>
          <t>Formula: archetype x participation price</t>
        </is>
      </c>
      <c r="C17" s="7">
        <f>C11*C9</f>
        <v/>
      </c>
      <c r="D17" s="27" t="inlineStr">
        <is>
          <t>USD / store / month</t>
        </is>
      </c>
      <c r="E17" s="27" t="inlineStr">
        <is>
          <t>N/A</t>
        </is>
      </c>
      <c r="F17" s="27" t="inlineStr">
        <is>
          <t>Requires qualifying payments participation.</t>
        </is>
      </c>
      <c r="G17" s="27" t="inlineStr">
        <is>
          <t>Replace with approved commercial rules.</t>
        </is>
      </c>
      <c r="H17" s="27" t="inlineStr">
        <is>
          <t>Calculated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0" customWidth="1" min="5" max="5"/>
    <col width="12" customWidth="1" min="6" max="7"/>
    <col width="20" customWidth="1" min="8" max="8"/>
    <col width="12" customWidth="1" min="9" max="10"/>
    <col width="23" customWidth="1" min="11" max="11"/>
    <col width="36" customWidth="1" min="12" max="12"/>
  </cols>
  <sheetData>
    <row r="1" ht="28" customHeight="1">
      <c r="A1" s="11" t="inlineStr">
        <is>
          <t>POLLO CAMPERO — PRESENTATION VIEW 1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CUSTOMER'S STATED OBJECTIVE</t>
        </is>
      </c>
    </row>
    <row r="5">
      <c r="A5" s="27" t="n"/>
      <c r="B5" s="45" t="n"/>
      <c r="C5" s="45" t="n"/>
      <c r="D5" s="45" t="n"/>
      <c r="E5" s="45" t="n"/>
      <c r="F5" s="46" t="n"/>
      <c r="G5" s="27" t="n"/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Personal win</t>
        </is>
      </c>
      <c r="F9" s="38" t="n"/>
      <c r="G9" s="39" t="n"/>
      <c r="H9" s="28" t="inlineStr">
        <is>
          <t>Business result</t>
        </is>
      </c>
      <c r="I9" s="38" t="n"/>
      <c r="J9" s="39" t="n"/>
      <c r="K9" s="28" t="inlineStr">
        <is>
          <t>Access / relationship</t>
        </is>
      </c>
      <c r="L9" s="28" t="inlineStr">
        <is>
          <t>Next step</t>
        </is>
      </c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Deliver U.S. growth without disrupting operations or brand experience.</t>
        </is>
      </c>
      <c r="F10" s="43" t="n"/>
      <c r="G10" s="44" t="n"/>
      <c r="H10" s="27" t="inlineStr">
        <is>
          <t>Scalable, reliable estate modernization supporting 250-location ambition.</t>
        </is>
      </c>
      <c r="I10" s="43" t="n"/>
      <c r="J10" s="44" t="n"/>
      <c r="K10" s="27" t="inlineStr">
        <is>
          <t>Unknown</t>
        </is>
      </c>
      <c r="L10" s="27" t="inlineStr">
        <is>
          <t>Confirm current title, authority, success criteria and DMB sponsorship.</t>
        </is>
      </c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Protect global brand, capital and scalable standards.</t>
        </is>
      </c>
      <c r="F11" s="43" t="n"/>
      <c r="G11" s="44" t="n"/>
      <c r="H11" s="27" t="inlineStr">
        <is>
          <t>A governed platform that supports growth across markets.</t>
        </is>
      </c>
      <c r="I11" s="43" t="n"/>
      <c r="J11" s="44" t="n"/>
      <c r="K11" s="27" t="inlineStr">
        <is>
          <t>None</t>
        </is>
      </c>
      <c r="L11" s="27" t="inlineStr">
        <is>
          <t>Determine approval/veto role and whether global standards apply.</t>
        </is>
      </c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Run a fair, compliant process with comparable commitments.</t>
        </is>
      </c>
      <c r="F12" s="43" t="n"/>
      <c r="G12" s="44" t="n"/>
      <c r="H12" s="27" t="inlineStr">
        <is>
          <t>Executable contract, pricing and delivery accountability.</t>
        </is>
      </c>
      <c r="I12" s="43" t="n"/>
      <c r="J12" s="44" t="n"/>
      <c r="K12" s="27" t="inlineStr">
        <is>
          <t>Direct process path</t>
        </is>
      </c>
      <c r="L12" s="27" t="inlineStr">
        <is>
          <t>Confirm ownership of scoring, clarifications, negotiation and recommendation.</t>
        </is>
      </c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Run a responsive process, provide clean inputs and assemble a credible proposal.</t>
        </is>
      </c>
      <c r="F13" s="43" t="n"/>
      <c r="G13" s="44" t="n"/>
      <c r="H13" s="27" t="inlineStr">
        <is>
          <t>Comparable DMB and payments proposals with controlled supplier risk.</t>
        </is>
      </c>
      <c r="I13" s="43" t="n"/>
      <c r="J13" s="44" t="n"/>
      <c r="K13" s="27" t="inlineStr">
        <is>
          <t>Direct / responsive</t>
        </is>
      </c>
      <c r="L13" s="27" t="inlineStr">
        <is>
          <t>Receive statements; confirm authority, evaluation role and whether he will provide internal guidance.</t>
        </is>
      </c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Economic transparency, reconciliation and controlled risk.</t>
        </is>
      </c>
      <c r="F14" s="43" t="n"/>
      <c r="G14" s="44" t="n"/>
      <c r="H14" s="27" t="inlineStr">
        <is>
          <t>Defensible business case and accurate payment economics.</t>
        </is>
      </c>
      <c r="I14" s="43" t="n"/>
      <c r="J14" s="44" t="n"/>
      <c r="K14" s="27" t="inlineStr">
        <is>
          <t>Direct</t>
        </is>
      </c>
      <c r="L14" s="27" t="inlineStr">
        <is>
          <t>Validate role in statements, processor architecture, budget, analysis and approvals.</t>
        </is>
      </c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Choose reliable restaurant technology and be seen as a credible change leader.</t>
        </is>
      </c>
      <c r="F15" s="43" t="n"/>
      <c r="G15" s="44" t="n"/>
      <c r="H15" s="27" t="inlineStr">
        <is>
          <t>Low-risk integration, deployment, uptime and support.</t>
        </is>
      </c>
      <c r="I15" s="43" t="n"/>
      <c r="J15" s="44" t="n"/>
      <c r="K15" s="27" t="inlineStr">
        <is>
          <t>Dormant warm</t>
        </is>
      </c>
      <c r="L15" s="27" t="inlineStr">
        <is>
          <t>Re-engage and test for coach criteria: access, credibility and guidance.</t>
        </is>
      </c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Protect store operations, speed and guest experience.</t>
        </is>
      </c>
      <c r="F16" s="43" t="n"/>
      <c r="G16" s="44" t="n"/>
      <c r="H16" s="27" t="inlineStr">
        <is>
          <t>Minimal disruption and consistent execution.</t>
        </is>
      </c>
      <c r="I16" s="43" t="n"/>
      <c r="J16" s="44" t="n"/>
      <c r="K16" s="27" t="inlineStr">
        <is>
          <t>Weak</t>
        </is>
      </c>
      <c r="L16" s="27" t="inlineStr">
        <is>
          <t>Verify title, current remit and operational influence.</t>
        </is>
      </c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Build the most-loved brand for U.S. Hispanic consumers while reaching new audiences.</t>
        </is>
      </c>
      <c r="F17" s="43" t="n"/>
      <c r="G17" s="44" t="n"/>
      <c r="H17" s="27" t="inlineStr">
        <is>
          <t>Consistent brand presentation, agile promotions and measurable sales growth.</t>
        </is>
      </c>
      <c r="I17" s="43" t="n"/>
      <c r="J17" s="44" t="n"/>
      <c r="K17" s="27" t="inlineStr">
        <is>
          <t>None</t>
        </is>
      </c>
      <c r="L17" s="27" t="inlineStr">
        <is>
          <t>Confirm ownership of DMB content, promotions, dayparting and success metrics.</t>
        </is>
      </c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Shape both workstreams, coordinate the right people and maintain momentum.</t>
        </is>
      </c>
      <c r="F18" s="43" t="n"/>
      <c r="G18" s="44" t="n"/>
      <c r="H18" s="27" t="inlineStr">
        <is>
          <t>A coherent payments and DMB decision that meets CMI's business, technical and commercial requirements.</t>
        </is>
      </c>
      <c r="I18" s="43" t="n"/>
      <c r="J18" s="44" t="n"/>
      <c r="K18" s="27" t="inlineStr">
        <is>
          <t>Direct / key cross-workstream stakeholder with an executive relationship path</t>
        </is>
      </c>
      <c r="L18" s="27" t="inlineStr">
        <is>
          <t>Confirm title, formal decision role and authority; ask Ryan/Tracy what Jorge communicated and test whether Jorge provides access, internal guidance and advocacy consistent with Coach criteria.</t>
        </is>
      </c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 - participated in initial discussion.</t>
        </is>
      </c>
      <c r="F19" s="43" t="n"/>
      <c r="G19" s="44" t="n"/>
      <c r="H19" s="27" t="inlineStr">
        <is>
          <t>Potential contribution to payments, technology or operating decision.</t>
        </is>
      </c>
      <c r="I19" s="43" t="n"/>
      <c r="J19" s="44" t="n"/>
      <c r="K19" s="27" t="inlineStr">
        <is>
          <t>Direct</t>
        </is>
      </c>
      <c r="L19" s="27" t="inlineStr">
        <is>
          <t>Confirm title, remit, role, influence, win and decision rights.</t>
        </is>
      </c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Run a complete, comparable and timely procurement process.</t>
        </is>
      </c>
      <c r="H20" t="inlineStr">
        <is>
          <t>Receive a complete revised proposal and priced SOW responsive to the updated requirements.</t>
        </is>
      </c>
      <c r="K20" t="inlineStr">
        <is>
          <t>Direct email / formal procurement channel</t>
        </is>
      </c>
      <c r="L20" t="inlineStr">
        <is>
          <t>Send one consolidated clarification set and submit the revised proposal and pricing on time.</t>
        </is>
      </c>
    </row>
    <row r="21" ht="15" customHeight="1">
      <c r="A21" s="13" t="n"/>
      <c r="G21" s="13" t="n"/>
    </row>
    <row r="22" ht="38" customHeight="1">
      <c r="A22" s="27" t="n"/>
      <c r="B22" s="43" t="n"/>
      <c r="C22" s="43" t="n"/>
      <c r="D22" s="43" t="n"/>
      <c r="E22" s="43" t="n"/>
      <c r="F22" s="44" t="n"/>
      <c r="G22" s="27" t="n"/>
      <c r="H22" s="43" t="n"/>
      <c r="I22" s="43" t="n"/>
      <c r="J22" s="43" t="n"/>
      <c r="K22" s="43" t="n"/>
      <c r="L22" s="44" t="n"/>
    </row>
    <row r="23" ht="38" customHeight="1">
      <c r="A23" s="27" t="n"/>
      <c r="B23" s="43" t="n"/>
      <c r="C23" s="43" t="n"/>
      <c r="D23" s="43" t="n"/>
      <c r="E23" s="43" t="n"/>
      <c r="F23" s="44" t="n"/>
      <c r="G23" s="27" t="n"/>
      <c r="H23" s="43" t="n"/>
      <c r="I23" s="43" t="n"/>
      <c r="J23" s="43" t="n"/>
      <c r="K23" s="43" t="n"/>
      <c r="L23" s="44" t="n"/>
    </row>
    <row r="24" ht="38" customHeight="1">
      <c r="A24" s="27" t="n"/>
      <c r="B24" s="43" t="n"/>
      <c r="C24" s="43" t="n"/>
      <c r="D24" s="43" t="n"/>
      <c r="E24" s="43" t="n"/>
      <c r="F24" s="44" t="n"/>
      <c r="G24" s="27" t="n"/>
      <c r="H24" s="43" t="n"/>
      <c r="I24" s="43" t="n"/>
      <c r="J24" s="43" t="n"/>
      <c r="K24" s="43" t="n"/>
      <c r="L24" s="44" t="n"/>
    </row>
    <row r="25" ht="38" customHeight="1">
      <c r="A25" s="27" t="n"/>
      <c r="B25" s="43" t="n"/>
      <c r="C25" s="43" t="n"/>
      <c r="D25" s="43" t="n"/>
      <c r="E25" s="43" t="n"/>
      <c r="F25" s="44" t="n"/>
      <c r="G25" s="27" t="n"/>
      <c r="H25" s="43" t="n"/>
      <c r="I25" s="43" t="n"/>
      <c r="J25" s="43" t="n"/>
      <c r="K25" s="43" t="n"/>
      <c r="L25" s="44" t="n"/>
    </row>
    <row r="26" ht="38" customHeight="1">
      <c r="A26" s="27" t="n"/>
      <c r="B26" s="27" t="n"/>
      <c r="C26" s="27" t="n"/>
      <c r="D26" s="27" t="n"/>
      <c r="E26" s="27" t="n"/>
      <c r="F26" s="27" t="n"/>
      <c r="G26" s="27" t="n"/>
      <c r="H26" s="43" t="n"/>
      <c r="I26" s="43" t="n"/>
      <c r="J26" s="43" t="n"/>
      <c r="K26" s="43" t="n"/>
      <c r="L26" s="44" t="n"/>
    </row>
  </sheetData>
  <mergeCells count="39">
    <mergeCell ref="E10:G10"/>
    <mergeCell ref="E19:G19"/>
    <mergeCell ref="E13:G13"/>
    <mergeCell ref="E9:G9"/>
    <mergeCell ref="H17:J17"/>
    <mergeCell ref="A21:F21"/>
    <mergeCell ref="E15:G15"/>
    <mergeCell ref="H11:J11"/>
    <mergeCell ref="H16:J16"/>
    <mergeCell ref="A2:L2"/>
    <mergeCell ref="G24:L24"/>
    <mergeCell ref="E11:G11"/>
    <mergeCell ref="H19:J19"/>
    <mergeCell ref="A23:F23"/>
    <mergeCell ref="H13:J13"/>
    <mergeCell ref="A22:F22"/>
    <mergeCell ref="H12:J12"/>
    <mergeCell ref="A4:F4"/>
    <mergeCell ref="G4:L4"/>
    <mergeCell ref="G26:L26"/>
    <mergeCell ref="E16:G16"/>
    <mergeCell ref="H15:J15"/>
    <mergeCell ref="G25:L25"/>
    <mergeCell ref="A5:F7"/>
    <mergeCell ref="G5:L7"/>
    <mergeCell ref="H18:J18"/>
    <mergeCell ref="H14:J14"/>
    <mergeCell ref="G22:L22"/>
    <mergeCell ref="E18:G18"/>
    <mergeCell ref="E12:G12"/>
    <mergeCell ref="G21:L21"/>
    <mergeCell ref="A24:F24"/>
    <mergeCell ref="H10:J10"/>
    <mergeCell ref="E14:G14"/>
    <mergeCell ref="A1:L1"/>
    <mergeCell ref="G23:L23"/>
    <mergeCell ref="E17:G17"/>
    <mergeCell ref="H9:J9"/>
    <mergeCell ref="A25:F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10" defaultColWidth="8.83203125" defaultRowHeight="14"/>
  <cols>
    <col width="30" customWidth="1" min="1" max="1"/>
    <col width="12" customWidth="1" min="2" max="2"/>
    <col width="14" customWidth="1" min="3" max="3"/>
    <col width="15" customWidth="1" min="4" max="4"/>
    <col width="21" customWidth="1" min="5" max="5"/>
    <col width="10" customWidth="1" min="6" max="7"/>
    <col width="22" customWidth="1" min="8" max="8"/>
    <col width="12" customWidth="1" min="9" max="10"/>
    <col width="25" customWidth="1" min="11" max="12"/>
  </cols>
  <sheetData>
    <row r="1" ht="28" customHeight="1">
      <c r="A1" s="11" t="inlineStr">
        <is>
          <t>POLLO CAMPERO — PRESENTATION VIEW 2</t>
        </is>
      </c>
    </row>
    <row r="2" ht="22" customHeight="1">
      <c r="A2" s="12" t="inlineStr">
        <is>
          <t>Regenerated automatically from the Blue Sheet tab by the workbook renderer - do not hand-edit.</t>
        </is>
      </c>
    </row>
    <row r="4" ht="15" customHeight="1">
      <c r="A4" s="13" t="inlineStr">
        <is>
          <t>SINGLE SALES OBJECTIVE</t>
        </is>
      </c>
      <c r="G4" s="13" t="inlineStr">
        <is>
          <t>COMPETITIVE POSITION</t>
        </is>
      </c>
    </row>
    <row r="5">
      <c r="A5" s="27" t="n"/>
      <c r="B5" s="45" t="n"/>
      <c r="C5" s="45" t="n"/>
      <c r="D5" s="45" t="n"/>
      <c r="E5" s="45" t="n"/>
      <c r="F5" s="46" t="n"/>
      <c r="G5" s="27" t="inlineStr">
        <is>
          <t>DMB incumbents include ZoneIn and Stream. Oracle Simphony is the principal broader-platform threat; NCR/Aloha remains in part of the estate. Fiserv is field-reported for in-store processing; Olo/Olo Pay (Stripe) for digital; Valutec for gift. Actual bidder set and preferences remain unknown.</t>
        </is>
      </c>
      <c r="H5" s="45" t="n"/>
      <c r="I5" s="45" t="n"/>
      <c r="J5" s="45" t="n"/>
      <c r="K5" s="45" t="n"/>
      <c r="L5" s="46" t="n"/>
    </row>
    <row r="6">
      <c r="A6" s="47" t="n"/>
      <c r="F6" s="48" t="n"/>
      <c r="G6" s="47" t="n"/>
      <c r="L6" s="48" t="n"/>
    </row>
    <row r="7">
      <c r="A7" s="49" t="n"/>
      <c r="B7" s="50" t="n"/>
      <c r="C7" s="50" t="n"/>
      <c r="D7" s="50" t="n"/>
      <c r="E7" s="50" t="n"/>
      <c r="F7" s="51" t="n"/>
      <c r="G7" s="49" t="n"/>
      <c r="H7" s="50" t="n"/>
      <c r="I7" s="50" t="n"/>
      <c r="J7" s="50" t="n"/>
      <c r="K7" s="50" t="n"/>
      <c r="L7" s="51" t="n"/>
    </row>
    <row r="9" ht="16" customHeight="1">
      <c r="A9" s="28" t="inlineStr">
        <is>
          <t>Buying influence</t>
        </is>
      </c>
      <c r="B9" s="28" t="inlineStr">
        <is>
          <t>Role</t>
        </is>
      </c>
      <c r="C9" s="28" t="inlineStr">
        <is>
          <t>Influence</t>
        </is>
      </c>
      <c r="D9" s="28" t="inlineStr">
        <is>
          <t>Mode</t>
        </is>
      </c>
      <c r="E9" s="28" t="inlineStr">
        <is>
          <t>Competitive preference</t>
        </is>
      </c>
      <c r="F9" s="39" t="n"/>
      <c r="G9" s="28" t="inlineStr">
        <is>
          <t>Rating</t>
        </is>
      </c>
      <c r="H9" s="28" t="inlineStr">
        <is>
          <t>Current read</t>
        </is>
      </c>
      <c r="I9" s="38" t="n"/>
      <c r="J9" s="39" t="n"/>
      <c r="K9" s="28" t="inlineStr">
        <is>
          <t>Next step</t>
        </is>
      </c>
      <c r="L9" s="39" t="n"/>
    </row>
    <row r="10" ht="62" customHeight="1">
      <c r="A10" s="27" t="inlineStr">
        <is>
          <t>Luis Javier Rodas — Managing Director &amp; COO, Campero USA</t>
        </is>
      </c>
      <c r="B10" s="27" t="inlineStr">
        <is>
          <t>E? / U</t>
        </is>
      </c>
      <c r="C10" s="27" t="inlineStr">
        <is>
          <t>High</t>
        </is>
      </c>
      <c r="D10" s="27" t="inlineStr">
        <is>
          <t>Growth / Even Keel</t>
        </is>
      </c>
      <c r="E10" s="27" t="inlineStr">
        <is>
          <t>Unknown</t>
        </is>
      </c>
      <c r="F10" s="44" t="n"/>
      <c r="G10" s="27" t="n">
        <v>-1</v>
      </c>
      <c r="H10" s="27" t="inlineStr">
        <is>
          <t>Public leader; no direct decision evidence.</t>
        </is>
      </c>
      <c r="I10" s="43" t="n"/>
      <c r="J10" s="44" t="n"/>
      <c r="K10" s="27" t="inlineStr">
        <is>
          <t>Confirm current title, authority, success criteria and DMB sponsorship.</t>
        </is>
      </c>
      <c r="L10" s="44" t="n"/>
    </row>
    <row r="11" ht="62" customHeight="1">
      <c r="A11" s="27" t="inlineStr">
        <is>
          <t>Jose Gregorio Baquero — Global CEO, Pollo Campero</t>
        </is>
      </c>
      <c r="B11" s="27" t="inlineStr">
        <is>
          <t>E?</t>
        </is>
      </c>
      <c r="C11" s="27" t="inlineStr">
        <is>
          <t>High</t>
        </is>
      </c>
      <c r="D11" s="27" t="inlineStr">
        <is>
          <t>Growth</t>
        </is>
      </c>
      <c r="E11" s="27" t="inlineStr">
        <is>
          <t>Unknown</t>
        </is>
      </c>
      <c r="F11" s="44" t="n"/>
      <c r="G11" s="27" t="n">
        <v>-2</v>
      </c>
      <c r="H11" s="27" t="inlineStr">
        <is>
          <t>Named by CMI as global CEO; role in U.S. DMB not verified.</t>
        </is>
      </c>
      <c r="I11" s="43" t="n"/>
      <c r="J11" s="44" t="n"/>
      <c r="K11" s="27" t="inlineStr">
        <is>
          <t>Determine approval/veto role and whether global standards apply.</t>
        </is>
      </c>
      <c r="L11" s="44" t="n"/>
    </row>
    <row r="12" ht="62" customHeight="1">
      <c r="A12" s="27" t="inlineStr">
        <is>
          <t>Katherine Celeste Urbina Barillas — Purchasing Specialist, CMI</t>
        </is>
      </c>
      <c r="B12" s="27" t="inlineStr">
        <is>
          <t>T / E?</t>
        </is>
      </c>
      <c r="C12" s="27" t="inlineStr">
        <is>
          <t>High</t>
        </is>
      </c>
      <c r="D12" s="27" t="inlineStr">
        <is>
          <t>Even Keel</t>
        </is>
      </c>
      <c r="E12" s="27" t="inlineStr">
        <is>
          <t>Unknown</t>
        </is>
      </c>
      <c r="F12" s="44" t="n"/>
      <c r="G12" s="27" t="n">
        <v>0</v>
      </c>
      <c r="H12" s="27" t="inlineStr">
        <is>
          <t>Named RFI recipient and cover-letter contact.</t>
        </is>
      </c>
      <c r="I12" s="43" t="n"/>
      <c r="J12" s="44" t="n"/>
      <c r="K12" s="27" t="inlineStr">
        <is>
          <t>Confirm ownership of scoring, clarifications, negotiation and recommendation.</t>
        </is>
      </c>
      <c r="L12" s="44" t="n"/>
    </row>
    <row r="13" ht="62" customHeight="1">
      <c r="A13" s="27" t="inlineStr">
        <is>
          <t>Randy Heriberto Mulato Cerrate — Purchasing Specialist, CMI Alimentos</t>
        </is>
      </c>
      <c r="B13" s="27" t="inlineStr">
        <is>
          <t>T / C?</t>
        </is>
      </c>
      <c r="C13" s="27" t="inlineStr">
        <is>
          <t>High</t>
        </is>
      </c>
      <c r="D13" s="27" t="inlineStr">
        <is>
          <t>Growth / Even Keel</t>
        </is>
      </c>
      <c r="E13" s="27" t="inlineStr">
        <is>
          <t>Potentially favorable</t>
        </is>
      </c>
      <c r="F13" s="44" t="n"/>
      <c r="G13" s="27" t="n">
        <v>2</v>
      </c>
      <c r="H13" s="27" t="inlineStr">
        <is>
          <t>Attended Aug. 12 discovery; replied Aug. 21 that the approach works and committed to share statements for next-step review.</t>
        </is>
      </c>
      <c r="I13" s="43" t="n"/>
      <c r="J13" s="44" t="n"/>
      <c r="K13" s="27" t="inlineStr">
        <is>
          <t>Receive statements; confirm authority, evaluation role and whether he will provide internal guidance.</t>
        </is>
      </c>
      <c r="L13" s="44" t="n"/>
    </row>
    <row r="14" ht="62" customHeight="1">
      <c r="A14" s="27" t="inlineStr">
        <is>
          <t>Diego Haro — Senior Accountant, CMI</t>
        </is>
      </c>
      <c r="B14" s="27" t="inlineStr">
        <is>
          <t>T / E?</t>
        </is>
      </c>
      <c r="C14" s="27" t="inlineStr">
        <is>
          <t>Medium/High</t>
        </is>
      </c>
      <c r="D14" s="27" t="inlineStr">
        <is>
          <t>Even Keel</t>
        </is>
      </c>
      <c r="E14" s="27" t="inlineStr">
        <is>
          <t>Unknown</t>
        </is>
      </c>
      <c r="F14" s="44" t="n"/>
      <c r="G14" s="27" t="n">
        <v>1</v>
      </c>
      <c r="H14" s="27" t="inlineStr">
        <is>
          <t>Named Aug. 12 discovery participant and recipient of the Aug. 20 follow-up.</t>
        </is>
      </c>
      <c r="I14" s="43" t="n"/>
      <c r="J14" s="44" t="n"/>
      <c r="K14" s="27" t="inlineStr">
        <is>
          <t>Validate role in statements, processor architecture, budget, analysis and approvals.</t>
        </is>
      </c>
      <c r="L14" s="44" t="n"/>
    </row>
    <row r="15" ht="62" customHeight="1">
      <c r="A15" s="27" t="inlineStr">
        <is>
          <t>Scott O'Neill — Restaurant Technology Manager, Pollo Campero</t>
        </is>
      </c>
      <c r="B15" s="27" t="inlineStr">
        <is>
          <t>T / U / C?</t>
        </is>
      </c>
      <c r="C15" s="27" t="inlineStr">
        <is>
          <t>High</t>
        </is>
      </c>
      <c r="D15" s="27" t="inlineStr">
        <is>
          <t>Growth / Even Keel</t>
        </is>
      </c>
      <c r="E15" s="27" t="inlineStr">
        <is>
          <t>Potentially favorable</t>
        </is>
      </c>
      <c r="F15" s="44" t="n"/>
      <c r="G15" s="27" t="n">
        <v>2</v>
      </c>
      <c r="H15" s="27" t="inlineStr">
        <is>
          <t>Prior positive NomadGo demo and friendly follow-ups; dormant relationship.</t>
        </is>
      </c>
      <c r="I15" s="43" t="n"/>
      <c r="J15" s="44" t="n"/>
      <c r="K15" s="27" t="inlineStr">
        <is>
          <t>Re-engage and test for coach criteria: access, credibility and guidance.</t>
        </is>
      </c>
      <c r="L15" s="44" t="n"/>
    </row>
    <row r="16" ht="62" customHeight="1">
      <c r="A16" s="27" t="inlineStr">
        <is>
          <t>Fernando Perez — Head of Operations (title unverified)</t>
        </is>
      </c>
      <c r="B16" s="27" t="inlineStr">
        <is>
          <t>U / E?</t>
        </is>
      </c>
      <c r="C16" s="27" t="inlineStr">
        <is>
          <t>Medium/High</t>
        </is>
      </c>
      <c r="D16" s="27" t="inlineStr">
        <is>
          <t>Unknown</t>
        </is>
      </c>
      <c r="E16" s="27" t="inlineStr">
        <is>
          <t>Unknown</t>
        </is>
      </c>
      <c r="F16" s="44" t="n"/>
      <c r="G16" s="27" t="n">
        <v>-1</v>
      </c>
      <c r="H16" s="27" t="inlineStr">
        <is>
          <t>Cold LinkedIn path; conflicting historical titles.</t>
        </is>
      </c>
      <c r="I16" s="43" t="n"/>
      <c r="J16" s="44" t="n"/>
      <c r="K16" s="27" t="inlineStr">
        <is>
          <t>Verify title, current remit and operational influence.</t>
        </is>
      </c>
      <c r="L16" s="44" t="n"/>
    </row>
    <row r="17" ht="62" customHeight="1">
      <c r="A17" s="27" t="inlineStr">
        <is>
          <t>Karla Patino — VP, U.S. Marketing &amp; Sales</t>
        </is>
      </c>
      <c r="B17" s="27" t="inlineStr">
        <is>
          <t>U</t>
        </is>
      </c>
      <c r="C17" s="27" t="inlineStr">
        <is>
          <t>High</t>
        </is>
      </c>
      <c r="D17" s="27" t="inlineStr">
        <is>
          <t>Growth</t>
        </is>
      </c>
      <c r="E17" s="27" t="inlineStr">
        <is>
          <t>Unknown</t>
        </is>
      </c>
      <c r="F17" s="44" t="n"/>
      <c r="G17" s="27" t="n">
        <v>-1</v>
      </c>
      <c r="H17" s="27" t="inlineStr">
        <is>
          <t>Public appointment June 2026; no pursuit access.</t>
        </is>
      </c>
      <c r="I17" s="43" t="n"/>
      <c r="J17" s="44" t="n"/>
      <c r="K17" s="27" t="inlineStr">
        <is>
          <t>Confirm ownership of DMB content, promotions, dayparting and success metrics.</t>
        </is>
      </c>
      <c r="L17" s="44" t="n"/>
    </row>
    <row r="18" ht="62" customHeight="1">
      <c r="A18" s="27" t="inlineStr">
        <is>
          <t>Jorge de la Parra — title and location unverified, CMI</t>
        </is>
      </c>
      <c r="B18" s="27" t="inlineStr">
        <is>
          <t>T / U / C?</t>
        </is>
      </c>
      <c r="C18" s="27" t="inlineStr">
        <is>
          <t>High</t>
        </is>
      </c>
      <c r="D18" s="27" t="inlineStr">
        <is>
          <t>Even Keel</t>
        </is>
      </c>
      <c r="E18" s="27" t="inlineStr">
        <is>
          <t>Potentially favorable</t>
        </is>
      </c>
      <c r="F18" s="44" t="n"/>
      <c r="G18" s="27" t="n">
        <v>2</v>
      </c>
      <c r="H18" s="27" t="inlineStr">
        <is>
          <t>User-confirmed key stakeholder in both payments and the DMB RFI; assigned the scheduling path for both follow-on sessions. Jorge knows Ryan's boss, Tracy, and texted Tracy shortly after the Aug. 12 meeting.</t>
        </is>
      </c>
      <c r="I18" s="43" t="n"/>
      <c r="J18" s="44" t="n"/>
      <c r="K18" s="27" t="inlineStr">
        <is>
          <t>Confirm title, formal decision role and authority; ask Ryan/Tracy what Jorge communicated and test whether Jorge provides access, internal guidance and advocacy consistent with Coach criteria.</t>
        </is>
      </c>
      <c r="L18" s="44" t="n"/>
    </row>
    <row r="19" ht="62" customHeight="1">
      <c r="A19" s="27" t="inlineStr">
        <is>
          <t>Terry Fresquez — title and location unverified, CMI</t>
        </is>
      </c>
      <c r="B19" s="27" t="inlineStr">
        <is>
          <t>U? / T?</t>
        </is>
      </c>
      <c r="C19" s="27" t="inlineStr">
        <is>
          <t>Unknown</t>
        </is>
      </c>
      <c r="D19" s="27" t="inlineStr">
        <is>
          <t>Unknown</t>
        </is>
      </c>
      <c r="E19" s="27" t="inlineStr">
        <is>
          <t>Unknown</t>
        </is>
      </c>
      <c r="F19" s="44" t="n"/>
      <c r="G19" s="27" t="n">
        <v>0</v>
      </c>
      <c r="H19" s="27" t="inlineStr">
        <is>
          <t>Named Aug. 12 discovery attendee and Aug. 20 follow-up recipient.</t>
        </is>
      </c>
      <c r="I19" s="43" t="n"/>
      <c r="J19" s="44" t="n"/>
      <c r="K19" s="27" t="inlineStr">
        <is>
          <t>Confirm title, remit, role, influence, win and decision rights.</t>
        </is>
      </c>
      <c r="L19" s="44" t="n"/>
    </row>
    <row r="20">
      <c r="A20" t="inlineStr">
        <is>
          <t>Katherine Celeste Urbina Barillas — Purchasing Specialist</t>
        </is>
      </c>
      <c r="B20" t="inlineStr">
        <is>
          <t>Procurement contact / U?</t>
        </is>
      </c>
      <c r="C20" t="inlineStr">
        <is>
          <t>High process influence; economic and technical authority unverified</t>
        </is>
      </c>
      <c r="D20" t="inlineStr">
        <is>
          <t>Even Keel</t>
        </is>
      </c>
      <c r="E20" t="inlineStr">
        <is>
          <t>Unknown</t>
        </is>
      </c>
      <c r="G20" t="n">
        <v>0</v>
      </c>
      <c r="H20" t="inlineStr">
        <is>
          <t>Primary procurement channel. Transmitted the updated TDR and SOW/pricing template and established the 2026-09-04 deadline.</t>
        </is>
      </c>
      <c r="K20" t="inlineStr">
        <is>
          <t>Send one consolidated clarification set and submit the revised proposal and pricing on time.</t>
        </is>
      </c>
    </row>
    <row r="21" ht="15" customHeight="1">
      <c r="A21" s="13" t="n"/>
      <c r="E21" s="13" t="n"/>
      <c r="I21" s="13" t="n"/>
    </row>
    <row r="22">
      <c r="A22" s="27" t="n"/>
      <c r="B22" s="45" t="n"/>
      <c r="C22" s="45" t="n"/>
      <c r="D22" s="46" t="n"/>
      <c r="E22" s="27" t="n"/>
      <c r="F22" s="45" t="n"/>
      <c r="G22" s="45" t="n"/>
      <c r="H22" s="46" t="n"/>
      <c r="I22" s="27" t="n"/>
      <c r="J22" s="45" t="n"/>
      <c r="K22" s="45" t="n"/>
      <c r="L22" s="46" t="n"/>
    </row>
    <row r="23">
      <c r="A23" s="47" t="n"/>
      <c r="D23" s="48" t="n"/>
      <c r="E23" s="47" t="n"/>
      <c r="H23" s="48" t="n"/>
      <c r="I23" s="47" t="n"/>
      <c r="L23" s="48" t="n"/>
    </row>
    <row r="24">
      <c r="A24" s="49" t="n"/>
      <c r="B24" s="50" t="n"/>
      <c r="C24" s="50" t="n"/>
      <c r="D24" s="51" t="n"/>
      <c r="E24" s="49" t="n"/>
      <c r="F24" s="50" t="n"/>
      <c r="G24" s="50" t="n"/>
      <c r="H24" s="51" t="n"/>
      <c r="I24" s="49" t="n"/>
      <c r="J24" s="50" t="n"/>
      <c r="K24" s="50" t="n"/>
      <c r="L24" s="51" t="n"/>
    </row>
  </sheetData>
  <mergeCells count="45">
    <mergeCell ref="K16:L16"/>
    <mergeCell ref="E12:F12"/>
    <mergeCell ref="K15:L15"/>
    <mergeCell ref="K9:L9"/>
    <mergeCell ref="E14:F14"/>
    <mergeCell ref="H17:J17"/>
    <mergeCell ref="E17:F17"/>
    <mergeCell ref="H11:J11"/>
    <mergeCell ref="A22:D24"/>
    <mergeCell ref="H16:J16"/>
    <mergeCell ref="A2:L2"/>
    <mergeCell ref="E22:H24"/>
    <mergeCell ref="K11:L11"/>
    <mergeCell ref="E10:F10"/>
    <mergeCell ref="H19:J19"/>
    <mergeCell ref="E19:F19"/>
    <mergeCell ref="H13:J13"/>
    <mergeCell ref="E21:H21"/>
    <mergeCell ref="E13:F13"/>
    <mergeCell ref="H12:J12"/>
    <mergeCell ref="A4:F4"/>
    <mergeCell ref="G4:L4"/>
    <mergeCell ref="E9:F9"/>
    <mergeCell ref="H15:J15"/>
    <mergeCell ref="A5:F7"/>
    <mergeCell ref="G5:L7"/>
    <mergeCell ref="K12:L12"/>
    <mergeCell ref="H18:J18"/>
    <mergeCell ref="E15:F15"/>
    <mergeCell ref="H14:J14"/>
    <mergeCell ref="E11:F11"/>
    <mergeCell ref="K14:L14"/>
    <mergeCell ref="K17:L17"/>
    <mergeCell ref="H10:J10"/>
    <mergeCell ref="I22:L24"/>
    <mergeCell ref="E16:F16"/>
    <mergeCell ref="I21:L21"/>
    <mergeCell ref="A1:L1"/>
    <mergeCell ref="A21:D21"/>
    <mergeCell ref="K10:L10"/>
    <mergeCell ref="K19:L19"/>
    <mergeCell ref="H9:J9"/>
    <mergeCell ref="K13:L13"/>
    <mergeCell ref="E18:F18"/>
    <mergeCell ref="K18:L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10" defaultColWidth="8.83203125" defaultRowHeight="14"/>
  <cols>
    <col width="22" customWidth="1" min="1" max="1"/>
    <col width="20" customWidth="1" min="2" max="2"/>
    <col width="15" customWidth="1" min="3" max="3"/>
    <col width="16" customWidth="1" min="4" max="4"/>
    <col width="18" customWidth="1" min="5" max="5"/>
    <col width="15" customWidth="1" min="6" max="6"/>
    <col width="24" customWidth="1" min="7" max="8"/>
    <col width="20" customWidth="1" min="9" max="10"/>
  </cols>
  <sheetData>
    <row r="1" ht="28" customHeight="1">
      <c r="A1" s="11" t="inlineStr">
        <is>
          <t>BLUE SHEET METHOD &amp; GOVERNANCE</t>
        </is>
      </c>
    </row>
    <row r="2" ht="22" customHeight="1">
      <c r="A2" s="12" t="inlineStr">
        <is>
          <t>Internal operating standard for disciplined opportunity strategy and review.</t>
        </is>
      </c>
    </row>
    <row r="4" ht="16" customHeight="1">
      <c r="A4" s="28" t="inlineStr">
        <is>
          <t>Area</t>
        </is>
      </c>
      <c r="B4" s="28" t="inlineStr">
        <is>
          <t>Standard</t>
        </is>
      </c>
      <c r="C4" s="38" t="n"/>
      <c r="D4" s="38" t="n"/>
      <c r="E4" s="38" t="n"/>
      <c r="F4" s="39" t="n"/>
      <c r="G4" s="28" t="inlineStr">
        <is>
          <t>Minimum evidence / output</t>
        </is>
      </c>
      <c r="H4" s="38" t="n"/>
      <c r="I4" s="38" t="n"/>
      <c r="J4" s="39" t="n"/>
    </row>
    <row r="5" ht="54" customHeight="1">
      <c r="A5" s="9" t="inlineStr">
        <is>
          <t>Purpose</t>
        </is>
      </c>
      <c r="B5" s="27" t="inlineStr">
        <is>
          <t>A living strategy document for one specific sales objective—not a general account-information repository.</t>
        </is>
      </c>
      <c r="C5" s="43" t="n"/>
      <c r="D5" s="43" t="n"/>
      <c r="E5" s="43" t="n"/>
      <c r="F5" s="44" t="n"/>
      <c r="G5" s="27" t="inlineStr">
        <is>
          <t>A clear, measurable Single Sales Objective tied to a company/area, solution, commercial outcome and customer timing.</t>
        </is>
      </c>
      <c r="H5" s="43" t="n"/>
      <c r="I5" s="43" t="n"/>
      <c r="J5" s="44" t="n"/>
    </row>
    <row r="6" ht="54" customHeight="1">
      <c r="A6" s="9" t="inlineStr">
        <is>
          <t>Core methodology</t>
        </is>
      </c>
      <c r="B6" s="27" t="inlineStr">
        <is>
          <t>Use Buying Influences, Win–Results, Modes, Ratings, Strengths, Red Flags, competition, perspective and the Best Action Plan as one connected strategy system.</t>
        </is>
      </c>
      <c r="C6" s="43" t="n"/>
      <c r="D6" s="43" t="n"/>
      <c r="E6" s="43" t="n"/>
      <c r="F6" s="44" t="n"/>
      <c r="G6" s="27" t="inlineStr">
        <is>
          <t>Each material strategy assertion is reflected in the appropriate field and converted into an implication or action.</t>
        </is>
      </c>
      <c r="H6" s="43" t="n"/>
      <c r="I6" s="43" t="n"/>
      <c r="J6" s="44" t="n"/>
    </row>
    <row r="7" ht="54" customHeight="1">
      <c r="A7" s="9" t="inlineStr">
        <is>
          <t>Evidence discipline</t>
        </is>
      </c>
      <c r="B7" s="27" t="inlineStr">
        <is>
          <t>Unknown stays unknown. Do not infer an Economic Buyer, Coach, influence level, mode, preference, rating, budget or decision authority.</t>
        </is>
      </c>
      <c r="C7" s="43" t="n"/>
      <c r="D7" s="43" t="n"/>
      <c r="E7" s="43" t="n"/>
      <c r="F7" s="44" t="n"/>
      <c r="G7" s="27" t="inlineStr">
        <is>
          <t>Observed customer behavior, direct customer statements, documented process evidence or a clearly labeled working hypothesis.</t>
        </is>
      </c>
      <c r="H7" s="43" t="n"/>
      <c r="I7" s="43" t="n"/>
      <c r="J7" s="44" t="n"/>
    </row>
    <row r="8" ht="54" customHeight="1">
      <c r="A8" s="9" t="inlineStr">
        <is>
          <t>Coach standard</t>
        </is>
      </c>
      <c r="B8" s="27" t="inlineStr">
        <is>
          <t>A responsive or friendly contact is not automatically a Coach. A Coach must satisfy all three Miller Heiman tests.</t>
        </is>
      </c>
      <c r="C8" s="43" t="n"/>
      <c r="D8" s="43" t="n"/>
      <c r="E8" s="43" t="n"/>
      <c r="F8" s="44" t="n"/>
      <c r="G8" s="27" t="inlineStr">
        <is>
          <t>We have credibility with the person; the person has credibility with the Buying Influences; the person wants our solution above all others and will advocate for it.</t>
        </is>
      </c>
      <c r="H8" s="43" t="n"/>
      <c r="I8" s="43" t="n"/>
      <c r="J8" s="44" t="n"/>
    </row>
    <row r="9" ht="54" customHeight="1">
      <c r="A9" s="9" t="inlineStr">
        <is>
          <t>Qualification score</t>
        </is>
      </c>
      <c r="B9" s="27" t="inlineStr">
        <is>
          <t>The five criteria are qualification tests—not optimism scores. Use Y only when the complete statement is supported.</t>
        </is>
      </c>
      <c r="C9" s="43" t="n"/>
      <c r="D9" s="43" t="n"/>
      <c r="E9" s="43" t="n"/>
      <c r="F9" s="44" t="n"/>
      <c r="G9" s="27" t="inlineStr">
        <is>
          <t>Evidence for budget, access, buying process, supportive Economic Buying Influence and at least one qualified Coach. Otherwise use N or U.</t>
        </is>
      </c>
      <c r="H9" s="43" t="n"/>
      <c r="I9" s="43" t="n"/>
      <c r="J9" s="44" t="n"/>
    </row>
    <row r="10" ht="54" customHeight="1">
      <c r="A10" s="9" t="inlineStr">
        <is>
          <t>Review triggers</t>
        </is>
      </c>
      <c r="B10" s="27" t="inlineStr">
        <is>
          <t>Review after meaningful calls, emails, RFI/RFP changes, new stakeholders, competitive intelligence, commercial decisions or material changes in access and timing.</t>
        </is>
      </c>
      <c r="C10" s="43" t="n"/>
      <c r="D10" s="43" t="n"/>
      <c r="E10" s="43" t="n"/>
      <c r="F10" s="44" t="n"/>
      <c r="G10" s="27" t="inlineStr">
        <is>
          <t>Updated fields, Strengths, Red Flags and Best Action Plan; material changes recorded in Actions &amp; Decisions or the Change Log where applicable.</t>
        </is>
      </c>
      <c r="H10" s="43" t="n"/>
      <c r="I10" s="43" t="n"/>
      <c r="J10" s="44" t="n"/>
    </row>
    <row r="11" ht="54" customHeight="1">
      <c r="A11" s="9" t="inlineStr">
        <is>
          <t>Structured review</t>
        </is>
      </c>
      <c r="B11" s="27" t="inlineStr">
        <is>
          <t>Owner tells the story; team uncovers Red Flags; team identifies Strengths; team develops perspective; team proposes actions; owner selects the Best Action Plan.</t>
        </is>
      </c>
      <c r="C11" s="43" t="n"/>
      <c r="D11" s="43" t="n"/>
      <c r="E11" s="43" t="n"/>
      <c r="F11" s="44" t="n"/>
      <c r="G11" s="27" t="inlineStr">
        <is>
          <t>Use the timing and prompts on Concept Card — Perspective &amp; Review.</t>
        </is>
      </c>
      <c r="H11" s="43" t="n"/>
      <c r="I11" s="43" t="n"/>
      <c r="J11" s="44" t="n"/>
    </row>
    <row r="12" ht="54" customHeight="1">
      <c r="A12" s="9" t="inlineStr">
        <is>
          <t>Action quality</t>
        </is>
      </c>
      <c r="B12" s="27" t="inlineStr">
        <is>
          <t>Every Best Action must be specific and executable, not a general intention.</t>
        </is>
      </c>
      <c r="C12" s="43" t="n"/>
      <c r="D12" s="43" t="n"/>
      <c r="E12" s="43" t="n"/>
      <c r="F12" s="44" t="n"/>
      <c r="G12" s="27" t="inlineStr">
        <is>
          <t>Named owner, target date, intended Buying Influence, expected outcome and the Red Flag reduced or Strength leveraged.</t>
        </is>
      </c>
      <c r="H12" s="43" t="n"/>
      <c r="I12" s="43" t="n"/>
      <c r="J12" s="44" t="n"/>
    </row>
    <row r="13" ht="54" customHeight="1">
      <c r="A13" s="9" t="inlineStr">
        <is>
          <t>Automation behavior</t>
        </is>
      </c>
      <c r="B13" s="27" t="inlineStr">
        <is>
          <t>New intelligence updates the Brand and Technology Stack when relevant and triggers a Blue Sheet review without creating duplicate sources of truth.</t>
        </is>
      </c>
      <c r="C13" s="43" t="n"/>
      <c r="D13" s="43" t="n"/>
      <c r="E13" s="43" t="n"/>
      <c r="F13" s="44" t="n"/>
      <c r="G13" s="27" t="inlineStr">
        <is>
          <t>Update existing records, preserve unresolved items, and surface changed assumptions or implications for human review.</t>
        </is>
      </c>
      <c r="H13" s="43" t="n"/>
      <c r="I13" s="43" t="n"/>
      <c r="J13" s="44" t="n"/>
    </row>
    <row r="14" ht="54" customHeight="1">
      <c r="A14" s="9" t="inlineStr">
        <is>
          <t>Ownership</t>
        </is>
      </c>
      <c r="B14" s="27" t="inlineStr">
        <is>
          <t>One named Blue Sheet owner is accountable for strategy quality; contributors provide functional evidence and execute assigned actions.</t>
        </is>
      </c>
      <c r="C14" s="43" t="n"/>
      <c r="D14" s="43" t="n"/>
      <c r="E14" s="43" t="n"/>
      <c r="F14" s="44" t="n"/>
      <c r="G14" s="27" t="inlineStr">
        <is>
          <t>Owner, contributors, last-reviewed date and next formal review are visible and current.</t>
        </is>
      </c>
      <c r="H14" s="43" t="n"/>
      <c r="I14" s="43" t="n"/>
      <c r="J14" s="44" t="n"/>
    </row>
    <row r="15" ht="54" customHeight="1">
      <c r="A15" s="9" t="inlineStr">
        <is>
          <t>Internal-use notice</t>
        </is>
      </c>
      <c r="B15" s="27" t="inlineStr">
        <is>
          <t>Miller Heiman terminology and supplied reference materials are proprietary and are included for internal use under the organization’s applicable rights.</t>
        </is>
      </c>
      <c r="C15" s="43" t="n"/>
      <c r="D15" s="43" t="n"/>
      <c r="E15" s="43" t="n"/>
      <c r="F15" s="44" t="n"/>
      <c r="G15" s="27" t="inlineStr">
        <is>
          <t>Do not redistribute the concept cards or represent this workbook as an official Miller Heiman publication.</t>
        </is>
      </c>
      <c r="H15" s="43" t="n"/>
      <c r="I15" s="43" t="n"/>
      <c r="J15" s="44" t="n"/>
    </row>
    <row r="17" ht="15" customHeight="1">
      <c r="A17" s="13" t="inlineStr">
        <is>
          <t>BLUE SHEET OWNER &amp; REVIEW CONTROL</t>
        </is>
      </c>
    </row>
    <row r="18" ht="48" customHeight="1">
      <c r="A18" s="6" t="inlineStr">
        <is>
          <t>Blue Sheet owner</t>
        </is>
      </c>
      <c r="B18" s="27" t="inlineStr">
        <is>
          <t>Todd Vahlsing</t>
        </is>
      </c>
      <c r="C18" s="44" t="n"/>
      <c r="D18" s="6" t="inlineStr">
        <is>
          <t>Last reviewed</t>
        </is>
      </c>
      <c r="E18" s="31" t="n">
        <v>46261</v>
      </c>
      <c r="F18" s="44" t="n"/>
      <c r="G18" s="6" t="inlineStr">
        <is>
          <t>Next formal review</t>
        </is>
      </c>
      <c r="H18" s="27" t="inlineStr">
        <is>
          <t>Before pricing certification and before 2026-09-04 submission</t>
        </is>
      </c>
      <c r="I18" s="43" t="n"/>
      <c r="J18" s="44" t="n"/>
    </row>
    <row r="19" ht="48" customHeight="1">
      <c r="A19" s="6" t="inlineStr">
        <is>
          <t>Core contributors</t>
        </is>
      </c>
      <c r="B19" s="27" t="inlineStr">
        <is>
          <t>Amy McKay; assigned solution, integration, operations, support, finance, legal and executive sponsors</t>
        </is>
      </c>
      <c r="C19" s="44" t="n"/>
      <c r="D19" s="6" t="inlineStr">
        <is>
          <t>Review status</t>
        </is>
      </c>
      <c r="E19" s="27" t="inlineStr">
        <is>
          <t>RFP active / response build and validation in progress</t>
        </is>
      </c>
      <c r="F19" s="44" t="n"/>
      <c r="G19" s="6" t="inlineStr">
        <is>
          <t>Current critical test</t>
        </is>
      </c>
      <c r="H19" s="27" t="inlineStr">
        <is>
          <t>Can Global Payments convert the RFI claims into approved, priced commitments for third-party integrations and full asset lifecycle services?</t>
        </is>
      </c>
      <c r="I19" s="43" t="n"/>
      <c r="J19" s="44" t="n"/>
    </row>
    <row r="20" ht="48" customHeight="1">
      <c r="A20" s="6" t="inlineStr">
        <is>
          <t>Review expectation</t>
        </is>
      </c>
      <c r="B20" s="27" t="inlineStr">
        <is>
          <t>Update within the normal account workflow after a material input; conduct a structured team review at major pursuit gates.</t>
        </is>
      </c>
      <c r="C20" s="43" t="n"/>
      <c r="D20" s="43" t="n"/>
      <c r="E20" s="43" t="n"/>
      <c r="F20" s="43" t="n"/>
      <c r="G20" s="43" t="n"/>
      <c r="H20" s="43" t="n"/>
      <c r="I20" s="43" t="n"/>
      <c r="J20" s="44" t="n"/>
    </row>
  </sheetData>
  <mergeCells count="34">
    <mergeCell ref="B4:F4"/>
    <mergeCell ref="B7:F7"/>
    <mergeCell ref="A17:J17"/>
    <mergeCell ref="G4:J4"/>
    <mergeCell ref="B18:C18"/>
    <mergeCell ref="B12:F12"/>
    <mergeCell ref="G9:J9"/>
    <mergeCell ref="H19:J19"/>
    <mergeCell ref="E19:F19"/>
    <mergeCell ref="B11:F11"/>
    <mergeCell ref="G12:J12"/>
    <mergeCell ref="B14:F14"/>
    <mergeCell ref="G11:J11"/>
    <mergeCell ref="B8:F8"/>
    <mergeCell ref="B13:F13"/>
    <mergeCell ref="A1:J1"/>
    <mergeCell ref="B20:J20"/>
    <mergeCell ref="H18:J18"/>
    <mergeCell ref="G8:J8"/>
    <mergeCell ref="B19:C19"/>
    <mergeCell ref="B10:F10"/>
    <mergeCell ref="G7:J7"/>
    <mergeCell ref="B9:F9"/>
    <mergeCell ref="G10:J10"/>
    <mergeCell ref="G6:J6"/>
    <mergeCell ref="G13:J13"/>
    <mergeCell ref="B6:F6"/>
    <mergeCell ref="B15:F15"/>
    <mergeCell ref="B5:F5"/>
    <mergeCell ref="G15:J15"/>
    <mergeCell ref="A2:J2"/>
    <mergeCell ref="E18:F18"/>
    <mergeCell ref="G5:J5"/>
    <mergeCell ref="G14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10" defaultColWidth="8.83203125" defaultRowHeight="14"/>
  <cols>
    <col width="18" customWidth="1" min="1" max="1"/>
    <col width="22" customWidth="1" min="2" max="2"/>
    <col width="16" customWidth="1" min="3" max="4"/>
    <col width="22" customWidth="1" min="5" max="8"/>
  </cols>
  <sheetData>
    <row r="1" ht="28" customHeight="1">
      <c r="A1" s="11" t="inlineStr">
        <is>
          <t>CRITERIA STATEMENTS</t>
        </is>
      </c>
    </row>
    <row r="2" ht="22" customHeight="1">
      <c r="A2" s="12" t="inlineStr">
        <is>
          <t>Reference definitions for the five opportunity scorecard criteria.</t>
        </is>
      </c>
    </row>
    <row r="4" ht="16" customHeight="1">
      <c r="A4" s="28" t="inlineStr">
        <is>
          <t>Criterion</t>
        </is>
      </c>
      <c r="B4" s="28" t="inlineStr">
        <is>
          <t>Statement</t>
        </is>
      </c>
      <c r="C4" s="38" t="n"/>
      <c r="D4" s="39" t="n"/>
      <c r="E4" s="28" t="inlineStr">
        <is>
          <t>Qualification standard</t>
        </is>
      </c>
      <c r="F4" s="38" t="n"/>
      <c r="G4" s="38" t="n"/>
      <c r="H4" s="39" t="n"/>
    </row>
    <row r="5" ht="72" customHeight="1">
      <c r="A5" s="10" t="inlineStr">
        <is>
          <t>CRITERIA 1</t>
        </is>
      </c>
      <c r="B5" s="27" t="inlineStr">
        <is>
          <t>Sufficient budget exists.</t>
        </is>
      </c>
      <c r="C5" s="43" t="n"/>
      <c r="D5" s="44" t="n"/>
      <c r="E5" s="27" t="inlineStr">
        <is>
          <t>At least one High Degree of Influence Buying Influence has shared that sufficient budget exists for this buying decision.</t>
        </is>
      </c>
      <c r="F5" s="43" t="n"/>
      <c r="G5" s="43" t="n"/>
      <c r="H5" s="44" t="n"/>
    </row>
    <row r="6" ht="72" customHeight="1">
      <c r="A6" s="10" t="inlineStr">
        <is>
          <t>CRITERIA 2</t>
        </is>
      </c>
      <c r="B6" s="27" t="inlineStr">
        <is>
          <t>We have the access we need.</t>
        </is>
      </c>
      <c r="C6" s="43" t="n"/>
      <c r="D6" s="44" t="n"/>
      <c r="E6" s="27" t="inlineStr">
        <is>
          <t>We have met with, or are being provided the opportunity to meet with, the High Degree of Influence Buying Influences.</t>
        </is>
      </c>
      <c r="F6" s="43" t="n"/>
      <c r="G6" s="43" t="n"/>
      <c r="H6" s="44" t="n"/>
    </row>
    <row r="7" ht="72" customHeight="1">
      <c r="A7" s="10" t="inlineStr">
        <is>
          <t>CRITERIA 3</t>
        </is>
      </c>
      <c r="B7" s="27" t="inlineStr">
        <is>
          <t>We have a clear understanding of the customer’s buying process.</t>
        </is>
      </c>
      <c r="C7" s="43" t="n"/>
      <c r="D7" s="44" t="n"/>
      <c r="E7" s="27" t="inlineStr">
        <is>
          <t>We understand the cultural, financial or strategic drivers for change and have identified the approval steps, how decisions are made and the customer’s timing and priorities.</t>
        </is>
      </c>
      <c r="F7" s="43" t="n"/>
      <c r="G7" s="43" t="n"/>
      <c r="H7" s="44" t="n"/>
    </row>
    <row r="8" ht="72" customHeight="1">
      <c r="A8" s="10" t="inlineStr">
        <is>
          <t>CRITERIA 4</t>
        </is>
      </c>
      <c r="B8" s="27" t="inlineStr">
        <is>
          <t>We have a strong relationship with a supportive Economic Buying Influence.</t>
        </is>
      </c>
      <c r="C8" s="43" t="n"/>
      <c r="D8" s="44" t="n"/>
      <c r="E8" s="27" t="inlineStr">
        <is>
          <t>We have direct access to the Economic Buying Influence, who has a +3 rating or higher.</t>
        </is>
      </c>
      <c r="F8" s="43" t="n"/>
      <c r="G8" s="43" t="n"/>
      <c r="H8" s="44" t="n"/>
    </row>
    <row r="9" ht="72" customHeight="1">
      <c r="A9" s="10" t="inlineStr">
        <is>
          <t>CRITERIA 5</t>
        </is>
      </c>
      <c r="B9" s="27" t="inlineStr">
        <is>
          <t>We have at least one Coach.</t>
        </is>
      </c>
      <c r="C9" s="43" t="n"/>
      <c r="D9" s="44" t="n"/>
      <c r="E9" s="27" t="inlineStr">
        <is>
          <t>We have at least one Coach with High Degree of Influence. Every Coach must meet all three tests: we have credibility with the person; the person has credibility with the Buying Influences for this Single Sales Objective; and the person wants our solution above all others and will advocate for it.</t>
        </is>
      </c>
      <c r="F9" s="43" t="n"/>
      <c r="G9" s="43" t="n"/>
      <c r="H9" s="44" t="n"/>
    </row>
  </sheetData>
  <mergeCells count="14">
    <mergeCell ref="B5:D5"/>
    <mergeCell ref="E9:H9"/>
    <mergeCell ref="E8:H8"/>
    <mergeCell ref="B8:D8"/>
    <mergeCell ref="A2:H2"/>
    <mergeCell ref="B4:D4"/>
    <mergeCell ref="E6:H6"/>
    <mergeCell ref="E4:H4"/>
    <mergeCell ref="B9:D9"/>
    <mergeCell ref="E7:H7"/>
    <mergeCell ref="A1:H1"/>
    <mergeCell ref="B7:D7"/>
    <mergeCell ref="B6:D6"/>
    <mergeCell ref="E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STRATEGIC SELLING</t>
        </is>
      </c>
    </row>
    <row r="2" ht="22" customHeight="1">
      <c r="A2" s="12" t="inlineStr">
        <is>
          <t>Buying influences, wins/results, ratings, modes, strengths and red flags.</t>
        </is>
      </c>
    </row>
    <row r="4" ht="15" customHeight="1">
      <c r="A4" s="28" t="inlineStr">
        <is>
          <t>Concept</t>
        </is>
      </c>
      <c r="B4" s="39" t="n"/>
      <c r="C4" s="28" t="inlineStr">
        <is>
          <t>Definition / use</t>
        </is>
      </c>
      <c r="D4" s="38" t="n"/>
      <c r="E4" s="38" t="n"/>
      <c r="F4" s="38" t="n"/>
      <c r="G4" s="39" t="n"/>
      <c r="H4" s="28" t="inlineStr">
        <is>
          <t>Concept</t>
        </is>
      </c>
      <c r="I4" s="39" t="n"/>
      <c r="J4" s="28" t="inlineStr">
        <is>
          <t>Definition / use</t>
        </is>
      </c>
      <c r="K4" s="38" t="n"/>
      <c r="L4" s="38" t="n"/>
      <c r="M4" s="38" t="n"/>
      <c r="N4" s="39" t="n"/>
    </row>
    <row r="5" ht="66" customHeight="1">
      <c r="A5" s="32" t="inlineStr">
        <is>
          <t>STRENGTHS</t>
        </is>
      </c>
      <c r="B5" s="44" t="n"/>
      <c r="C5" s="27" t="inlineStr">
        <is>
          <t>Areas of differentiation; opportunities used to improve position; relevant to the current Single Sales Objective; can lessen price sensitivity.</t>
        </is>
      </c>
      <c r="D5" s="43" t="n"/>
      <c r="E5" s="43" t="n"/>
      <c r="F5" s="43" t="n"/>
      <c r="G5" s="44" t="n"/>
      <c r="H5" s="32" t="inlineStr">
        <is>
          <t>RED FLAGS</t>
        </is>
      </c>
      <c r="I5" s="44" t="n"/>
      <c r="J5" s="27" t="inlineStr">
        <is>
          <t>Critical information missing or unclear; new or uncontacted Buying Influences; reorganization; uncertainty about any information.</t>
        </is>
      </c>
      <c r="K5" s="43" t="n"/>
      <c r="L5" s="43" t="n"/>
      <c r="M5" s="43" t="n"/>
      <c r="N5" s="44" t="n"/>
    </row>
    <row r="6" ht="66" customHeight="1">
      <c r="A6" s="32" t="inlineStr">
        <is>
          <t>BUYING INFLUENCES</t>
        </is>
      </c>
      <c r="B6" s="44" t="n"/>
      <c r="C6" s="27" t="inlineStr">
        <is>
          <t>Economic (E): final approval and organizational impact. Technical (T): screens against specifications. User (U): judges impact on the job to be done. Coach (C): guides the sale and focuses on our success.</t>
        </is>
      </c>
      <c r="D6" s="43" t="n"/>
      <c r="E6" s="43" t="n"/>
      <c r="F6" s="43" t="n"/>
      <c r="G6" s="44" t="n"/>
      <c r="H6" s="32" t="inlineStr">
        <is>
          <t>COACH TEST</t>
        </is>
      </c>
      <c r="I6" s="44" t="n"/>
      <c r="J6" s="27" t="inlineStr">
        <is>
          <t>We have credibility; the person has credibility with Buying Influences; the person wants our solution above all others and will advocate for it.</t>
        </is>
      </c>
      <c r="K6" s="43" t="n"/>
      <c r="L6" s="43" t="n"/>
      <c r="M6" s="43" t="n"/>
      <c r="N6" s="44" t="n"/>
    </row>
    <row r="7" ht="66" customHeight="1">
      <c r="A7" s="32" t="inlineStr">
        <is>
          <t>WIN–RESULTS</t>
        </is>
      </c>
      <c r="B7" s="44" t="n"/>
      <c r="C7" s="27" t="inlineStr">
        <is>
          <t>Wins are personal and describe how a Buying Influence’s self-interest is served. Results describe the product/service impact on the Buying Influence’s business process.</t>
        </is>
      </c>
      <c r="D7" s="43" t="n"/>
      <c r="E7" s="43" t="n"/>
      <c r="F7" s="43" t="n"/>
      <c r="G7" s="44" t="n"/>
      <c r="H7" s="32" t="inlineStr">
        <is>
          <t>COMPETITIVE PREFERENCES</t>
        </is>
      </c>
      <c r="I7" s="44" t="n"/>
      <c r="J7" s="27" t="inlineStr">
        <is>
          <t>Buy from us; buy elsewhere; reuse funds; internal alternative; do nothing.</t>
        </is>
      </c>
      <c r="K7" s="43" t="n"/>
      <c r="L7" s="43" t="n"/>
      <c r="M7" s="43" t="n"/>
      <c r="N7" s="44" t="n"/>
    </row>
    <row r="8" ht="66" customHeight="1">
      <c r="A8" s="32" t="inlineStr">
        <is>
          <t>DEGREE OF INFLUENCE</t>
        </is>
      </c>
      <c r="B8" s="44" t="n"/>
      <c r="C8" s="27" t="inlineStr">
        <is>
          <t>High: dominant influence. Medium: some influence. Low: little influence.</t>
        </is>
      </c>
      <c r="D8" s="43" t="n"/>
      <c r="E8" s="43" t="n"/>
      <c r="F8" s="43" t="n"/>
      <c r="G8" s="44" t="n"/>
      <c r="H8" s="32" t="inlineStr">
        <is>
          <t>MODES</t>
        </is>
      </c>
      <c r="I8" s="44" t="n"/>
      <c r="J8" s="27" t="inlineStr">
        <is>
          <t>Growth (G); Trouble (T); Even Keel (EK); Overconfident (OC).</t>
        </is>
      </c>
      <c r="K8" s="43" t="n"/>
      <c r="L8" s="43" t="n"/>
      <c r="M8" s="43" t="n"/>
      <c r="N8" s="44" t="n"/>
    </row>
    <row r="9" ht="66" customHeight="1">
      <c r="A9" s="32" t="inlineStr">
        <is>
          <t>RATINGS +5 TO +1</t>
        </is>
      </c>
      <c r="B9" s="44" t="n"/>
      <c r="C9" s="27" t="inlineStr">
        <is>
          <t>+5 proactively acts for us; +4 strongly supportive; +3 supportive and acts if asked; +2 interested; +1 no preference / follows others.</t>
        </is>
      </c>
      <c r="D9" s="43" t="n"/>
      <c r="E9" s="43" t="n"/>
      <c r="F9" s="43" t="n"/>
      <c r="G9" s="44" t="n"/>
      <c r="H9" s="32" t="inlineStr">
        <is>
          <t>RATINGS –1 TO –5</t>
        </is>
      </c>
      <c r="I9" s="44" t="n"/>
      <c r="J9" s="27" t="inlineStr">
        <is>
          <t>–1 low interest; –2 resists; –3 negative and helps competitor if asked; –4 very negative; –5 proactively acts against us.</t>
        </is>
      </c>
      <c r="K9" s="43" t="n"/>
      <c r="L9" s="43" t="n"/>
      <c r="M9" s="43" t="n"/>
      <c r="N9" s="44" t="n"/>
    </row>
    <row r="10" ht="66" customHeight="1">
      <c r="A10" s="32" t="inlineStr">
        <is>
          <t>WIN–WIN</t>
        </is>
      </c>
      <c r="B10" s="44" t="n"/>
      <c r="C10" s="27" t="inlineStr">
        <is>
          <t>Create a strong strategy that leverages Strengths and minimizes or eliminates Red Flags.</t>
        </is>
      </c>
      <c r="D10" s="43" t="n"/>
      <c r="E10" s="43" t="n"/>
      <c r="F10" s="43" t="n"/>
      <c r="G10" s="44" t="n"/>
      <c r="H10" s="32" t="inlineStr">
        <is>
          <t>ACTION USE</t>
        </is>
      </c>
      <c r="I10" s="44" t="n"/>
      <c r="J10" s="27" t="inlineStr">
        <is>
          <t>For each key Buying Influence, record role, influence, mode, personal win, business result, preference, rating, access and next action.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10" defaultColWidth="8.83203125" defaultRowHeight="14"/>
  <cols>
    <col width="13" customWidth="1" min="1" max="14"/>
  </cols>
  <sheetData>
    <row r="1" ht="28" customHeight="1">
      <c r="A1" s="11" t="inlineStr">
        <is>
          <t>CONCEPT CARD — PERSPECTIVE &amp; REVIEW</t>
        </is>
      </c>
    </row>
    <row r="2" ht="22" customHeight="1">
      <c r="A2" s="12" t="inlineStr">
        <is>
          <t>Perspective, objectives, action development and Blue Sheet review cadence.</t>
        </is>
      </c>
    </row>
    <row r="4" ht="15" customHeight="1">
      <c r="A4" s="28" t="inlineStr">
        <is>
          <t>Topic / time</t>
        </is>
      </c>
      <c r="B4" s="39" t="n"/>
      <c r="C4" s="28" t="inlineStr">
        <is>
          <t>Guidance</t>
        </is>
      </c>
      <c r="D4" s="38" t="n"/>
      <c r="E4" s="38" t="n"/>
      <c r="F4" s="38" t="n"/>
      <c r="G4" s="39" t="n"/>
      <c r="H4" s="28" t="inlineStr">
        <is>
          <t>Topic / time</t>
        </is>
      </c>
      <c r="I4" s="39" t="n"/>
      <c r="J4" s="28" t="inlineStr">
        <is>
          <t>Guidance</t>
        </is>
      </c>
      <c r="K4" s="38" t="n"/>
      <c r="L4" s="38" t="n"/>
      <c r="M4" s="38" t="n"/>
      <c r="N4" s="39" t="n"/>
    </row>
    <row r="5" ht="66" customHeight="1">
      <c r="A5" s="32" t="inlineStr">
        <is>
          <t>What is Perspective?</t>
        </is>
      </c>
      <c r="B5" s="44" t="n"/>
      <c r="C5" s="27" t="inlineStr">
        <is>
          <t>Knowledge or insight that expands a customer’s understanding of one or more business issues.</t>
        </is>
      </c>
      <c r="D5" s="43" t="n"/>
      <c r="E5" s="43" t="n"/>
      <c r="F5" s="43" t="n"/>
      <c r="G5" s="44" t="n"/>
      <c r="H5" s="32" t="inlineStr">
        <is>
          <t>Providing Perspective</t>
        </is>
      </c>
      <c r="I5" s="44" t="n"/>
      <c r="J5" s="27" t="inlineStr">
        <is>
          <t>Adopt an expansive mindset; use insight and expertise to benefit both the customer and seller.</t>
        </is>
      </c>
      <c r="K5" s="43" t="n"/>
      <c r="L5" s="43" t="n"/>
      <c r="M5" s="43" t="n"/>
      <c r="N5" s="44" t="n"/>
    </row>
    <row r="6" ht="66" customHeight="1">
      <c r="A6" s="32" t="inlineStr">
        <is>
          <t>Customer’s Stated Objective</t>
        </is>
      </c>
      <c r="B6" s="44" t="n"/>
      <c r="C6" s="27" t="inlineStr">
        <is>
          <t>A threat the customer wants to resolve or an opportunity the customer wants to capitalize on.</t>
        </is>
      </c>
      <c r="D6" s="43" t="n"/>
      <c r="E6" s="43" t="n"/>
      <c r="F6" s="43" t="n"/>
      <c r="G6" s="44" t="n"/>
      <c r="H6" s="32" t="inlineStr">
        <is>
          <t>Evaluation of Objective</t>
        </is>
      </c>
      <c r="I6" s="44" t="n"/>
      <c r="J6" s="27" t="inlineStr">
        <is>
          <t>Examine the stated objective for ways to add value and insight beyond the customer’s expectations.</t>
        </is>
      </c>
      <c r="K6" s="43" t="n"/>
      <c r="L6" s="43" t="n"/>
      <c r="M6" s="43" t="n"/>
      <c r="N6" s="44" t="n"/>
    </row>
    <row r="7" ht="66" customHeight="1">
      <c r="A7" s="32" t="inlineStr">
        <is>
          <t>Single Sales Objective</t>
        </is>
      </c>
      <c r="B7" s="44" t="n"/>
      <c r="C7" s="27" t="inlineStr">
        <is>
          <t>Company/specific area + product/service/solution + sales revenue/other units + close date. It should be specific, clear, concise, measurable and tied to time.</t>
        </is>
      </c>
      <c r="D7" s="43" t="n"/>
      <c r="E7" s="43" t="n"/>
      <c r="F7" s="43" t="n"/>
      <c r="G7" s="44" t="n"/>
      <c r="H7" s="32" t="inlineStr">
        <is>
          <t>Four Perspective Strategies</t>
        </is>
      </c>
      <c r="I7" s="44" t="n"/>
      <c r="J7" s="27" t="inlineStr">
        <is>
          <t>Unrecognized Problem; Unanticipated Solution; Unseen Opportunity; Broker of Capabilities.</t>
        </is>
      </c>
      <c r="K7" s="43" t="n"/>
      <c r="L7" s="43" t="n"/>
      <c r="M7" s="43" t="n"/>
      <c r="N7" s="44" t="n"/>
    </row>
    <row r="8" ht="66" customHeight="1">
      <c r="A8" s="32" t="inlineStr">
        <is>
          <t>5 minutes</t>
        </is>
      </c>
      <c r="B8" s="44" t="n"/>
      <c r="C8" s="27" t="inlineStr">
        <is>
          <t>Blue Sheet Owner tells the story without interruption.</t>
        </is>
      </c>
      <c r="D8" s="43" t="n"/>
      <c r="E8" s="43" t="n"/>
      <c r="F8" s="43" t="n"/>
      <c r="G8" s="44" t="n"/>
      <c r="H8" s="32" t="inlineStr">
        <is>
          <t>15 minutes</t>
        </is>
      </c>
      <c r="I8" s="44" t="n"/>
      <c r="J8" s="27" t="inlineStr">
        <is>
          <t>Team asks questions to uncover additional Red Flags.</t>
        </is>
      </c>
      <c r="K8" s="43" t="n"/>
      <c r="L8" s="43" t="n"/>
      <c r="M8" s="43" t="n"/>
      <c r="N8" s="44" t="n"/>
    </row>
    <row r="9" ht="66" customHeight="1">
      <c r="A9" s="32" t="inlineStr">
        <is>
          <t>10 minutes</t>
        </is>
      </c>
      <c r="B9" s="44" t="n"/>
      <c r="C9" s="27" t="inlineStr">
        <is>
          <t>Team asks questions to uncover additional Strengths.</t>
        </is>
      </c>
      <c r="D9" s="43" t="n"/>
      <c r="E9" s="43" t="n"/>
      <c r="F9" s="43" t="n"/>
      <c r="G9" s="44" t="n"/>
      <c r="H9" s="32" t="inlineStr">
        <is>
          <t>5 minutes</t>
        </is>
      </c>
      <c r="I9" s="44" t="n"/>
      <c r="J9" s="27" t="inlineStr">
        <is>
          <t>Team considers opportunities to provide perspective.</t>
        </is>
      </c>
      <c r="K9" s="43" t="n"/>
      <c r="L9" s="43" t="n"/>
      <c r="M9" s="43" t="n"/>
      <c r="N9" s="44" t="n"/>
    </row>
    <row r="10" ht="66" customHeight="1">
      <c r="A10" s="32" t="inlineStr">
        <is>
          <t>15 minutes</t>
        </is>
      </c>
      <c r="B10" s="44" t="n"/>
      <c r="C10" s="27" t="inlineStr">
        <is>
          <t>Team brainstorms possible actions and information needed.</t>
        </is>
      </c>
      <c r="D10" s="43" t="n"/>
      <c r="E10" s="43" t="n"/>
      <c r="F10" s="43" t="n"/>
      <c r="G10" s="44" t="n"/>
      <c r="H10" s="32" t="inlineStr">
        <is>
          <t>10 minutes</t>
        </is>
      </c>
      <c r="I10" s="44" t="n"/>
      <c r="J10" s="27" t="inlineStr">
        <is>
          <t>Team selects the Best Action Plan: highest priority, owner, recipient and timing.</t>
        </is>
      </c>
      <c r="K10" s="43" t="n"/>
      <c r="L10" s="43" t="n"/>
      <c r="M10" s="43" t="n"/>
      <c r="N10" s="44" t="n"/>
    </row>
  </sheetData>
  <mergeCells count="30">
    <mergeCell ref="C6:G6"/>
    <mergeCell ref="H10:I10"/>
    <mergeCell ref="J5:N5"/>
    <mergeCell ref="J10:N10"/>
    <mergeCell ref="C5:G5"/>
    <mergeCell ref="H4:I4"/>
    <mergeCell ref="A6:B6"/>
    <mergeCell ref="H9:I9"/>
    <mergeCell ref="A1:N1"/>
    <mergeCell ref="J9:N9"/>
    <mergeCell ref="C4:G4"/>
    <mergeCell ref="H6:I6"/>
    <mergeCell ref="A7:B7"/>
    <mergeCell ref="C10:G10"/>
    <mergeCell ref="J6:N6"/>
    <mergeCell ref="C9:G9"/>
    <mergeCell ref="J4:N4"/>
    <mergeCell ref="H7:I7"/>
    <mergeCell ref="J7:N7"/>
    <mergeCell ref="A2:N2"/>
    <mergeCell ref="A5:B5"/>
    <mergeCell ref="C8:G8"/>
    <mergeCell ref="A8:B8"/>
    <mergeCell ref="A4:B4"/>
    <mergeCell ref="C7:G7"/>
    <mergeCell ref="A10:B10"/>
    <mergeCell ref="H5:I5"/>
    <mergeCell ref="H8:I8"/>
    <mergeCell ref="A9:B9"/>
    <mergeCell ref="J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2026-08-21T20:16:52Z</dcterms:created>
  <dcterms:modified xmlns:dcterms="http://purl.org/dc/terms/" xmlns:xsi="http://www.w3.org/2001/XMLSchema-instance" xsi:type="dcterms:W3CDTF">2026-09-02T15:07:21Z</dcterms:modified>
  <cp:lastModifiedBy>Vahlsing, Todd</cp:lastModifiedBy>
</cp:coreProperties>
</file>