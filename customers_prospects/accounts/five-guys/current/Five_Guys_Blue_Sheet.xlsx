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60" yWindow="-21600" windowWidth="38400" windowHeight="21600" tabRatio="600" firstSheet="0" activeTab="2" autoFilterDateGrouping="1"/>
  </bookViews>
  <sheets>
    <sheet xmlns:r="http://schemas.openxmlformats.org/officeDocument/2006/relationships" name="Blue Sheet" sheetId="1" state="visible" r:id="rId1"/>
    <sheet xmlns:r="http://schemas.openxmlformats.org/officeDocument/2006/relationships" name="Brand" sheetId="2" state="visible" r:id="rId2"/>
    <sheet xmlns:r="http://schemas.openxmlformats.org/officeDocument/2006/relationships" name="Technology Stack" sheetId="3" state="visible" r:id="rId3"/>
    <sheet xmlns:r="http://schemas.openxmlformats.org/officeDocument/2006/relationships" name="Actions &amp; Decisions" sheetId="4" state="visible" r:id="rId4"/>
    <sheet xmlns:r="http://schemas.openxmlformats.org/officeDocument/2006/relationships" name="Commercial Model" sheetId="5" state="visible" r:id="rId5"/>
    <sheet xmlns:r="http://schemas.openxmlformats.org/officeDocument/2006/relationships" name="Presentation View 1" sheetId="6" state="visible" r:id="rId6"/>
    <sheet xmlns:r="http://schemas.openxmlformats.org/officeDocument/2006/relationships" name="Presentation View 2" sheetId="7" state="visible" r:id="rId7"/>
    <sheet xmlns:r="http://schemas.openxmlformats.org/officeDocument/2006/relationships" name="Method &amp; Governance" sheetId="8" state="visible" r:id="rId8"/>
    <sheet xmlns:r="http://schemas.openxmlformats.org/officeDocument/2006/relationships" name="Criteria Statements" sheetId="9" state="visible" r:id="rId9"/>
    <sheet xmlns:r="http://schemas.openxmlformats.org/officeDocument/2006/relationships" name="Concept Card side 1" sheetId="10" state="visible" r:id="rId10"/>
    <sheet xmlns:r="http://schemas.openxmlformats.org/officeDocument/2006/relationships" name="Concept Card side 2" sheetId="11" state="visible" r:id="rId11"/>
  </sheets>
  <definedNames/>
  <calcPr calcId="191029" fullCalcOnLoad="1"/>
</workbook>
</file>

<file path=xl/styles.xml><?xml version="1.0" encoding="utf-8"?>
<styleSheet xmlns="http://schemas.openxmlformats.org/spreadsheetml/2006/main">
  <numFmts count="1">
    <numFmt numFmtId="164" formatCode="yyyy\-mm\-dd"/>
  </numFmts>
  <fonts count="11">
    <font>
      <name val="Carlito"/>
      <sz val="11"/>
    </font>
    <font>
      <name val="Carlito"/>
      <b val="1"/>
      <color rgb="FFFFFFFF"/>
      <sz val="16"/>
    </font>
    <font>
      <name val="Carlito"/>
      <i val="1"/>
      <color rgb="FF555555"/>
      <sz val="11"/>
    </font>
    <font>
      <name val="Carlito"/>
      <b val="1"/>
      <color rgb="FFFFFFFF"/>
      <sz val="11"/>
    </font>
    <font>
      <name val="Carlito"/>
      <b val="1"/>
      <sz val="11"/>
    </font>
    <font>
      <name val="Carlito"/>
      <b val="1"/>
      <color rgb="FF183A61"/>
      <sz val="11"/>
    </font>
    <font>
      <name val="Carlito"/>
      <b val="1"/>
      <color rgb="FF1F2937"/>
      <sz val="11"/>
    </font>
    <font>
      <name val="Carlito"/>
      <color rgb="FF1F2937"/>
      <sz val="11"/>
    </font>
    <font>
      <name val="Carlito"/>
      <b val="1"/>
      <color rgb="FF27632A"/>
      <sz val="11"/>
    </font>
    <font>
      <name val="Carlito"/>
      <b val="1"/>
      <color rgb="FFA61B1B"/>
      <sz val="11"/>
    </font>
    <font>
      <name val="Carlito"/>
      <b val="1"/>
      <color rgb="FF2FA8DD"/>
      <sz val="11"/>
    </font>
  </fonts>
  <fills count="10">
    <fill>
      <patternFill/>
    </fill>
    <fill>
      <patternFill patternType="gray125"/>
    </fill>
    <fill>
      <patternFill patternType="solid">
        <fgColor rgb="FF183A61"/>
      </patternFill>
    </fill>
    <fill>
      <patternFill patternType="solid">
        <fgColor rgb="FF858585"/>
      </patternFill>
    </fill>
    <fill>
      <patternFill patternType="solid">
        <fgColor rgb="FFD9E6F2"/>
      </patternFill>
    </fill>
    <fill>
      <patternFill patternType="solid">
        <fgColor rgb="FFB8CEE4"/>
      </patternFill>
    </fill>
    <fill>
      <patternFill patternType="solid">
        <fgColor rgb="FFFFF2CC"/>
      </patternFill>
    </fill>
    <fill>
      <patternFill patternType="solid">
        <fgColor rgb="FFE2F0D9"/>
      </patternFill>
    </fill>
    <fill>
      <patternFill patternType="solid">
        <fgColor rgb="FFFCE4D6"/>
      </patternFill>
    </fill>
    <fill>
      <patternFill patternType="solid">
        <fgColor rgb="FFDDEBF7"/>
      </patternFill>
    </fill>
  </fills>
  <borders count="22">
    <border>
      <left/>
      <right/>
      <top/>
      <bottom/>
      <diagonal/>
    </border>
    <border>
      <left style="thin">
        <color rgb="FF7F8C99"/>
      </left>
      <right style="thin">
        <color rgb="FF7F8C99"/>
      </right>
      <top style="thin">
        <color rgb="FF7F8C99"/>
      </top>
      <bottom style="thin">
        <color rgb="FF7F8C99"/>
      </bottom>
      <diagonal/>
    </border>
    <border>
      <left style="thin">
        <color rgb="FF7F8C99"/>
      </left>
      <right/>
      <top style="thin">
        <color rgb="FF7F8C99"/>
      </top>
      <bottom/>
      <diagonal/>
    </border>
    <border>
      <left/>
      <right/>
      <top style="thin">
        <color rgb="FF7F8C99"/>
      </top>
      <bottom/>
      <diagonal/>
    </border>
    <border>
      <left/>
      <right style="thin">
        <color rgb="FF7F8C99"/>
      </right>
      <top style="thin">
        <color rgb="FF7F8C99"/>
      </top>
      <bottom/>
      <diagonal/>
    </border>
    <border>
      <left style="thin">
        <color rgb="FF7F8C99"/>
      </left>
      <right/>
      <top/>
      <bottom/>
      <diagonal/>
    </border>
    <border>
      <left/>
      <right style="thin">
        <color rgb="FF7F8C99"/>
      </right>
      <top/>
      <bottom/>
      <diagonal/>
    </border>
    <border>
      <left style="thin">
        <color rgb="FF7F8C99"/>
      </left>
      <right/>
      <top/>
      <bottom style="thin">
        <color rgb="FF7F8C99"/>
      </bottom>
      <diagonal/>
    </border>
    <border>
      <left/>
      <right/>
      <top/>
      <bottom style="thin">
        <color rgb="FF7F8C99"/>
      </bottom>
      <diagonal/>
    </border>
    <border>
      <left/>
      <right style="thin">
        <color rgb="FF7F8C99"/>
      </right>
      <top/>
      <bottom style="thin">
        <color rgb="FF7F8C99"/>
      </bottom>
      <diagonal/>
    </border>
    <border>
      <left style="thin">
        <color rgb="FF9AA9B6"/>
      </left>
      <right style="thin">
        <color rgb="FF9AA9B6"/>
      </right>
      <top style="thin">
        <color rgb="FF9AA9B6"/>
      </top>
      <bottom style="thin">
        <color rgb="FF9AA9B6"/>
      </bottom>
      <diagonal/>
    </border>
    <border>
      <left/>
      <right/>
      <top style="thin">
        <color rgb="FF9AA9B6"/>
      </top>
      <bottom/>
      <diagonal/>
    </border>
    <border>
      <left/>
      <right style="thin">
        <color rgb="FF9AA9B6"/>
      </right>
      <top style="thin">
        <color rgb="FF9AA9B6"/>
      </top>
      <bottom/>
      <diagonal/>
    </border>
    <border>
      <left/>
      <right/>
      <top style="thin">
        <color rgb="FF9AA9B6"/>
      </top>
      <bottom style="thin">
        <color rgb="FF9AA9B6"/>
      </bottom>
      <diagonal/>
    </border>
    <border>
      <left/>
      <right style="thin">
        <color rgb="FF9AA9B6"/>
      </right>
      <top style="thin">
        <color rgb="FF9AA9B6"/>
      </top>
      <bottom style="thin">
        <color rgb="FF9AA9B6"/>
      </bottom>
      <diagonal/>
    </border>
    <border>
      <left style="thin">
        <color rgb="FF9AA9B6"/>
      </left>
      <right/>
      <top/>
      <bottom/>
      <diagonal/>
    </border>
    <border>
      <left/>
      <right style="thin">
        <color rgb="FF9AA9B6"/>
      </right>
      <top/>
      <bottom/>
      <diagonal/>
    </border>
    <border>
      <left style="thin">
        <color rgb="FF9AA9B6"/>
      </left>
      <right/>
      <top/>
      <bottom style="thin">
        <color rgb="FF9AA9B6"/>
      </bottom>
      <diagonal/>
    </border>
    <border>
      <left/>
      <right/>
      <top/>
      <bottom style="thin">
        <color rgb="FF9AA9B6"/>
      </bottom>
      <diagonal/>
    </border>
    <border>
      <left/>
      <right style="thin">
        <color rgb="FF9AA9B6"/>
      </right>
      <top/>
      <bottom style="thin">
        <color rgb="FF9AA9B6"/>
      </bottom>
      <diagonal/>
    </border>
    <border>
      <left/>
      <right/>
      <top style="thin">
        <color rgb="FF7F8C99"/>
      </top>
      <bottom style="thin">
        <color rgb="FF7F8C99"/>
      </bottom>
      <diagonal/>
    </border>
    <border>
      <left/>
      <right style="thin">
        <color rgb="FF7F8C99"/>
      </right>
      <top style="thin">
        <color rgb="FF7F8C99"/>
      </top>
      <bottom style="thin">
        <color rgb="FF7F8C99"/>
      </bottom>
      <diagonal/>
    </border>
  </borders>
  <cellStyleXfs count="1">
    <xf numFmtId="0" fontId="0" fillId="0" borderId="0"/>
  </cellStyleXfs>
  <cellXfs count="52">
    <xf numFmtId="0" fontId="0" fillId="0" borderId="0" pivotButton="0" quotePrefix="0" xfId="0"/>
    <xf numFmtId="0" fontId="0" fillId="0" borderId="1" applyAlignment="1" pivotButton="0" quotePrefix="0" xfId="0">
      <alignment vertical="top" wrapText="1"/>
    </xf>
    <xf numFmtId="0" fontId="4" fillId="4" borderId="1" applyAlignment="1" pivotButton="0" quotePrefix="0" xfId="0">
      <alignment vertical="top" wrapText="1"/>
    </xf>
    <xf numFmtId="0" fontId="6" fillId="4" borderId="1" applyAlignment="1" pivotButton="0" quotePrefix="0" xfId="0">
      <alignment wrapText="1"/>
    </xf>
    <xf numFmtId="0" fontId="7" fillId="5" borderId="10" applyAlignment="1" pivotButton="0" quotePrefix="0" xfId="0">
      <alignment vertical="top" wrapText="1"/>
    </xf>
    <xf numFmtId="0" fontId="6" fillId="6" borderId="1" pivotButton="0" quotePrefix="0" xfId="0"/>
    <xf numFmtId="0" fontId="6" fillId="4" borderId="10" applyAlignment="1" pivotButton="0" quotePrefix="0" xfId="0">
      <alignment vertical="top" wrapText="1"/>
    </xf>
    <xf numFmtId="4" fontId="7" fillId="5" borderId="10" applyAlignment="1" pivotButton="0" quotePrefix="0" xfId="0">
      <alignment vertical="top" wrapText="1"/>
    </xf>
    <xf numFmtId="10" fontId="7" fillId="5" borderId="10" applyAlignment="1" pivotButton="0" quotePrefix="0" xfId="0">
      <alignment vertical="top" wrapText="1"/>
    </xf>
    <xf numFmtId="0" fontId="5" fillId="4" borderId="1" applyAlignment="1" pivotButton="0" quotePrefix="0" xfId="0">
      <alignment vertical="top" wrapText="1"/>
    </xf>
    <xf numFmtId="0" fontId="10" fillId="9" borderId="1" applyAlignment="1" pivotButton="0" quotePrefix="0" xfId="0">
      <alignment vertical="top" wrapText="1"/>
    </xf>
    <xf numFmtId="0" fontId="1" fillId="2" borderId="0" applyAlignment="1" pivotButton="0" quotePrefix="0" xfId="0">
      <alignment vertical="center"/>
    </xf>
    <xf numFmtId="0" fontId="2" fillId="0" borderId="0" applyAlignment="1" pivotButton="0" quotePrefix="0" xfId="0">
      <alignment wrapText="1"/>
    </xf>
    <xf numFmtId="0" fontId="3" fillId="3" borderId="0"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top" wrapText="1"/>
    </xf>
    <xf numFmtId="0" fontId="5" fillId="5" borderId="2" applyAlignment="1" pivotButton="0" quotePrefix="0" xfId="0">
      <alignment vertical="center" wrapText="1"/>
    </xf>
    <xf numFmtId="0" fontId="5" fillId="5" borderId="3" applyAlignment="1" pivotButton="0" quotePrefix="0" xfId="0">
      <alignment vertical="center" wrapText="1"/>
    </xf>
    <xf numFmtId="0" fontId="5" fillId="5" borderId="4" applyAlignment="1" pivotButton="0" quotePrefix="0" xfId="0">
      <alignment vertical="center" wrapText="1"/>
    </xf>
    <xf numFmtId="0" fontId="5" fillId="5" borderId="5" applyAlignment="1" pivotButton="0" quotePrefix="0" xfId="0">
      <alignment vertical="center" wrapText="1"/>
    </xf>
    <xf numFmtId="0" fontId="5" fillId="5" borderId="0" applyAlignment="1" pivotButton="0" quotePrefix="0" xfId="0">
      <alignment vertical="center" wrapText="1"/>
    </xf>
    <xf numFmtId="0" fontId="5" fillId="5" borderId="6" applyAlignment="1" pivotButton="0" quotePrefix="0" xfId="0">
      <alignment vertical="center" wrapText="1"/>
    </xf>
    <xf numFmtId="0" fontId="5" fillId="5" borderId="7" applyAlignment="1" pivotButton="0" quotePrefix="0" xfId="0">
      <alignment vertical="center" wrapText="1"/>
    </xf>
    <xf numFmtId="0" fontId="5" fillId="5" borderId="8" applyAlignment="1" pivotButton="0" quotePrefix="0" xfId="0">
      <alignment vertical="center" wrapText="1"/>
    </xf>
    <xf numFmtId="0" fontId="5" fillId="5" borderId="9" applyAlignment="1" pivotButton="0" quotePrefix="0" xfId="0">
      <alignment vertical="center" wrapText="1"/>
    </xf>
    <xf numFmtId="0" fontId="3" fillId="3" borderId="1" pivotButton="0" quotePrefix="0" xfId="0"/>
    <xf numFmtId="0" fontId="6" fillId="6" borderId="1" pivotButton="0" quotePrefix="0" xfId="0"/>
    <xf numFmtId="0" fontId="7" fillId="5" borderId="10" applyAlignment="1" pivotButton="0" quotePrefix="0" xfId="0">
      <alignment vertical="top" wrapText="1"/>
    </xf>
    <xf numFmtId="0" fontId="6" fillId="4" borderId="1" applyAlignment="1" pivotButton="0" quotePrefix="0" xfId="0">
      <alignment wrapText="1"/>
    </xf>
    <xf numFmtId="0" fontId="8" fillId="7" borderId="0" pivotButton="0" quotePrefix="0" xfId="0"/>
    <xf numFmtId="0" fontId="9" fillId="8" borderId="0" pivotButton="0" quotePrefix="0" xfId="0"/>
    <xf numFmtId="164" fontId="7" fillId="5" borderId="10" applyAlignment="1" pivotButton="0" quotePrefix="0" xfId="0">
      <alignment vertical="top" wrapText="1"/>
    </xf>
    <xf numFmtId="0" fontId="5" fillId="4" borderId="10" applyAlignment="1" pivotButton="0" quotePrefix="0" xfId="0">
      <alignment vertical="top" wrapText="1"/>
    </xf>
    <xf numFmtId="0" fontId="5" fillId="5" borderId="1" applyAlignment="1" pivotButton="0" quotePrefix="0" xfId="0">
      <alignment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20" pivotButton="0" quotePrefix="0" xfId="0"/>
    <xf numFmtId="0" fontId="0" fillId="0" borderId="21"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3" pivotButton="0" quotePrefix="0" xfId="0"/>
    <xf numFmtId="0" fontId="0" fillId="0" borderId="14" pivotButton="0" quotePrefix="0" xfId="0"/>
    <xf numFmtId="0" fontId="0" fillId="0" borderId="11" pivotButton="0" quotePrefix="0" xfId="0"/>
    <xf numFmtId="0" fontId="0" fillId="0" borderId="12"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showGridLines="0" topLeftCell="A21" workbookViewId="0">
      <selection activeCell="A1" sqref="A1:P1"/>
    </sheetView>
  </sheetViews>
  <sheetFormatPr baseColWidth="10" defaultColWidth="8.83203125" defaultRowHeight="14"/>
  <cols>
    <col width="30" customWidth="1" min="1" max="1"/>
    <col width="13" customWidth="1" min="2" max="2"/>
    <col width="15" customWidth="1" min="3" max="4"/>
    <col width="24" customWidth="1" min="5" max="6"/>
    <col width="20" customWidth="1" min="7" max="7"/>
    <col width="11" customWidth="1" min="8" max="8"/>
    <col width="27" customWidth="1" min="9" max="9"/>
    <col width="18" customWidth="1" min="10" max="11"/>
    <col width="14" customWidth="1" min="12" max="13"/>
    <col width="18" customWidth="1" min="14" max="14"/>
    <col width="20" customWidth="1" min="15" max="15"/>
    <col width="15" customWidth="1" min="16" max="16"/>
  </cols>
  <sheetData>
    <row r="1" ht="28" customHeight="1">
      <c r="A1" s="11" t="inlineStr">
        <is>
          <t>FIVE GUYS — STRATEGIC ANALYSIS</t>
        </is>
      </c>
    </row>
    <row r="2" ht="22" customHeight="1">
      <c r="A2" s="12" t="inlineStr">
        <is>
          <t>Executive working account plan | updated 2026-10-08</t>
        </is>
      </c>
    </row>
    <row r="4" ht="15" customHeight="1">
      <c r="A4" s="13" t="inlineStr">
        <is>
          <t>SINGLE SALES OBJECTIVE</t>
        </is>
      </c>
      <c r="E4" s="13" t="inlineStr">
        <is>
          <t>CUSTOMER'S STATED OBJECTIVE</t>
        </is>
      </c>
      <c r="K4" s="13" t="inlineStr">
        <is>
          <t>OPPORTUNITY SCORECARD</t>
        </is>
      </c>
    </row>
    <row r="5" ht="44" customHeight="1">
      <c r="A5" s="15" t="inlineStr">
        <is>
          <t>Date</t>
        </is>
      </c>
      <c r="B5" s="14" t="inlineStr">
        <is>
          <t>2026-10-08</t>
        </is>
      </c>
      <c r="C5" s="15" t="inlineStr">
        <is>
          <t>Salesperson</t>
        </is>
      </c>
      <c r="D5" s="14" t="inlineStr">
        <is>
          <t>Todd Vahlsing</t>
        </is>
      </c>
      <c r="E5" s="33" t="inlineStr">
        <is>
          <t>Continue working with Worldpay as the existing long-term payments relationship; no stated interest in evaluating Genius or other Global Payments solutions at this time.</t>
        </is>
      </c>
      <c r="F5" s="34" t="n"/>
      <c r="G5" s="34" t="n"/>
      <c r="H5" s="34" t="n"/>
      <c r="I5" s="34" t="n"/>
      <c r="J5" s="35" t="n"/>
      <c r="K5" s="28" t="inlineStr">
        <is>
          <t>Criterion</t>
        </is>
      </c>
      <c r="L5" s="28" t="inlineStr">
        <is>
          <t>Y/N/U</t>
        </is>
      </c>
      <c r="M5" s="28" t="inlineStr">
        <is>
          <t>Weight</t>
        </is>
      </c>
      <c r="N5" s="28" t="inlineStr">
        <is>
          <t>Points</t>
        </is>
      </c>
      <c r="O5" s="28" t="inlineStr">
        <is>
          <t>Current read</t>
        </is>
      </c>
      <c r="P5" s="28" t="inlineStr">
        <is>
          <t>Next step</t>
        </is>
      </c>
    </row>
    <row r="6" ht="44" customHeight="1">
      <c r="A6" s="15" t="inlineStr">
        <is>
          <t>Account</t>
        </is>
      </c>
      <c r="B6" s="14" t="inlineStr">
        <is>
          <t>Five Guys</t>
        </is>
      </c>
      <c r="C6" s="15" t="inlineStr">
        <is>
          <t>Company / area</t>
        </is>
      </c>
      <c r="D6" s="14" t="inlineStr">
        <is>
          <t>U.S. estate</t>
        </is>
      </c>
      <c r="E6" s="36" t="n"/>
      <c r="J6" s="37" t="n"/>
      <c r="K6" s="27" t="inlineStr">
        <is>
          <t>Sufficient budget exists</t>
        </is>
      </c>
      <c r="L6" s="27" t="inlineStr">
        <is>
          <t>U</t>
        </is>
      </c>
      <c r="M6" s="27" t="n">
        <v>20</v>
      </c>
      <c r="N6" s="27">
        <f>IF(L6="Y",M6,0)</f>
        <v/>
      </c>
      <c r="O6" s="27" t="inlineStr">
        <is>
          <t>No budget has been identified or discussed; there is no active evaluation to fund.</t>
        </is>
      </c>
      <c r="P6" s="27" t="inlineStr">
        <is>
          <t>Not applicable while the account remains on outreach hold.</t>
        </is>
      </c>
    </row>
    <row r="7" ht="44" customHeight="1">
      <c r="A7" s="15" t="inlineStr">
        <is>
          <t>Sales revenue / units</t>
        </is>
      </c>
      <c r="B7" s="14" t="inlineStr">
        <is>
          <t>[Sales revenue / units - current or planning-case estimate]</t>
        </is>
      </c>
      <c r="C7" s="15" t="inlineStr">
        <is>
          <t>Product / solution</t>
        </is>
      </c>
      <c r="D7" s="14" t="inlineStr">
        <is>
          <t>[Product / solution in scope]</t>
        </is>
      </c>
      <c r="E7" s="36" t="n"/>
      <c r="J7" s="37" t="n"/>
      <c r="K7" s="27" t="inlineStr">
        <is>
          <t>We have the access we need</t>
        </is>
      </c>
      <c r="L7" s="27" t="inlineStr">
        <is>
          <t>N</t>
        </is>
      </c>
      <c r="M7" s="27" t="n">
        <v>20</v>
      </c>
      <c r="N7" s="27">
        <f>IF(L7="Y",M7,0)</f>
        <v/>
      </c>
      <c r="O7" s="27" t="inlineStr">
        <is>
          <t>Direct access to MJ Worsham is explicitly declined. The only authorized path is through Avery Churchwell and Melissa Douglas, and only if they choose to reopen it.</t>
        </is>
      </c>
      <c r="P7" s="27" t="inlineStr">
        <is>
          <t>Wait for Avery or Melissa to reopen the path; do not contact Five Guys directly.</t>
        </is>
      </c>
    </row>
    <row r="8" ht="44" customHeight="1">
      <c r="A8" s="15" t="inlineStr">
        <is>
          <t>Close date</t>
        </is>
      </c>
      <c r="B8" s="14" t="inlineStr">
        <is>
          <t>[Close date or process stage]</t>
        </is>
      </c>
      <c r="C8" s="15" t="inlineStr">
        <is>
          <t>Customer timing</t>
        </is>
      </c>
      <c r="D8" s="14" t="inlineStr">
        <is>
          <t>[Customer timing, e.g. Active / Parked]</t>
        </is>
      </c>
      <c r="E8" s="36" t="n"/>
      <c r="J8" s="37" t="n"/>
      <c r="K8" s="27" t="inlineStr">
        <is>
          <t>Customer buying process is understood</t>
        </is>
      </c>
      <c r="L8" s="27" t="inlineStr">
        <is>
          <t>N</t>
        </is>
      </c>
      <c r="M8" s="27" t="n">
        <v>20</v>
      </c>
      <c r="N8" s="27">
        <f>IF(L8="Y",M8,0)</f>
        <v/>
      </c>
      <c r="O8" s="27" t="inlineStr">
        <is>
          <t>No RFI, RFP, budget, decision calendar, or evaluation team exists. MJ has explicitly declined evaluation.</t>
        </is>
      </c>
      <c r="P8" s="27" t="inlineStr">
        <is>
          <t>None while the account is closed to outreach.</t>
        </is>
      </c>
    </row>
    <row r="9" ht="62" customHeight="1">
      <c r="A9" s="15" t="inlineStr">
        <is>
          <t>Single sales objective</t>
        </is>
      </c>
      <c r="B9" s="14" t="inlineStr">
        <is>
          <t>No active sales objective. On 2026-09-04, MJ Worsham (VP, Restaurant Technology) told Global Payments that Five Guys is already working with Worldpay as a long-term customer and has no interest in evaluating any other Global Payments solutions at this time, and will work through Avery Churchwell and Melissa Douglas if that changes. The correct motion is account containment and Worldpay relationship stewardship -- not prospecting, meeting requests, or a product pitch.</t>
        </is>
      </c>
      <c r="C9" s="38" t="n"/>
      <c r="D9" s="39" t="n"/>
      <c r="E9" s="36" t="n"/>
      <c r="J9" s="37" t="n"/>
      <c r="K9" s="27" t="inlineStr">
        <is>
          <t>Supportive Economic Buying Influence</t>
        </is>
      </c>
      <c r="L9" s="27" t="inlineStr">
        <is>
          <t>N</t>
        </is>
      </c>
      <c r="M9" s="27" t="n">
        <v>20</v>
      </c>
      <c r="N9" s="27">
        <f>IF(L9="Y",M9,0)</f>
        <v/>
      </c>
      <c r="O9" s="27" t="inlineStr">
        <is>
          <t>MJ Worsham, the key operational technology gatekeeper, has explicitly declined to evaluate other Global Payments solutions.</t>
        </is>
      </c>
      <c r="P9" s="27" t="inlineStr">
        <is>
          <t>None while the account is closed to outreach.</t>
        </is>
      </c>
    </row>
    <row r="10" ht="44" customHeight="1">
      <c r="A10" s="15" t="inlineStr">
        <is>
          <t>Commercial hypothesis</t>
        </is>
      </c>
      <c r="B10" s="14" t="inlineStr">
        <is>
          <t>A capped, per-transaction technology-funding concept is under internal exploration only. It is not approved, priced, or presented to Five Guys and must not be represented as an available commercial offer unless the account is expressly reopened.</t>
        </is>
      </c>
      <c r="C10" s="38" t="n"/>
      <c r="D10" s="39" t="n"/>
      <c r="E10" s="40" t="n"/>
      <c r="F10" s="41" t="n"/>
      <c r="G10" s="41" t="n"/>
      <c r="H10" s="41" t="n"/>
      <c r="I10" s="41" t="n"/>
      <c r="J10" s="42" t="n"/>
      <c r="K10" s="27" t="inlineStr">
        <is>
          <t>At least one Coach</t>
        </is>
      </c>
      <c r="L10" s="27" t="inlineStr">
        <is>
          <t>N</t>
        </is>
      </c>
      <c r="M10" s="27" t="n">
        <v>20</v>
      </c>
      <c r="N10" s="27">
        <f>IF(L10="Y",M10,0)</f>
        <v/>
      </c>
      <c r="O10" s="27" t="inlineStr">
        <is>
          <t>No customer-side coach exists; the account is explicitly closed to proactive Genius outreach.</t>
        </is>
      </c>
      <c r="P10" s="27" t="inlineStr">
        <is>
          <t>None while the account is closed to outreach.</t>
        </is>
      </c>
    </row>
    <row r="11" ht="15" customHeight="1">
      <c r="K11" s="25" t="inlineStr">
        <is>
          <t>QUALIFICATION SCORE</t>
        </is>
      </c>
      <c r="L11" s="38" t="n"/>
      <c r="M11" s="39" t="n"/>
      <c r="N11" s="26">
        <f>SUM(N6:N10)</f>
        <v/>
      </c>
      <c r="O11" s="26" t="inlineStr">
        <is>
          <t>/ 100</t>
        </is>
      </c>
      <c r="P11" s="39" t="n"/>
    </row>
    <row r="12" ht="15" customHeight="1">
      <c r="A12" s="13" t="inlineStr">
        <is>
          <t>EUPHORIA–PANIC</t>
        </is>
      </c>
      <c r="E12" s="13" t="inlineStr">
        <is>
          <t>COMPETITION</t>
        </is>
      </c>
      <c r="K12" s="13" t="inlineStr">
        <is>
          <t>POSITION</t>
        </is>
      </c>
    </row>
    <row r="13" ht="42" customHeight="1">
      <c r="A13" s="6" t="inlineStr">
        <is>
          <t>Current state</t>
        </is>
      </c>
      <c r="B13" s="27" t="inlineStr">
        <is>
          <t>Declined / Hold</t>
        </is>
      </c>
      <c r="C13" s="43" t="n"/>
      <c r="D13" s="44" t="n"/>
      <c r="E13" s="27" t="inlineStr">
        <is>
          <t>No competitive displacement motion exists; Five Guys' primary payments relationship is already with Worldpay/Global Payments. The broader technology environment (PAR Brink, Olo, Crunchtime, with NCR reported in EMEA) describes the incumbent estate, not an active bidder set.</t>
        </is>
      </c>
      <c r="F13" s="45" t="n"/>
      <c r="G13" s="45" t="n"/>
      <c r="H13" s="45" t="n"/>
      <c r="I13" s="45" t="n"/>
      <c r="J13" s="46" t="n"/>
      <c r="K13" s="6" t="inlineStr">
        <is>
          <t>Place in funnel</t>
        </is>
      </c>
      <c r="L13" s="27" t="inlineStr">
        <is>
          <t>Contained / Hold (not in active funnel)</t>
        </is>
      </c>
      <c r="M13" s="27" t="n"/>
      <c r="N13" s="6" t="inlineStr">
        <is>
          <t>Position vs. competition</t>
        </is>
      </c>
      <c r="O13" s="27" t="inlineStr">
        <is>
          <t>Not applicable -- no active competitive motion.</t>
        </is>
      </c>
      <c r="P13" s="27" t="n"/>
    </row>
    <row r="14" ht="42" customHeight="1">
      <c r="A14" s="6" t="inlineStr">
        <is>
          <t>Reason</t>
        </is>
      </c>
      <c r="B14" s="27" t="inlineStr">
        <is>
          <t>MJ Worsham's direct written response on 2026-09-04 explicitly declined evaluation of any other Global Payments solutions; Melissa Douglas escalated the uncoordinated outreach internally as 'not a great look.' This is direct customer evidence, not an inferred objection.</t>
        </is>
      </c>
      <c r="C14" s="43" t="n"/>
      <c r="D14" s="44" t="n"/>
      <c r="E14" s="47" t="n"/>
      <c r="J14" s="48" t="n"/>
      <c r="K14" s="6" t="inlineStr">
        <is>
          <t>Customer priority</t>
        </is>
      </c>
      <c r="L14" s="27" t="inlineStr">
        <is>
          <t>Declined (explicit, 2026-09-04)</t>
        </is>
      </c>
      <c r="M14" s="27" t="n"/>
      <c r="N14" s="6" t="inlineStr">
        <is>
          <t>Only alternative / front-runner / shared / zero</t>
        </is>
      </c>
      <c r="O14" s="27" t="inlineStr">
        <is>
          <t>[Only alternative / front-runner / shared / zero]</t>
        </is>
      </c>
      <c r="P14" s="27" t="n"/>
    </row>
    <row r="15" ht="42" customHeight="1">
      <c r="A15" s="6" t="inlineStr">
        <is>
          <t>Timing</t>
        </is>
      </c>
      <c r="B15" s="27" t="inlineStr">
        <is>
          <t>No confirmed renewal, RFP, or replacement mandate. Worldpay's portfolio score (82, P1/Tier 1, #2 in portfolio) reflects strategic value, not an active buying window.</t>
        </is>
      </c>
      <c r="C15" s="43" t="n"/>
      <c r="D15" s="44" t="n"/>
      <c r="E15" s="49" t="n"/>
      <c r="F15" s="50" t="n"/>
      <c r="G15" s="50" t="n"/>
      <c r="H15" s="50" t="n"/>
      <c r="I15" s="50" t="n"/>
      <c r="J15" s="51" t="n"/>
      <c r="K15" s="6" t="inlineStr">
        <is>
          <t>Critical test</t>
        </is>
      </c>
      <c r="L15" s="27" t="inlineStr">
        <is>
          <t>Will Avery Churchwell or Melissa Douglas affirmatively reopen the Genius path?</t>
        </is>
      </c>
      <c r="M15" s="27" t="n"/>
      <c r="N15" s="6" t="inlineStr">
        <is>
          <t>Immediate move</t>
        </is>
      </c>
      <c r="O15" s="27" t="inlineStr">
        <is>
          <t>No outbound contact to Five Guys. Align internally on one owner, one message, one contact policy, and support the existing Worldpay relationship.</t>
        </is>
      </c>
      <c r="P15" s="27" t="n"/>
    </row>
    <row r="17" ht="15" customHeight="1">
      <c r="A17" s="13" t="inlineStr">
        <is>
          <t>BUYING INFLUENCES INVOLVED — NAME, TITLE, LOCATION • ROLE • INFLUENCE • MODE • WIN–RESULTS • COMPETITIVE POSITION</t>
        </is>
      </c>
    </row>
    <row r="18" ht="32" customHeight="1">
      <c r="A18" s="28" t="inlineStr">
        <is>
          <t>Name / title / location</t>
        </is>
      </c>
      <c r="B18" s="28" t="inlineStr">
        <is>
          <t>Role E/T/U/C</t>
        </is>
      </c>
      <c r="C18" s="28" t="inlineStr">
        <is>
          <t>Influence H/M/L</t>
        </is>
      </c>
      <c r="D18" s="28" t="inlineStr">
        <is>
          <t>Mode G/T/EK/OC</t>
        </is>
      </c>
      <c r="E18" s="28" t="inlineStr">
        <is>
          <t>Personal win</t>
        </is>
      </c>
      <c r="F18" s="28" t="inlineStr">
        <is>
          <t>Business result</t>
        </is>
      </c>
      <c r="G18" s="28" t="inlineStr">
        <is>
          <t>Competitive preference</t>
        </is>
      </c>
      <c r="H18" s="28" t="inlineStr">
        <is>
          <t>Rating +5/–5</t>
        </is>
      </c>
      <c r="I18" s="28" t="inlineStr">
        <is>
          <t>Current read</t>
        </is>
      </c>
      <c r="J18" s="28" t="inlineStr">
        <is>
          <t>Access / relationship</t>
        </is>
      </c>
      <c r="K18" s="28" t="inlineStr">
        <is>
          <t>Next step</t>
        </is>
      </c>
      <c r="L18" s="38" t="n"/>
      <c r="M18" s="38" t="n"/>
      <c r="N18" s="39" t="n"/>
      <c r="O18" s="28" t="inlineStr">
        <is>
          <t>Owner</t>
        </is>
      </c>
      <c r="P18" s="39" t="n"/>
    </row>
    <row r="19" ht="66" customHeight="1">
      <c r="A19" s="27" t="inlineStr">
        <is>
          <t>MJ Worsham — Vice President, Restaurant Technology</t>
        </is>
      </c>
      <c r="B19" s="27" t="inlineStr">
        <is>
          <t>U</t>
        </is>
      </c>
      <c r="C19" s="27" t="inlineStr">
        <is>
          <t>High</t>
        </is>
      </c>
      <c r="D19" s="27" t="inlineStr">
        <is>
          <t>Hold / Closed to outreach</t>
        </is>
      </c>
      <c r="E19" s="27" t="inlineStr">
        <is>
          <t>Unknown</t>
        </is>
      </c>
      <c r="F19" s="27" t="inlineStr">
        <is>
          <t>Unknown</t>
        </is>
      </c>
      <c r="G19" s="27" t="inlineStr">
        <is>
          <t>Declined any evaluation</t>
        </is>
      </c>
      <c r="H19" s="27" t="n">
        <v>-2</v>
      </c>
      <c r="I19" s="27" t="inlineStr">
        <is>
          <t>Key influential relationship and likely operational technology gatekeeper. On 2026-09-04 explicitly declined evaluation of any other Global Payments solutions and directed future contact through Avery Churchwell and Melissa Douglas.</t>
        </is>
      </c>
      <c r="J19" s="27" t="inlineStr">
        <is>
          <t>None -- direct contact declined</t>
        </is>
      </c>
      <c r="K19" s="27" t="inlineStr">
        <is>
          <t>No direct contact; wait for Avery/Melissa to reopen.</t>
        </is>
      </c>
      <c r="L19" s="43" t="n"/>
      <c r="M19" s="43" t="n"/>
      <c r="N19" s="44" t="n"/>
      <c r="O19" s="27" t="inlineStr">
        <is>
          <t>Todd Vahlsing</t>
        </is>
      </c>
      <c r="P19" s="44" t="n"/>
    </row>
    <row r="20" ht="66" customHeight="1">
      <c r="A20" s="27" t="inlineStr">
        <is>
          <t>Avery Churchwell — Worldpay relationship manager — internal (Worldpay)</t>
        </is>
      </c>
      <c r="B20" s="27" t="inlineStr">
        <is>
          <t>Internal account owner / designated routing path</t>
        </is>
      </c>
      <c r="C20" s="27" t="inlineStr">
        <is>
          <t>High (internal gatekeeper for any future path)</t>
        </is>
      </c>
      <c r="D20" s="27" t="inlineStr">
        <is>
          <t>Protective of the relationship</t>
        </is>
      </c>
      <c r="E20" s="27" t="inlineStr">
        <is>
          <t>Unknown</t>
        </is>
      </c>
      <c r="F20" s="27" t="inlineStr">
        <is>
          <t>Not applicable (internal)</t>
        </is>
      </c>
      <c r="G20" s="27" t="inlineStr">
        <is>
          <t>Not applicable (internal)</t>
        </is>
      </c>
      <c r="H20" s="27" t="n">
        <v>0</v>
      </c>
      <c r="I20" s="27" t="inlineStr">
        <is>
          <t>Internal account owner and the required coordination point for any Five Guys engagement. Raised the contact-fragmentation concern that led to the hold.</t>
        </is>
      </c>
      <c r="J20" s="27" t="inlineStr">
        <is>
          <t>Internal; controls the only authorized path back to Five Guys</t>
        </is>
      </c>
      <c r="K20" s="27" t="inlineStr">
        <is>
          <t>Wait for Avery to decide whether and when to reopen the path.</t>
        </is>
      </c>
      <c r="L20" s="43" t="n"/>
      <c r="M20" s="43" t="n"/>
      <c r="N20" s="44" t="n"/>
      <c r="O20" s="27" t="inlineStr">
        <is>
          <t>Todd Vahlsing</t>
        </is>
      </c>
      <c r="P20" s="44" t="n"/>
    </row>
    <row r="21" ht="66" customHeight="1">
      <c r="A21" s="27" t="inlineStr">
        <is>
          <t>Melissa Douglas — Internal (Worldpay side) — internal</t>
        </is>
      </c>
      <c r="B21" s="27" t="inlineStr">
        <is>
          <t>Internal escalation owner / designated routing path</t>
        </is>
      </c>
      <c r="C21" s="27" t="inlineStr">
        <is>
          <t>High (internal gatekeeper for any future path)</t>
        </is>
      </c>
      <c r="D21" s="27" t="inlineStr">
        <is>
          <t>Protective of the relationship</t>
        </is>
      </c>
      <c r="E21" s="27" t="inlineStr">
        <is>
          <t>Unknown</t>
        </is>
      </c>
      <c r="F21" s="27" t="inlineStr">
        <is>
          <t>Not applicable (internal)</t>
        </is>
      </c>
      <c r="G21" s="27" t="inlineStr">
        <is>
          <t>Not applicable (internal)</t>
        </is>
      </c>
      <c r="H21" s="27" t="n">
        <v>0</v>
      </c>
      <c r="I21" s="27" t="inlineStr">
        <is>
          <t>Forwarded MJ's decline to the internal team and escalated the uncoordinated outreach as 'not a great look.' Co-designated, with Avery, as the only route back in.</t>
        </is>
      </c>
      <c r="J21" s="27" t="inlineStr">
        <is>
          <t>Internal; controls the only authorized path back to Five Guys</t>
        </is>
      </c>
      <c r="K21" s="27" t="inlineStr">
        <is>
          <t>Wait for Melissa to decide whether and when to reopen the path.</t>
        </is>
      </c>
      <c r="L21" s="43" t="n"/>
      <c r="M21" s="43" t="n"/>
      <c r="N21" s="44" t="n"/>
      <c r="O21" s="27" t="inlineStr">
        <is>
          <t>Todd Vahlsing</t>
        </is>
      </c>
      <c r="P21" s="44" t="n"/>
    </row>
    <row r="22" ht="66" customHeight="1">
      <c r="A22" s="27" t="inlineStr">
        <is>
          <t>Zerrick Pearson — Chief Information Officer</t>
        </is>
      </c>
      <c r="B22" s="27" t="inlineStr">
        <is>
          <t>E? / U?</t>
        </is>
      </c>
      <c r="C22" s="27" t="inlineStr">
        <is>
          <t>Likely high (enterprise technology direction); exact role in POS/payments decisions unverified</t>
        </is>
      </c>
      <c r="D22" s="27" t="inlineStr">
        <is>
          <t>Unknown</t>
        </is>
      </c>
      <c r="E22" s="27" t="inlineStr">
        <is>
          <t>Unknown</t>
        </is>
      </c>
      <c r="F22" s="27" t="inlineStr">
        <is>
          <t>Unknown</t>
        </is>
      </c>
      <c r="G22" s="27" t="inlineStr">
        <is>
          <t>Unknown</t>
        </is>
      </c>
      <c r="H22" s="27" t="n">
        <v>0</v>
      </c>
      <c r="I22" s="27" t="inlineStr">
        <is>
          <t>Named internally as a priority relationship target and FSTEC invitee alongside MJ Worsham; had not responded to the FSTEC invitation as of 2026-09-04. No direct engagement yet.</t>
        </is>
      </c>
      <c r="J22" s="27" t="inlineStr">
        <is>
          <t>None currently</t>
        </is>
      </c>
      <c r="K22" s="27" t="inlineStr">
        <is>
          <t>Treat FSTEC as relationship-only if Five Guys independently accepts; do not use it to reopen the declined evaluation.</t>
        </is>
      </c>
      <c r="L22" s="43" t="n"/>
      <c r="M22" s="43" t="n"/>
      <c r="N22" s="44" t="n"/>
      <c r="O22" s="27" t="inlineStr">
        <is>
          <t>Todd Vahlsing</t>
        </is>
      </c>
      <c r="P22" s="44" t="n"/>
    </row>
    <row r="23" ht="66" customHeight="1">
      <c r="A23" s="27" t="n"/>
      <c r="B23" s="27" t="n"/>
      <c r="C23" s="27" t="n"/>
      <c r="D23" s="27" t="n"/>
      <c r="E23" s="27" t="n"/>
      <c r="F23" s="27" t="n"/>
      <c r="G23" s="27" t="n"/>
      <c r="H23" s="27" t="n"/>
      <c r="I23" s="27" t="n"/>
      <c r="J23" s="27" t="n"/>
      <c r="K23" s="27" t="n"/>
      <c r="L23" s="43" t="n"/>
      <c r="M23" s="43" t="n"/>
      <c r="N23" s="44" t="n"/>
      <c r="O23" s="27" t="n"/>
      <c r="P23" s="44" t="n"/>
    </row>
    <row r="24" ht="66" customHeight="1">
      <c r="A24" s="27" t="n"/>
      <c r="B24" s="27" t="n"/>
      <c r="C24" s="27" t="n"/>
      <c r="D24" s="27" t="n"/>
      <c r="E24" s="27" t="n"/>
      <c r="F24" s="27" t="n"/>
      <c r="G24" s="27" t="n"/>
      <c r="H24" s="27" t="n"/>
      <c r="I24" s="27" t="n"/>
      <c r="J24" s="27" t="n"/>
      <c r="K24" s="27" t="n"/>
      <c r="L24" s="43" t="n"/>
      <c r="M24" s="43" t="n"/>
      <c r="N24" s="44" t="n"/>
      <c r="O24" s="27" t="n"/>
      <c r="P24" s="44" t="n"/>
    </row>
    <row r="25" ht="66" customHeight="1">
      <c r="A25" s="27" t="n"/>
      <c r="B25" s="27" t="n"/>
      <c r="C25" s="27" t="n"/>
      <c r="D25" s="27" t="n"/>
      <c r="E25" s="27" t="n"/>
      <c r="F25" s="27" t="n"/>
      <c r="G25" s="27" t="n"/>
      <c r="H25" s="27" t="n"/>
      <c r="I25" s="27" t="n"/>
      <c r="J25" s="27" t="n"/>
      <c r="K25" s="27" t="n"/>
      <c r="L25" s="43" t="n"/>
      <c r="M25" s="43" t="n"/>
      <c r="N25" s="44" t="n"/>
      <c r="O25" s="27" t="n"/>
      <c r="P25" s="44" t="n"/>
    </row>
    <row r="26" ht="66" customHeight="1">
      <c r="A26" s="27" t="n"/>
      <c r="B26" s="27" t="n"/>
      <c r="C26" s="27" t="n"/>
      <c r="D26" s="27" t="n"/>
      <c r="E26" s="27" t="n"/>
      <c r="F26" s="27" t="n"/>
      <c r="G26" s="27" t="n"/>
      <c r="H26" s="27" t="n"/>
      <c r="I26" s="27" t="n"/>
      <c r="J26" s="27" t="n"/>
      <c r="K26" s="27" t="n"/>
      <c r="L26" s="43" t="n"/>
      <c r="M26" s="43" t="n"/>
      <c r="N26" s="44" t="n"/>
      <c r="O26" s="27" t="n"/>
      <c r="P26" s="44" t="n"/>
    </row>
    <row r="27" ht="66" customHeight="1">
      <c r="A27" s="27" t="n"/>
      <c r="B27" s="27" t="n"/>
      <c r="C27" s="27" t="n"/>
      <c r="D27" s="27" t="n"/>
      <c r="E27" s="27" t="n"/>
      <c r="F27" s="27" t="n"/>
      <c r="G27" s="27" t="n"/>
      <c r="H27" s="27" t="n"/>
      <c r="I27" s="27" t="n"/>
      <c r="J27" s="27" t="n"/>
      <c r="K27" s="27" t="n"/>
      <c r="L27" s="43" t="n"/>
      <c r="M27" s="43" t="n"/>
      <c r="N27" s="44" t="n"/>
      <c r="O27" s="27" t="n"/>
      <c r="P27" s="44" t="n"/>
    </row>
    <row r="28" ht="66" customHeight="1">
      <c r="A28" s="27" t="n"/>
      <c r="B28" s="27" t="n"/>
      <c r="C28" s="27" t="n"/>
      <c r="D28" s="27" t="n"/>
      <c r="E28" s="27" t="n"/>
      <c r="F28" s="27" t="n"/>
      <c r="G28" s="27" t="n"/>
      <c r="H28" s="27" t="n"/>
      <c r="I28" s="27" t="n"/>
      <c r="J28" s="27" t="n"/>
      <c r="K28" s="27" t="n"/>
      <c r="L28" s="43" t="n"/>
      <c r="M28" s="43" t="n"/>
      <c r="N28" s="44" t="n"/>
      <c r="O28" s="27" t="n"/>
      <c r="P28" s="44" t="n"/>
    </row>
    <row r="31" ht="15" customHeight="1">
      <c r="A31" s="13" t="inlineStr">
        <is>
          <t>SUMMARY OF MY POSITION TODAY</t>
        </is>
      </c>
      <c r="E31" s="13" t="inlineStr">
        <is>
          <t>POSSIBLE ACTIONS</t>
        </is>
      </c>
      <c r="K31" s="13" t="inlineStr">
        <is>
          <t>BEST ACTION PLAN</t>
        </is>
      </c>
    </row>
    <row r="32" ht="15" customHeight="1">
      <c r="A32" s="29" t="inlineStr">
        <is>
          <t>STRENGTHS</t>
        </is>
      </c>
    </row>
    <row r="33" ht="44" customHeight="1">
      <c r="A33" s="27" t="inlineStr">
        <is>
          <t>Large, growing global footprint -- approaching 2,000 restaurants across 30 countries, with more than 700 additional stores planned over the next 8 years -- gives the account durable long-term strategic value even while direct access is closed.</t>
        </is>
      </c>
      <c r="B33" s="43" t="n"/>
      <c r="C33" s="43" t="n"/>
      <c r="D33" s="44" t="n"/>
      <c r="E33" s="27" t="inlineStr">
        <is>
          <t>Maintain estate and relationship monitoring without customer contact.</t>
        </is>
      </c>
      <c r="F33" s="43" t="n"/>
      <c r="G33" s="43" t="n"/>
      <c r="H33" s="43" t="n"/>
      <c r="I33" s="43" t="n"/>
      <c r="J33" s="44" t="n"/>
      <c r="K33" s="27" t="inlineStr">
        <is>
          <t>Keep research work internal per the canonical research's own recommendation.</t>
        </is>
      </c>
      <c r="L33" s="43" t="n"/>
      <c r="M33" s="44" t="n"/>
      <c r="N33" s="27" t="inlineStr">
        <is>
          <t>Todd Vahlsing</t>
        </is>
      </c>
      <c r="O33" s="44" t="n"/>
      <c r="P33" s="27" t="inlineStr">
        <is>
          <t>Ongoing</t>
        </is>
      </c>
    </row>
    <row r="34" ht="44" customHeight="1">
      <c r="A34" s="27" t="inlineStr">
        <is>
          <t>Existing Worldpay payments relationship (#2 in portfolio, P1/Tier 1, score 82) gives Global Payments a durable foothold to build from once the account reopens.</t>
        </is>
      </c>
      <c r="B34" s="43" t="n"/>
      <c r="C34" s="43" t="n"/>
      <c r="D34" s="44" t="n"/>
      <c r="E34" s="27" t="inlineStr">
        <is>
          <t>Support Worldpay relationship stewardship; do not use it to bypass Avery/Melissa.</t>
        </is>
      </c>
      <c r="F34" s="43" t="n"/>
      <c r="G34" s="43" t="n"/>
      <c r="H34" s="43" t="n"/>
      <c r="I34" s="43" t="n"/>
      <c r="J34" s="44" t="n"/>
      <c r="K34" s="27" t="inlineStr">
        <is>
          <t>Coordinate exclusively through Avery Churchwell and Melissa Douglas.</t>
        </is>
      </c>
      <c r="L34" s="43" t="n"/>
      <c r="M34" s="44" t="n"/>
      <c r="N34" s="27" t="inlineStr">
        <is>
          <t>Todd Vahlsing / Avery Churchwell</t>
        </is>
      </c>
      <c r="O34" s="44" t="n"/>
      <c r="P34" s="27" t="inlineStr">
        <is>
          <t>Ongoing</t>
        </is>
      </c>
    </row>
    <row r="35" ht="44" customHeight="1">
      <c r="A35" s="27" t="inlineStr">
        <is>
          <t>Mature, well-documented technology estate (PAR Brink POS/reporting, Olo ordering/guest data, Crunchtime inventory/labor) with real global-architecture questions (EMEA NCR footprint, international support gaps) that could eventually support a modularity/consistency conversation if the account reopens.</t>
        </is>
      </c>
      <c r="B35" s="43" t="n"/>
      <c r="C35" s="43" t="n"/>
      <c r="D35" s="44" t="n"/>
      <c r="E35" s="27" t="inlineStr">
        <is>
          <t>Build the country-by-country architecture map internally, without customer contact.</t>
        </is>
      </c>
      <c r="F35" s="43" t="n"/>
      <c r="G35" s="43" t="n"/>
      <c r="H35" s="43" t="n"/>
      <c r="I35" s="43" t="n"/>
      <c r="J35" s="44" t="n"/>
      <c r="K35" s="27" t="inlineStr">
        <is>
          <t>Hold this analysis ready for if/when Avery or Melissa reopens the path.</t>
        </is>
      </c>
      <c r="L35" s="43" t="n"/>
      <c r="M35" s="44" t="n"/>
      <c r="N35" s="27" t="inlineStr">
        <is>
          <t>Todd Vahlsing</t>
        </is>
      </c>
      <c r="O35" s="44" t="n"/>
      <c r="P35" s="27" t="inlineStr">
        <is>
          <t>Internal, ongoing</t>
        </is>
      </c>
    </row>
    <row r="36" ht="44" customHeight="1">
      <c r="A36" s="27" t="n"/>
      <c r="B36" s="43" t="n"/>
      <c r="C36" s="43" t="n"/>
      <c r="D36" s="44" t="n"/>
      <c r="E36" s="27" t="n"/>
      <c r="F36" s="43" t="n"/>
      <c r="G36" s="43" t="n"/>
      <c r="H36" s="43" t="n"/>
      <c r="I36" s="43" t="n"/>
      <c r="J36" s="44" t="n"/>
      <c r="K36" s="27" t="n"/>
      <c r="L36" s="43" t="n"/>
      <c r="M36" s="44" t="n"/>
      <c r="N36" s="27" t="n"/>
      <c r="O36" s="44" t="n"/>
      <c r="P36" s="27" t="n"/>
    </row>
    <row r="38" ht="15" customHeight="1">
      <c r="A38" s="30" t="inlineStr">
        <is>
          <t>RED FLAGS</t>
        </is>
      </c>
    </row>
    <row r="39" ht="44" customHeight="1">
      <c r="A39" s="27" t="inlineStr">
        <is>
          <t>MJ Worsham explicitly declined evaluation of any other Global Payments solutions on 2026-09-04; any proactive outreach would directly contradict customer instruction.</t>
        </is>
      </c>
      <c r="B39" s="43" t="n"/>
      <c r="C39" s="43" t="n"/>
      <c r="D39" s="44" t="n"/>
      <c r="E39" s="27" t="inlineStr">
        <is>
          <t>No proactive outreach of any kind to Five Guys.</t>
        </is>
      </c>
      <c r="F39" s="43" t="n"/>
      <c r="G39" s="43" t="n"/>
      <c r="H39" s="43" t="n"/>
      <c r="I39" s="43" t="n"/>
      <c r="J39" s="44" t="n"/>
      <c r="K39" s="27" t="inlineStr">
        <is>
          <t>Enforce the hold until Avery or Melissa explicitly reopens the path.</t>
        </is>
      </c>
      <c r="L39" s="43" t="n"/>
      <c r="M39" s="44" t="n"/>
      <c r="N39" s="27" t="inlineStr">
        <is>
          <t>Todd Vahlsing</t>
        </is>
      </c>
      <c r="O39" s="44" t="n"/>
      <c r="P39" s="27" t="inlineStr">
        <is>
          <t>Standing</t>
        </is>
      </c>
    </row>
    <row r="40" ht="44" customHeight="1">
      <c r="A40" s="27" t="inlineStr">
        <is>
          <t>Melissa Douglas escalated the uncoordinated Genius outreach internally as 'not a great look'; repeating that behavior risks further damage to the Worldpay relationship.</t>
        </is>
      </c>
      <c r="B40" s="43" t="n"/>
      <c r="C40" s="43" t="n"/>
      <c r="D40" s="44" t="n"/>
      <c r="E40" s="27" t="inlineStr">
        <is>
          <t>Align Todd, Bryan Bailey, Brendan Crockett, Avery, Melissa, Mark Brage, and Jazmin Hamilton on one owner, one message, one contact policy.</t>
        </is>
      </c>
      <c r="F40" s="43" t="n"/>
      <c r="G40" s="43" t="n"/>
      <c r="H40" s="43" t="n"/>
      <c r="I40" s="43" t="n"/>
      <c r="J40" s="44" t="n"/>
      <c r="K40" s="27" t="inlineStr">
        <is>
          <t>Confirm the single-contact policy is actually in force across the team.</t>
        </is>
      </c>
      <c r="L40" s="43" t="n"/>
      <c r="M40" s="44" t="n"/>
      <c r="N40" s="27" t="inlineStr">
        <is>
          <t>Todd Vahlsing</t>
        </is>
      </c>
      <c r="O40" s="44" t="n"/>
      <c r="P40" s="27" t="inlineStr">
        <is>
          <t>Immediate</t>
        </is>
      </c>
    </row>
    <row r="41" ht="44" customHeight="1">
      <c r="A41" s="27" t="inlineStr">
        <is>
          <t>MJ is reportedly resistant to consolidating multiple vendor lines with one supplier; a broad platform-consolidation pitch would likely create resistance if the account ever reopens.</t>
        </is>
      </c>
      <c r="B41" s="43" t="n"/>
      <c r="C41" s="43" t="n"/>
      <c r="D41" s="44" t="n"/>
      <c r="E41" s="27" t="inlineStr">
        <is>
          <t>If reopened, avoid a broad consolidation pitch; favor a narrow, evidence-led entry point.</t>
        </is>
      </c>
      <c r="F41" s="43" t="n"/>
      <c r="G41" s="43" t="n"/>
      <c r="H41" s="43" t="n"/>
      <c r="I41" s="43" t="n"/>
      <c r="J41" s="44" t="n"/>
      <c r="K41" s="27" t="inlineStr">
        <is>
          <t>Hold this positioning guidance for whenever the path reopens.</t>
        </is>
      </c>
      <c r="L41" s="43" t="n"/>
      <c r="M41" s="44" t="n"/>
      <c r="N41" s="27" t="inlineStr">
        <is>
          <t>Todd Vahlsing</t>
        </is>
      </c>
      <c r="O41" s="44" t="n"/>
      <c r="P41" s="27" t="inlineStr">
        <is>
          <t>Open</t>
        </is>
      </c>
    </row>
    <row r="42" ht="44" customHeight="1">
      <c r="A42" s="27" t="inlineStr">
        <is>
          <t>The transaction-metered funding concept is unapproved and unpriced; referencing it to the customer before internal approval would be a governance violation.</t>
        </is>
      </c>
      <c r="B42" s="43" t="n"/>
      <c r="C42" s="43" t="n"/>
      <c r="D42" s="44" t="n"/>
      <c r="E42" s="27" t="inlineStr">
        <is>
          <t>Model it fully internally (cap, term, volume, approval path) before it enters any customer dialogue.</t>
        </is>
      </c>
      <c r="F42" s="43" t="n"/>
      <c r="G42" s="43" t="n"/>
      <c r="H42" s="43" t="n"/>
      <c r="I42" s="43" t="n"/>
      <c r="J42" s="44" t="n"/>
      <c r="K42" s="27" t="inlineStr">
        <is>
          <t>Do not mention it to Five Guys unless the account is expressly reopened and the concept is approved.</t>
        </is>
      </c>
      <c r="L42" s="43" t="n"/>
      <c r="M42" s="44" t="n"/>
      <c r="N42" s="27" t="inlineStr">
        <is>
          <t>Todd Vahlsing</t>
        </is>
      </c>
      <c r="O42" s="44" t="n"/>
      <c r="P42" s="27" t="inlineStr">
        <is>
          <t>Open</t>
        </is>
      </c>
    </row>
    <row r="43" ht="44" customHeight="1">
      <c r="A43" s="27" t="n"/>
      <c r="B43" s="43" t="n"/>
      <c r="C43" s="43" t="n"/>
      <c r="D43" s="44" t="n"/>
      <c r="E43" s="27" t="n"/>
      <c r="F43" s="43" t="n"/>
      <c r="G43" s="43" t="n"/>
      <c r="H43" s="43" t="n"/>
      <c r="I43" s="43" t="n"/>
      <c r="J43" s="44" t="n"/>
      <c r="K43" s="27" t="n"/>
      <c r="L43" s="43" t="n"/>
      <c r="M43" s="44" t="n"/>
      <c r="N43" s="27" t="n"/>
      <c r="O43" s="44" t="n"/>
      <c r="P43" s="27" t="n"/>
    </row>
  </sheetData>
  <mergeCells count="81">
    <mergeCell ref="A17:P17"/>
    <mergeCell ref="K40:M40"/>
    <mergeCell ref="K31:P31"/>
    <mergeCell ref="K12:P12"/>
    <mergeCell ref="A31:D31"/>
    <mergeCell ref="O26:P26"/>
    <mergeCell ref="K24:N24"/>
    <mergeCell ref="N39:O39"/>
    <mergeCell ref="O25:P25"/>
    <mergeCell ref="K26:N26"/>
    <mergeCell ref="E5:J10"/>
    <mergeCell ref="K4:P4"/>
    <mergeCell ref="A41:D41"/>
    <mergeCell ref="O27:P27"/>
    <mergeCell ref="K34:M34"/>
    <mergeCell ref="N40:O40"/>
    <mergeCell ref="O11:P11"/>
    <mergeCell ref="K36:M36"/>
    <mergeCell ref="A33:D33"/>
    <mergeCell ref="A42:D42"/>
    <mergeCell ref="K11:M11"/>
    <mergeCell ref="N35:O35"/>
    <mergeCell ref="A35:D35"/>
    <mergeCell ref="E34:J34"/>
    <mergeCell ref="B10:D10"/>
    <mergeCell ref="E36:J36"/>
    <mergeCell ref="N42:O42"/>
    <mergeCell ref="B9:D9"/>
    <mergeCell ref="O21:P21"/>
    <mergeCell ref="K21:N21"/>
    <mergeCell ref="A1:P1"/>
    <mergeCell ref="E12:J12"/>
    <mergeCell ref="K33:M33"/>
    <mergeCell ref="K35:M35"/>
    <mergeCell ref="E4:J4"/>
    <mergeCell ref="K27:N27"/>
    <mergeCell ref="B14:D14"/>
    <mergeCell ref="O19:P19"/>
    <mergeCell ref="O28:P28"/>
    <mergeCell ref="E40:J40"/>
    <mergeCell ref="E13:J15"/>
    <mergeCell ref="B13:D13"/>
    <mergeCell ref="N41:O41"/>
    <mergeCell ref="K19:N19"/>
    <mergeCell ref="K28:N28"/>
    <mergeCell ref="N43:O43"/>
    <mergeCell ref="A34:D34"/>
    <mergeCell ref="O20:P20"/>
    <mergeCell ref="A39:D39"/>
    <mergeCell ref="K25:N25"/>
    <mergeCell ref="K39:M39"/>
    <mergeCell ref="N33:O33"/>
    <mergeCell ref="A36:D36"/>
    <mergeCell ref="O22:P22"/>
    <mergeCell ref="A12:D12"/>
    <mergeCell ref="O23:P23"/>
    <mergeCell ref="E39:J39"/>
    <mergeCell ref="A32:D32"/>
    <mergeCell ref="K23:N23"/>
    <mergeCell ref="K41:M41"/>
    <mergeCell ref="A4:D4"/>
    <mergeCell ref="A38:D38"/>
    <mergeCell ref="O24:P24"/>
    <mergeCell ref="E31:J31"/>
    <mergeCell ref="O18:P18"/>
    <mergeCell ref="A43:D43"/>
    <mergeCell ref="K43:M43"/>
    <mergeCell ref="A40:D40"/>
    <mergeCell ref="K18:N18"/>
    <mergeCell ref="K42:M42"/>
    <mergeCell ref="B15:D15"/>
    <mergeCell ref="E41:J41"/>
    <mergeCell ref="K20:N20"/>
    <mergeCell ref="E43:J43"/>
    <mergeCell ref="E33:J33"/>
    <mergeCell ref="K22:N22"/>
    <mergeCell ref="E42:J42"/>
    <mergeCell ref="N34:O34"/>
    <mergeCell ref="E35:J35"/>
    <mergeCell ref="N36:O36"/>
    <mergeCell ref="A2:P2"/>
  </mergeCells>
  <dataValidations count="4">
    <dataValidation sqref="L6:L10" showDropDown="0" showInputMessage="0" showErrorMessage="0" allowBlank="0" type="list">
      <formula1>"Y,N,U"</formula1>
    </dataValidation>
    <dataValidation sqref="B13" showDropDown="0" showInputMessage="0" showErrorMessage="0" allowBlank="0" type="list">
      <formula1>"Euphoria,Great,Secure,Comfort,OK,Concern,Discomfort,Worry,Fear,Panic"</formula1>
    </dataValidation>
    <dataValidation sqref="L13" showDropDown="0" showInputMessage="0" showErrorMessage="0" allowBlank="0" type="list">
      <formula1>"Prospect,Qualify,Pursue,Close"</formula1>
    </dataValidation>
    <dataValidation sqref="O14" showDropDown="0" showInputMessage="0" showErrorMessage="0" allowBlank="0" type="list">
      <formula1>"Only alternative,Front-runner,Shared,Zero"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8"/>
  <sheetViews>
    <sheetView showGridLines="0" workbookViewId="0">
      <selection activeCell="A1" sqref="A1:H1"/>
    </sheetView>
  </sheetViews>
  <sheetFormatPr baseColWidth="10" defaultColWidth="8.83203125" defaultRowHeight="14"/>
  <cols>
    <col width="21" customWidth="1" min="1" max="1"/>
    <col width="50" customWidth="1" min="2" max="2"/>
    <col width="43" customWidth="1" min="3" max="3"/>
    <col width="15" customWidth="1" min="4" max="4"/>
    <col width="16" customWidth="1" min="5" max="5"/>
    <col width="39" customWidth="1" min="6" max="6"/>
    <col width="43" customWidth="1" min="7" max="7"/>
    <col width="23" customWidth="1" min="8" max="8"/>
  </cols>
  <sheetData>
    <row r="1" ht="28" customHeight="1">
      <c r="A1" s="11" t="inlineStr">
        <is>
          <t>FIVE GUYS — BRAND PROFILE</t>
        </is>
      </c>
    </row>
    <row r="2" ht="22" customHeight="1">
      <c r="A2" s="12" t="inlineStr">
        <is>
          <t>Executive account context, strategic implications and questions to resolve.</t>
        </is>
      </c>
    </row>
    <row r="4" ht="16" customHeight="1">
      <c r="A4" s="28" t="inlineStr">
        <is>
          <t>Category</t>
        </is>
      </c>
      <c r="B4" s="28" t="inlineStr">
        <is>
          <t>What we know</t>
        </is>
      </c>
      <c r="C4" s="28" t="inlineStr">
        <is>
          <t>Strategic implication</t>
        </is>
      </c>
      <c r="D4" s="28" t="inlineStr">
        <is>
          <t>Confidence</t>
        </is>
      </c>
      <c r="E4" s="28" t="inlineStr">
        <is>
          <t>As of</t>
        </is>
      </c>
      <c r="F4" s="28" t="inlineStr">
        <is>
          <t>Buying relevance</t>
        </is>
      </c>
      <c r="G4" s="28" t="inlineStr">
        <is>
          <t>Question to validate</t>
        </is>
      </c>
      <c r="H4" s="28" t="inlineStr">
        <is>
          <t>Owner</t>
        </is>
      </c>
    </row>
    <row r="5" ht="66" customHeight="1">
      <c r="A5" s="27" t="inlineStr">
        <is>
          <t>Identity &amp; heritage</t>
        </is>
      </c>
      <c r="B5" s="27" t="inlineStr">
        <is>
          <t>Privately held, family-controlled fast-casual restaurant system, founded 1986 by Jerry and Janie Murrell in Arlington, Virginia.</t>
        </is>
      </c>
      <c r="C5" s="27" t="inlineStr">
        <is>
          <t>Private, family-controlled ownership means no public financial filings and a tightly controlled brand model -- external estimates of revenue/scale should not be presented as fact.</t>
        </is>
      </c>
      <c r="D5" s="27" t="inlineStr">
        <is>
          <t>High</t>
        </is>
      </c>
      <c r="E5" s="27" t="inlineStr">
        <is>
          <t>2026-09-04</t>
        </is>
      </c>
      <c r="F5" s="27" t="inlineStr"/>
      <c r="G5" s="27" t="inlineStr"/>
      <c r="H5" s="27" t="inlineStr"/>
    </row>
    <row r="6" ht="66" customHeight="1">
      <c r="A6" s="27" t="inlineStr">
        <is>
          <t>Global scale</t>
        </is>
      </c>
      <c r="B6" s="27" t="inlineStr">
        <is>
          <t>Approaching 2,000 restaurants across 30 countries; more than 50,000 people across the system; more than 700 additional stores planned over 8 years (as of July 2025 criteria).</t>
        </is>
      </c>
      <c r="C6" s="27" t="inlineStr">
        <is>
          <t>Long runway for deployment, support, and cross-border technology requirements.</t>
        </is>
      </c>
      <c r="D6" s="27" t="inlineStr">
        <is>
          <t>High</t>
        </is>
      </c>
      <c r="E6" s="27" t="inlineStr">
        <is>
          <t>2026-09-04</t>
        </is>
      </c>
      <c r="F6" s="27" t="inlineStr"/>
      <c r="G6" s="27" t="inlineStr"/>
      <c r="H6" s="27" t="inlineStr"/>
    </row>
    <row r="7" ht="66" customHeight="1">
      <c r="A7" s="27" t="inlineStr">
        <is>
          <t>U.S. footprint</t>
        </is>
      </c>
      <c r="B7" s="27" t="inlineStr">
        <is>
          <t>North American franchise territories are sold out; selected international markets remain open to franchising.</t>
        </is>
      </c>
      <c r="C7" s="27" t="inlineStr">
        <is>
          <t>Domestic growth is now mostly company/franchisee-driven within the existing footprint rather than new-territory expansion.</t>
        </is>
      </c>
      <c r="D7" s="27" t="inlineStr">
        <is>
          <t>High</t>
        </is>
      </c>
      <c r="E7" s="27" t="inlineStr">
        <is>
          <t>2026-09-04</t>
        </is>
      </c>
      <c r="F7" s="27" t="inlineStr"/>
      <c r="G7" s="27" t="inlineStr"/>
      <c r="H7" s="27" t="inlineStr"/>
    </row>
    <row r="8" ht="66" customHeight="1">
      <c r="A8" s="27" t="inlineStr">
        <is>
          <t>Current pursuit</t>
        </is>
      </c>
      <c r="B8" s="27" t="inlineStr">
        <is>
          <t>No active Genius pursuit. On 2026-09-04, MJ Worsham declined evaluation of other Global Payments solutions; outreach is on hold pending Avery Churchwell/Melissa Douglas.</t>
        </is>
      </c>
      <c r="C8" s="27" t="inlineStr">
        <is>
          <t>Any future engagement must originate from Avery or Melissa, not from Genius-initiated outreach.</t>
        </is>
      </c>
      <c r="D8" s="27" t="inlineStr">
        <is>
          <t>High</t>
        </is>
      </c>
      <c r="E8" s="27" t="inlineStr">
        <is>
          <t>2026-09-04</t>
        </is>
      </c>
      <c r="F8" s="27" t="inlineStr"/>
      <c r="G8" s="27" t="inlineStr"/>
      <c r="H8" s="27" t="inlineStr"/>
    </row>
    <row r="9" ht="66" customHeight="1">
      <c r="A9" s="27" t="inlineStr">
        <is>
          <t>U.S. leadership</t>
        </is>
      </c>
      <c r="B9" s="27" t="inlineStr">
        <is>
          <t>Matt Murrell, Chief Executive Officer (2026 executive-directory reporting; family-owned business).</t>
        </is>
      </c>
      <c r="C9" s="27" t="inlineStr">
        <is>
          <t>Family ownership suggests centralized strategic decision-making.</t>
        </is>
      </c>
      <c r="D9" s="27" t="inlineStr">
        <is>
          <t>Medium</t>
        </is>
      </c>
      <c r="E9" s="27" t="inlineStr">
        <is>
          <t>2026-09-04</t>
        </is>
      </c>
      <c r="F9" s="27" t="inlineStr"/>
      <c r="G9" s="27" t="inlineStr"/>
      <c r="H9" s="27" t="inlineStr"/>
    </row>
    <row r="10" ht="66" customHeight="1">
      <c r="A10" s="27" t="inlineStr">
        <is>
          <t>U.S. leadership</t>
        </is>
      </c>
      <c r="B10" s="27" t="inlineStr">
        <is>
          <t>Zerrick Pearson, Chief Information Officer; named internally as a priority relationship target.</t>
        </is>
      </c>
      <c r="C10" s="27" t="inlineStr">
        <is>
          <t>Likely senior authority for enterprise technology direction; exact role in POS/payments decisions requires validation.</t>
        </is>
      </c>
      <c r="D10" s="27" t="inlineStr">
        <is>
          <t>Medium</t>
        </is>
      </c>
      <c r="E10" s="27" t="inlineStr">
        <is>
          <t>2026-09-04</t>
        </is>
      </c>
      <c r="F10" s="27" t="inlineStr"/>
      <c r="G10" s="27" t="inlineStr"/>
      <c r="H10" s="27" t="inlineStr"/>
    </row>
    <row r="11" ht="66" customHeight="1">
      <c r="A11" s="27" t="inlineStr">
        <is>
          <t>U.S. leadership</t>
        </is>
      </c>
      <c r="B11" s="27" t="inlineStr">
        <is>
          <t>MJ Worsham, Vice President, Restaurant Technology; identified internally as the key influential contact and operational technology gatekeeper.</t>
        </is>
      </c>
      <c r="C11" s="27" t="inlineStr">
        <is>
          <t>Controls the operational technology relationship and has explicitly closed it to Genius outreach.</t>
        </is>
      </c>
      <c r="D11" s="27" t="inlineStr">
        <is>
          <t>High</t>
        </is>
      </c>
      <c r="E11" s="27" t="inlineStr">
        <is>
          <t>2026-09-04</t>
        </is>
      </c>
      <c r="F11" s="27" t="inlineStr"/>
      <c r="G11" s="27" t="inlineStr"/>
      <c r="H11" s="27" t="inlineStr"/>
    </row>
    <row r="12" ht="66" customHeight="1">
      <c r="A12" s="27" t="inlineStr">
        <is>
          <t>Digital ordering</t>
        </is>
      </c>
      <c r="B12" s="27" t="inlineStr">
        <is>
          <t>No points-based loyalty program (per Five Guys' own FAQ), but sophisticated first-party guest-data activation through Olo (8.1M guest profiles).</t>
        </is>
      </c>
      <c r="C12" s="27" t="inlineStr">
        <is>
          <t>Do not imply weak customer engagement due to no loyalty program -- the real signal is strong first-party data activation through a different mechanism.</t>
        </is>
      </c>
      <c r="D12" s="27" t="inlineStr">
        <is>
          <t>High</t>
        </is>
      </c>
      <c r="E12" s="27" t="inlineStr">
        <is>
          <t>2026-09-04</t>
        </is>
      </c>
      <c r="F12" s="27" t="inlineStr"/>
      <c r="G12" s="27" t="inlineStr"/>
      <c r="H12" s="27" t="inlineStr"/>
    </row>
    <row r="13" ht="66" customHeight="1">
      <c r="A13" s="27" t="inlineStr">
        <is>
          <t>Relationship history</t>
        </is>
      </c>
      <c r="B13" s="27" t="inlineStr">
        <is>
          <t>On 2026-09-03, Mark Brage requested an introductory meeting with MJ Worsham for Sept 15-16; MJ declined on 2026-09-04, and Melissa Douglas escalated the uncoordinated outreach internally.</t>
        </is>
      </c>
      <c r="C13" s="27" t="inlineStr">
        <is>
          <t>This exchange is the direct cause of the current outreach hold and defines the next-step governance (route only through Avery/Melissa).</t>
        </is>
      </c>
      <c r="D13" s="27" t="inlineStr">
        <is>
          <t>High</t>
        </is>
      </c>
      <c r="E13" s="27" t="inlineStr">
        <is>
          <t>2026-09-04</t>
        </is>
      </c>
      <c r="F13" s="27" t="inlineStr"/>
      <c r="G13" s="27" t="inlineStr"/>
      <c r="H13" s="27" t="inlineStr"/>
    </row>
    <row r="14" ht="66" customHeight="1">
      <c r="A14" s="27" t="n"/>
      <c r="B14" s="27" t="n"/>
      <c r="C14" s="27" t="n"/>
      <c r="D14" s="27" t="n"/>
      <c r="E14" s="27" t="n"/>
      <c r="F14" s="27" t="n"/>
      <c r="G14" s="27" t="n"/>
      <c r="H14" s="27" t="n"/>
    </row>
    <row r="15" ht="66" customHeight="1">
      <c r="A15" s="27" t="n"/>
      <c r="B15" s="27" t="n"/>
      <c r="C15" s="27" t="n"/>
      <c r="D15" s="27" t="n"/>
      <c r="E15" s="27" t="n"/>
      <c r="F15" s="27" t="n"/>
      <c r="G15" s="27" t="n"/>
      <c r="H15" s="27" t="n"/>
    </row>
    <row r="16" ht="66" customHeight="1">
      <c r="A16" s="27" t="n"/>
      <c r="B16" s="27" t="n"/>
      <c r="C16" s="27" t="n"/>
      <c r="D16" s="27" t="n"/>
      <c r="E16" s="27" t="n"/>
      <c r="F16" s="27" t="n"/>
      <c r="G16" s="27" t="n"/>
      <c r="H16" s="27" t="n"/>
    </row>
    <row r="17" ht="66" customHeight="1">
      <c r="A17" s="27" t="n"/>
      <c r="B17" s="27" t="n"/>
      <c r="C17" s="27" t="n"/>
      <c r="D17" s="27" t="n"/>
      <c r="E17" s="27" t="n"/>
      <c r="F17" s="27" t="n"/>
      <c r="G17" s="27" t="n"/>
      <c r="H17" s="27" t="n"/>
    </row>
    <row r="18" ht="66" customHeight="1">
      <c r="A18" s="27" t="n"/>
      <c r="B18" s="27" t="n"/>
      <c r="C18" s="27" t="n"/>
      <c r="D18" s="27" t="n"/>
      <c r="E18" s="27" t="n"/>
      <c r="F18" s="27" t="n"/>
      <c r="G18" s="27" t="n"/>
      <c r="H18" s="27" t="n"/>
    </row>
  </sheetData>
  <mergeCells count="2">
    <mergeCell ref="A2:H2"/>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7"/>
  <sheetViews>
    <sheetView showGridLines="0" tabSelected="1" workbookViewId="0">
      <selection activeCell="A1" sqref="A1:K1"/>
    </sheetView>
  </sheetViews>
  <sheetFormatPr baseColWidth="10" defaultColWidth="8.83203125" defaultRowHeight="14"/>
  <cols>
    <col width="24" customWidth="1" min="1" max="1"/>
    <col width="31" customWidth="1" min="2" max="2"/>
    <col width="42" customWidth="1" min="3" max="3"/>
    <col width="13" customWidth="1" min="4" max="4"/>
    <col width="28" customWidth="1" min="5" max="5"/>
    <col width="34" customWidth="1" min="6" max="6"/>
    <col width="38" customWidth="1" min="7" max="7"/>
    <col width="31" customWidth="1" min="8" max="8"/>
    <col width="35" customWidth="1" min="9" max="9"/>
    <col width="42" customWidth="1" min="10" max="10"/>
    <col width="16" customWidth="1" min="11" max="11"/>
  </cols>
  <sheetData>
    <row r="1" ht="28" customHeight="1">
      <c r="A1" s="11" t="inlineStr">
        <is>
          <t>FIVE GUYS — CURRENT TECHNOLOGY &amp; VENDOR LANDSCAPE</t>
        </is>
      </c>
    </row>
    <row r="2" ht="22" customHeight="1">
      <c r="A2" s="12" t="inlineStr">
        <is>
          <t>Executive working view of the current environment, whitespace and next validation.</t>
        </is>
      </c>
    </row>
    <row r="4" ht="16" customHeight="1">
      <c r="A4" s="28" t="inlineStr">
        <is>
          <t>Layer</t>
        </is>
      </c>
      <c r="B4" s="28" t="inlineStr">
        <is>
          <t>Current vendor / product</t>
        </is>
      </c>
      <c r="C4" s="28" t="inlineStr">
        <is>
          <t>Current state</t>
        </is>
      </c>
      <c r="D4" s="28" t="inlineStr">
        <is>
          <t>Confidence</t>
        </is>
      </c>
      <c r="E4" s="28" t="inlineStr">
        <is>
          <t>Decision owner / influence</t>
        </is>
      </c>
      <c r="F4" s="28" t="inlineStr">
        <is>
          <t>Customer value / pain</t>
        </is>
      </c>
      <c r="G4" s="28" t="inlineStr">
        <is>
          <t>Genius / Worldpay relevance</t>
        </is>
      </c>
      <c r="H4" s="28" t="inlineStr">
        <is>
          <t>Incumbent advantage</t>
        </is>
      </c>
      <c r="I4" s="28" t="inlineStr">
        <is>
          <t>Risk / constraint</t>
        </is>
      </c>
      <c r="J4" s="28" t="inlineStr">
        <is>
          <t>Next step</t>
        </is>
      </c>
      <c r="K4" s="28" t="inlineStr">
        <is>
          <t>Status</t>
        </is>
      </c>
    </row>
    <row r="5" ht="68" customHeight="1">
      <c r="A5" s="27" t="inlineStr">
        <is>
          <t>pos_reporting</t>
        </is>
      </c>
      <c r="B5" s="27" t="inlineStr">
        <is>
          <t>PAR Brink</t>
        </is>
      </c>
      <c r="C5" s="27" t="inlineStr">
        <is>
          <t>Mature U.S. estate; a 2026 Novatio case study describes Brink POS/reporting as mission-critical with enterprise-wide automated upgrade testing. Store counts, software versions, hardware, and renewal term remain unknown.</t>
        </is>
      </c>
      <c r="D5" s="27" t="inlineStr">
        <is>
          <t>high</t>
        </is>
      </c>
      <c r="E5" s="27" t="n"/>
      <c r="F5" s="27" t="n"/>
      <c r="G5" s="27" t="n"/>
      <c r="H5" s="27" t="n"/>
      <c r="I5" s="27" t="n"/>
      <c r="J5" s="27" t="n"/>
      <c r="K5" s="27" t="inlineStr">
        <is>
          <t>Confirmed</t>
        </is>
      </c>
    </row>
    <row r="6" ht="68" customHeight="1">
      <c r="A6" s="27" t="inlineStr">
        <is>
          <t>online_ordering</t>
        </is>
      </c>
      <c r="B6" s="27" t="inlineStr">
        <is>
          <t>Olo</t>
        </is>
      </c>
      <c r="C6" s="27" t="inlineStr">
        <is>
          <t>Longtime digital-ordering and guest-data platform; vendor case study reports 8.1M guest profiles and $16M in online revenue attributed to email-engaged guests.</t>
        </is>
      </c>
      <c r="D6" s="27" t="inlineStr">
        <is>
          <t>high</t>
        </is>
      </c>
      <c r="E6" s="27" t="n"/>
      <c r="F6" s="27" t="n"/>
      <c r="G6" s="27" t="n"/>
      <c r="H6" s="27" t="n"/>
      <c r="I6" s="27" t="n"/>
      <c r="J6" s="27" t="n"/>
      <c r="K6" s="27" t="inlineStr">
        <is>
          <t>Confirmed</t>
        </is>
      </c>
    </row>
    <row r="7" ht="68" customHeight="1">
      <c r="A7" s="27" t="inlineStr">
        <is>
          <t>back_office_inventory_labor</t>
        </is>
      </c>
      <c r="B7" s="27" t="inlineStr">
        <is>
          <t>Crunchtime</t>
        </is>
      </c>
      <c r="C7" s="27" t="inlineStr">
        <is>
          <t>Selected for corporate and franchise locations worldwide per Crunchtime's own case materials; scope and performance claims are vendor-reported and unvalidated.</t>
        </is>
      </c>
      <c r="D7" s="27" t="inlineStr">
        <is>
          <t>high</t>
        </is>
      </c>
      <c r="E7" s="27" t="n"/>
      <c r="F7" s="27" t="n"/>
      <c r="G7" s="27" t="n"/>
      <c r="H7" s="27" t="n"/>
      <c r="I7" s="27" t="n"/>
      <c r="J7" s="27" t="n"/>
      <c r="K7" s="27" t="inlineStr">
        <is>
          <t>Confirmed</t>
        </is>
      </c>
    </row>
    <row r="8" ht="68" customHeight="1">
      <c r="A8" s="27" t="inlineStr">
        <is>
          <t>pos_emea</t>
        </is>
      </c>
      <c r="B8" s="27" t="inlineStr">
        <is>
          <t>NCR</t>
        </is>
      </c>
      <c r="C8" s="27" t="inlineStr">
        <is>
          <t>Reported in EMEA by internal Worldpay intelligence; no public primary source confirms products, countries, store counts, or contractual scope.</t>
        </is>
      </c>
      <c r="D8" s="27" t="inlineStr">
        <is>
          <t>low</t>
        </is>
      </c>
      <c r="E8" s="27" t="n"/>
      <c r="F8" s="27" t="n"/>
      <c r="G8" s="27" t="n"/>
      <c r="H8" s="27" t="n"/>
      <c r="I8" s="27" t="n"/>
      <c r="J8" s="27" t="n"/>
      <c r="K8" s="27" t="inlineStr">
        <is>
          <t>Reported, unverified</t>
        </is>
      </c>
    </row>
    <row r="9" ht="68" customHeight="1">
      <c r="A9" s="27" t="inlineStr">
        <is>
          <t>payments</t>
        </is>
      </c>
      <c r="B9" s="27" t="inlineStr">
        <is>
          <t>Worldpay / Global Payments</t>
        </is>
      </c>
      <c r="C9" s="27" t="inlineStr">
        <is>
          <t>Existing long-term relationship confirmed directly by MJ Worsham (2026-09-04); exact products, countries, channels, acquiring entities, and renewal dates remain unconfirmed.</t>
        </is>
      </c>
      <c r="D9" s="27" t="inlineStr">
        <is>
          <t>high</t>
        </is>
      </c>
      <c r="E9" s="27" t="n"/>
      <c r="F9" s="27" t="n"/>
      <c r="G9" s="27" t="n"/>
      <c r="H9" s="27" t="n"/>
      <c r="I9" s="27" t="n"/>
      <c r="J9" s="27" t="n"/>
      <c r="K9" s="27" t="inlineStr">
        <is>
          <t>Confirmed relationship, details unverified</t>
        </is>
      </c>
    </row>
    <row r="10" ht="68" customHeight="1">
      <c r="A10" s="27" t="inlineStr">
        <is>
          <t>payment_devices</t>
        </is>
      </c>
      <c r="B10" s="27" t="inlineStr">
        <is>
          <t>Verifone</t>
        </is>
      </c>
      <c r="C10" s="27" t="inlineStr">
        <is>
          <t>Identified in the Worldpay estate; device models, ownership, and geographic scope unverified.</t>
        </is>
      </c>
      <c r="D10" s="27" t="inlineStr">
        <is>
          <t>low</t>
        </is>
      </c>
      <c r="E10" s="27" t="n"/>
      <c r="F10" s="27" t="n"/>
      <c r="G10" s="27" t="n"/>
      <c r="H10" s="27" t="n"/>
      <c r="I10" s="27" t="n"/>
      <c r="J10" s="27" t="n"/>
      <c r="K10" s="27" t="inlineStr">
        <is>
          <t>Reported, unverified</t>
        </is>
      </c>
    </row>
    <row r="11" ht="68" customHeight="1">
      <c r="A11" s="27" t="inlineStr">
        <is>
          <t>delivery_integration</t>
        </is>
      </c>
      <c r="B11" s="27" t="inlineStr">
        <is>
          <t>LineTen</t>
        </is>
      </c>
      <c r="C11" s="27" t="inlineStr">
        <is>
          <t>Identified by the Worldpay plan; function, deployment, and geography not publicly validated.</t>
        </is>
      </c>
      <c r="D11" s="27" t="inlineStr">
        <is>
          <t>low</t>
        </is>
      </c>
      <c r="E11" s="27" t="n"/>
      <c r="F11" s="27" t="n"/>
      <c r="G11" s="27" t="n"/>
      <c r="H11" s="27" t="n"/>
      <c r="I11" s="27" t="n"/>
      <c r="J11" s="27" t="n"/>
      <c r="K11" s="27" t="inlineStr">
        <is>
          <t>Reported, unverified</t>
        </is>
      </c>
    </row>
    <row r="12" ht="68" customHeight="1">
      <c r="A12" s="27" t="inlineStr">
        <is>
          <t>franchisee_level_signals_not_brand_standard</t>
        </is>
      </c>
      <c r="B12" s="27" t="inlineStr">
        <is>
          <t>Lightspeed Restaurant/Upserve POS, Adyen, Opus Training, Restaurant365</t>
        </is>
      </c>
      <c r="C12" s="27" t="inlineStr">
        <is>
          <t>Medium-confidence evidence in individual franchise environments only -- explicitly NOT evidence of a corporate standard or chain-wide deployment.</t>
        </is>
      </c>
      <c r="D12" s="27" t="inlineStr">
        <is>
          <t>medium</t>
        </is>
      </c>
      <c r="E12" s="27" t="n"/>
      <c r="F12" s="27" t="n"/>
      <c r="G12" s="27" t="n"/>
      <c r="H12" s="27" t="n"/>
      <c r="I12" s="27" t="n"/>
      <c r="J12" s="27" t="n"/>
      <c r="K12" s="27" t="inlineStr">
        <is>
          <t>Franchisee-level only</t>
        </is>
      </c>
    </row>
    <row r="13" ht="68" customHeight="1">
      <c r="A13" s="27" t="n"/>
      <c r="B13" s="27" t="n"/>
      <c r="C13" s="27" t="n"/>
      <c r="D13" s="27" t="n"/>
      <c r="E13" s="27" t="n"/>
      <c r="F13" s="27" t="n"/>
      <c r="G13" s="27" t="n"/>
      <c r="H13" s="27" t="n"/>
      <c r="I13" s="27" t="n"/>
      <c r="J13" s="27" t="n"/>
      <c r="K13" s="27" t="n"/>
    </row>
    <row r="14" ht="68" customHeight="1">
      <c r="A14" s="27" t="n"/>
      <c r="B14" s="27" t="n"/>
      <c r="C14" s="27" t="n"/>
      <c r="D14" s="27" t="n"/>
      <c r="E14" s="27" t="n"/>
      <c r="F14" s="27" t="n"/>
      <c r="G14" s="27" t="n"/>
      <c r="H14" s="27" t="n"/>
      <c r="I14" s="27" t="n"/>
      <c r="J14" s="27" t="n"/>
      <c r="K14" s="27" t="n"/>
    </row>
    <row r="15" ht="68" customHeight="1">
      <c r="A15" s="27" t="n"/>
      <c r="B15" s="27" t="n"/>
      <c r="C15" s="27" t="n"/>
      <c r="D15" s="27" t="n"/>
      <c r="E15" s="27" t="n"/>
      <c r="F15" s="27" t="n"/>
      <c r="G15" s="27" t="n"/>
      <c r="H15" s="27" t="n"/>
      <c r="I15" s="27" t="n"/>
      <c r="J15" s="27" t="n"/>
      <c r="K15" s="27" t="n"/>
    </row>
    <row r="16" ht="68" customHeight="1">
      <c r="A16" s="27" t="n"/>
      <c r="B16" s="27" t="n"/>
      <c r="C16" s="27" t="n"/>
      <c r="D16" s="27" t="n"/>
      <c r="E16" s="27" t="n"/>
      <c r="F16" s="27" t="n"/>
      <c r="G16" s="27" t="n"/>
      <c r="H16" s="27" t="n"/>
      <c r="I16" s="27" t="n"/>
      <c r="J16" s="27" t="n"/>
      <c r="K16" s="27" t="n"/>
    </row>
    <row r="17" ht="68" customHeight="1">
      <c r="A17" s="27" t="n"/>
      <c r="B17" s="27" t="n"/>
      <c r="C17" s="27" t="n"/>
      <c r="D17" s="27" t="n"/>
      <c r="E17" s="27" t="n"/>
      <c r="F17" s="27" t="n"/>
      <c r="G17" s="27" t="n"/>
      <c r="H17" s="27" t="n"/>
      <c r="I17" s="27" t="n"/>
      <c r="J17" s="27" t="n"/>
      <c r="K17" s="27" t="n"/>
    </row>
  </sheetData>
  <mergeCells count="2">
    <mergeCell ref="A2:K2"/>
    <mergeCell ref="A1:K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10" defaultColWidth="8.83203125" defaultRowHeight="14"/>
  <cols>
    <col width="15" customWidth="1" min="1" max="1"/>
    <col width="30" customWidth="1" min="2" max="2"/>
    <col width="42" customWidth="1" min="3" max="3"/>
    <col width="28" customWidth="1" min="4" max="4"/>
    <col width="30" customWidth="1" min="5" max="5"/>
    <col width="27" customWidth="1" min="6" max="6"/>
    <col width="12" customWidth="1" min="7" max="7"/>
    <col width="40" customWidth="1" min="8" max="8"/>
    <col width="24" customWidth="1" min="9" max="9"/>
    <col width="22" customWidth="1" min="10" max="10"/>
    <col width="15" customWidth="1" min="11" max="11"/>
    <col width="30" customWidth="1" min="12" max="12"/>
  </cols>
  <sheetData>
    <row r="1" ht="28" customHeight="1">
      <c r="A1" s="11" t="inlineStr">
        <is>
          <t>FIVE GUYS — ACTION &amp; DECISION REGISTER</t>
        </is>
      </c>
    </row>
    <row r="2" ht="22" customHeight="1">
      <c r="A2" s="12" t="inlineStr">
        <is>
          <t>Every material unknown has an owner and next step.</t>
        </is>
      </c>
    </row>
    <row r="4" ht="16" customHeight="1">
      <c r="A4" s="28" t="inlineStr">
        <is>
          <t>Type</t>
        </is>
      </c>
      <c r="B4" s="28" t="inlineStr">
        <is>
          <t>Issue / opportunity</t>
        </is>
      </c>
      <c r="C4" s="28" t="inlineStr">
        <is>
          <t>Why it matters</t>
        </is>
      </c>
      <c r="D4" s="28" t="inlineStr">
        <is>
          <t>Customer outcome</t>
        </is>
      </c>
      <c r="E4" s="28" t="inlineStr">
        <is>
          <t>Worldpay / Genius value</t>
        </is>
      </c>
      <c r="F4" s="28" t="inlineStr">
        <is>
          <t>Stakeholders</t>
        </is>
      </c>
      <c r="G4" s="28" t="inlineStr">
        <is>
          <t>Priority</t>
        </is>
      </c>
      <c r="H4" s="28" t="inlineStr">
        <is>
          <t>Action / commitment</t>
        </is>
      </c>
      <c r="I4" s="28" t="inlineStr">
        <is>
          <t>Owner</t>
        </is>
      </c>
      <c r="J4" s="28" t="inlineStr">
        <is>
          <t>Trigger / target</t>
        </is>
      </c>
      <c r="K4" s="28" t="inlineStr">
        <is>
          <t>Status</t>
        </is>
      </c>
      <c r="L4" s="28" t="inlineStr">
        <is>
          <t>Blocker / update</t>
        </is>
      </c>
    </row>
    <row r="5" ht="68" customHeight="1">
      <c r="A5" s="27" t="n"/>
      <c r="B5" s="27" t="n"/>
      <c r="C5" s="27" t="n"/>
      <c r="D5" s="27" t="n"/>
      <c r="E5" s="27" t="n"/>
      <c r="F5" s="27" t="n"/>
      <c r="G5" s="27" t="n"/>
      <c r="H5" s="27" t="n"/>
      <c r="I5" s="27" t="n"/>
      <c r="J5" s="27" t="n"/>
      <c r="K5" s="27" t="n"/>
      <c r="L5" s="27" t="n"/>
    </row>
    <row r="6" ht="68" customHeight="1">
      <c r="A6" s="27" t="n"/>
      <c r="B6" s="27" t="n"/>
      <c r="C6" s="27" t="n"/>
      <c r="D6" s="27" t="n"/>
      <c r="E6" s="27" t="n"/>
      <c r="F6" s="27" t="n"/>
      <c r="G6" s="27" t="n"/>
      <c r="H6" s="27" t="n"/>
      <c r="I6" s="27" t="n"/>
      <c r="J6" s="27" t="n"/>
      <c r="K6" s="27" t="n"/>
      <c r="L6" s="27" t="n"/>
    </row>
    <row r="7" ht="68" customHeight="1">
      <c r="A7" s="27" t="n"/>
      <c r="B7" s="27" t="n"/>
      <c r="C7" s="27" t="n"/>
      <c r="D7" s="27" t="n"/>
      <c r="E7" s="27" t="n"/>
      <c r="F7" s="27" t="n"/>
      <c r="G7" s="27" t="n"/>
      <c r="H7" s="27" t="n"/>
      <c r="I7" s="27" t="n"/>
      <c r="J7" s="27" t="n"/>
      <c r="K7" s="27" t="n"/>
      <c r="L7" s="27" t="n"/>
    </row>
    <row r="8" ht="68" customHeight="1">
      <c r="A8" s="27" t="n"/>
      <c r="B8" s="27" t="n"/>
      <c r="C8" s="27" t="n"/>
      <c r="D8" s="27" t="n"/>
      <c r="E8" s="27" t="n"/>
      <c r="F8" s="27" t="n"/>
      <c r="G8" s="27" t="n"/>
      <c r="H8" s="27" t="n"/>
      <c r="I8" s="27" t="n"/>
      <c r="J8" s="27" t="n"/>
      <c r="K8" s="27" t="n"/>
      <c r="L8" s="27" t="n"/>
    </row>
    <row r="9" ht="68" customHeight="1">
      <c r="A9" s="27" t="n"/>
      <c r="B9" s="27" t="n"/>
      <c r="C9" s="27" t="n"/>
      <c r="D9" s="27" t="n"/>
      <c r="E9" s="27" t="n"/>
      <c r="F9" s="27" t="n"/>
      <c r="G9" s="27" t="n"/>
      <c r="H9" s="27" t="n"/>
      <c r="I9" s="27" t="n"/>
      <c r="J9" s="27" t="n"/>
      <c r="K9" s="27" t="n"/>
      <c r="L9" s="27" t="n"/>
    </row>
    <row r="10" ht="68" customHeight="1">
      <c r="A10" s="27" t="n"/>
      <c r="B10" s="27" t="n"/>
      <c r="C10" s="27" t="n"/>
      <c r="D10" s="27" t="n"/>
      <c r="E10" s="27" t="n"/>
      <c r="F10" s="27" t="n"/>
      <c r="G10" s="27" t="n"/>
      <c r="H10" s="27" t="n"/>
      <c r="I10" s="27" t="n"/>
      <c r="J10" s="27" t="n"/>
      <c r="K10" s="27" t="n"/>
      <c r="L10" s="27" t="n"/>
    </row>
    <row r="11" ht="68" customHeight="1">
      <c r="A11" s="27" t="n"/>
      <c r="B11" s="27" t="n"/>
      <c r="C11" s="27" t="n"/>
      <c r="D11" s="27" t="n"/>
      <c r="E11" s="27" t="n"/>
      <c r="F11" s="27" t="n"/>
      <c r="G11" s="27" t="n"/>
      <c r="H11" s="27" t="n"/>
      <c r="I11" s="27" t="n"/>
      <c r="J11" s="27" t="n"/>
      <c r="K11" s="27" t="n"/>
      <c r="L11" s="27" t="n"/>
    </row>
    <row r="12" ht="68" customHeight="1">
      <c r="A12" s="27" t="n"/>
      <c r="B12" s="27" t="n"/>
      <c r="C12" s="27" t="n"/>
      <c r="D12" s="27" t="n"/>
      <c r="E12" s="27" t="n"/>
      <c r="F12" s="27" t="n"/>
      <c r="G12" s="27" t="n"/>
      <c r="H12" s="27" t="n"/>
      <c r="I12" s="27" t="n"/>
      <c r="J12" s="27" t="n"/>
      <c r="K12" s="27" t="n"/>
      <c r="L12" s="27" t="n"/>
    </row>
    <row r="13" ht="68" customHeight="1">
      <c r="A13" s="27" t="n"/>
      <c r="B13" s="27" t="n"/>
      <c r="C13" s="27" t="n"/>
      <c r="D13" s="27" t="n"/>
      <c r="E13" s="27" t="n"/>
      <c r="F13" s="27" t="n"/>
      <c r="G13" s="27" t="n"/>
      <c r="H13" s="27" t="n"/>
      <c r="I13" s="27" t="n"/>
      <c r="J13" s="27" t="n"/>
      <c r="K13" s="27" t="n"/>
      <c r="L13" s="27" t="n"/>
    </row>
    <row r="14" ht="68" customHeight="1">
      <c r="A14" s="27" t="n"/>
      <c r="B14" s="27" t="n"/>
      <c r="C14" s="27" t="n"/>
      <c r="D14" s="27" t="n"/>
      <c r="E14" s="27" t="n"/>
      <c r="F14" s="27" t="n"/>
      <c r="G14" s="27" t="n"/>
      <c r="H14" s="27" t="n"/>
      <c r="I14" s="27" t="n"/>
      <c r="J14" s="27" t="n"/>
      <c r="K14" s="27" t="n"/>
      <c r="L14" s="27" t="n"/>
    </row>
    <row r="15" ht="68" customHeight="1">
      <c r="A15" s="27" t="n"/>
      <c r="B15" s="27" t="n"/>
      <c r="C15" s="27" t="n"/>
      <c r="D15" s="27" t="n"/>
      <c r="E15" s="27" t="n"/>
      <c r="F15" s="27" t="n"/>
      <c r="G15" s="27" t="n"/>
      <c r="H15" s="27" t="n"/>
      <c r="I15" s="27" t="n"/>
      <c r="J15" s="27" t="n"/>
      <c r="K15" s="27" t="n"/>
      <c r="L15" s="27" t="n"/>
    </row>
    <row r="16" ht="68" customHeight="1">
      <c r="A16" s="27" t="n"/>
      <c r="B16" s="27" t="n"/>
      <c r="C16" s="27" t="n"/>
      <c r="D16" s="27" t="n"/>
      <c r="E16" s="27" t="n"/>
      <c r="F16" s="27" t="n"/>
      <c r="G16" s="27" t="n"/>
      <c r="H16" s="27" t="n"/>
      <c r="I16" s="27" t="n"/>
      <c r="J16" s="27" t="n"/>
      <c r="K16" s="27" t="n"/>
      <c r="L16" s="27" t="n"/>
    </row>
    <row r="17" ht="68" customHeight="1">
      <c r="A17" s="27" t="n"/>
      <c r="B17" s="27" t="n"/>
      <c r="C17" s="27" t="n"/>
      <c r="D17" s="27" t="n"/>
      <c r="E17" s="27" t="n"/>
      <c r="F17" s="27" t="n"/>
      <c r="G17" s="27" t="n"/>
      <c r="H17" s="27" t="n"/>
      <c r="I17" s="27" t="n"/>
      <c r="J17" s="27" t="n"/>
      <c r="K17" s="27" t="n"/>
      <c r="L17" s="27" t="n"/>
    </row>
    <row r="18" ht="68" customHeight="1">
      <c r="A18" s="27" t="n"/>
      <c r="B18" s="27" t="n"/>
      <c r="C18" s="27" t="n"/>
      <c r="D18" s="27" t="n"/>
      <c r="E18" s="27" t="n"/>
      <c r="F18" s="27" t="n"/>
      <c r="G18" s="27" t="n"/>
      <c r="H18" s="27" t="n"/>
      <c r="I18" s="27" t="n"/>
      <c r="J18" s="27" t="n"/>
      <c r="K18" s="27" t="n"/>
      <c r="L18" s="27" t="n"/>
    </row>
  </sheetData>
  <mergeCells count="2">
    <mergeCell ref="A2:L2"/>
    <mergeCell ref="A1:L1"/>
  </mergeCells>
  <dataValidations count="2">
    <dataValidation sqref="G5:G18" showDropDown="0" showInputMessage="0" showErrorMessage="0" allowBlank="0" type="list">
      <formula1>"Critical,High,Medium,Low"</formula1>
    </dataValidation>
    <dataValidation sqref="K5:K18" showDropDown="0" showInputMessage="0" showErrorMessage="0" allowBlank="0" type="list">
      <formula1>"Open,Waiting,In analysis,Draft,Complete,Blocked,Parked"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10" defaultColWidth="8.83203125" defaultRowHeight="14"/>
  <cols>
    <col width="30" customWidth="1" min="1" max="1"/>
    <col width="46" customWidth="1" min="2" max="2"/>
    <col width="18" customWidth="1" min="3" max="3"/>
    <col width="25" customWidth="1" min="4" max="4"/>
    <col width="14" customWidth="1" min="5" max="5"/>
    <col width="44" customWidth="1" min="6" max="6"/>
    <col width="48" customWidth="1" min="7" max="7"/>
    <col width="18" customWidth="1" min="8" max="8"/>
  </cols>
  <sheetData>
    <row r="1" ht="28" customHeight="1">
      <c r="A1" s="11" t="inlineStr">
        <is>
          <t>FIVE GUYS — COMMERCIAL MODEL</t>
        </is>
      </c>
    </row>
    <row r="2" ht="22" customHeight="1">
      <c r="A2" s="12" t="inlineStr">
        <is>
          <t>Working economics, pricing hypotheses and gates before customer commitment.</t>
        </is>
      </c>
    </row>
    <row r="4" ht="16" customHeight="1">
      <c r="A4" s="28" t="inlineStr">
        <is>
          <t>Item</t>
        </is>
      </c>
      <c r="B4" s="28" t="inlineStr">
        <is>
          <t>Current read</t>
        </is>
      </c>
      <c r="C4" s="28" t="inlineStr">
        <is>
          <t>Value</t>
        </is>
      </c>
      <c r="D4" s="28" t="inlineStr">
        <is>
          <t>Unit</t>
        </is>
      </c>
      <c r="E4" s="28" t="inlineStr">
        <is>
          <t>Confidence</t>
        </is>
      </c>
      <c r="F4" s="28" t="inlineStr">
        <is>
          <t>Commercial implication</t>
        </is>
      </c>
      <c r="G4" s="28" t="inlineStr">
        <is>
          <t>Required validation</t>
        </is>
      </c>
      <c r="H4" s="28" t="inlineStr">
        <is>
          <t>Status</t>
        </is>
      </c>
    </row>
    <row r="5" ht="54" customHeight="1">
      <c r="A5" s="27" t="n"/>
      <c r="B5" s="27" t="n"/>
      <c r="C5" s="7" t="n"/>
      <c r="D5" s="27" t="n"/>
      <c r="E5" s="27" t="n"/>
      <c r="F5" s="27" t="n"/>
      <c r="G5" s="27" t="n"/>
      <c r="H5" s="27" t="n"/>
    </row>
    <row r="6" ht="54" customHeight="1">
      <c r="A6" s="27" t="n"/>
      <c r="B6" s="27" t="n"/>
      <c r="C6" s="8" t="n"/>
      <c r="D6" s="27" t="n"/>
      <c r="E6" s="27" t="n"/>
      <c r="F6" s="27" t="n"/>
      <c r="G6" s="27" t="n"/>
      <c r="H6" s="27" t="n"/>
    </row>
    <row r="7" ht="54" customHeight="1">
      <c r="A7" s="27" t="n"/>
      <c r="B7" s="27" t="n"/>
      <c r="C7" s="7" t="n"/>
      <c r="D7" s="27" t="n"/>
      <c r="E7" s="27" t="n"/>
      <c r="F7" s="27" t="n"/>
      <c r="G7" s="27" t="n"/>
      <c r="H7" s="27" t="n"/>
    </row>
    <row r="8" ht="54" customHeight="1">
      <c r="A8" s="27" t="n"/>
      <c r="B8" s="27" t="n"/>
      <c r="C8" s="7" t="n"/>
      <c r="D8" s="27" t="n"/>
      <c r="E8" s="27" t="n"/>
      <c r="F8" s="27" t="n"/>
      <c r="G8" s="27" t="n"/>
      <c r="H8" s="27" t="n"/>
    </row>
    <row r="9" ht="54" customHeight="1">
      <c r="A9" s="27" t="n"/>
      <c r="B9" s="27" t="n"/>
      <c r="C9" s="7" t="n"/>
      <c r="D9" s="27" t="n"/>
      <c r="E9" s="27" t="n"/>
      <c r="F9" s="27" t="n"/>
      <c r="G9" s="27" t="n"/>
      <c r="H9" s="27" t="n"/>
    </row>
    <row r="10" ht="54" customHeight="1">
      <c r="A10" s="27" t="n"/>
      <c r="B10" s="27" t="n"/>
      <c r="C10" s="7" t="n"/>
      <c r="D10" s="27" t="n"/>
      <c r="E10" s="27" t="n"/>
      <c r="F10" s="27" t="n"/>
      <c r="G10" s="27" t="n"/>
      <c r="H10" s="27" t="n"/>
    </row>
    <row r="11" ht="54" customHeight="1">
      <c r="A11" s="27" t="n"/>
      <c r="B11" s="27" t="n"/>
      <c r="C11" s="7" t="n"/>
      <c r="D11" s="27" t="n"/>
      <c r="E11" s="27" t="n"/>
      <c r="F11" s="27" t="n"/>
      <c r="G11" s="27" t="n"/>
      <c r="H11" s="27" t="n"/>
    </row>
    <row r="12" ht="54" customHeight="1">
      <c r="A12" s="27" t="inlineStr">
        <is>
          <t>Illustrative monthly standalone</t>
        </is>
      </c>
      <c r="B12" s="27" t="inlineStr">
        <is>
          <t>Formula: archetype x standalone price</t>
        </is>
      </c>
      <c r="C12" s="7">
        <f>C11*C8</f>
        <v/>
      </c>
      <c r="D12" s="27" t="inlineStr">
        <is>
          <t>USD / store / month</t>
        </is>
      </c>
      <c r="E12" s="27" t="inlineStr">
        <is>
          <t>N/A</t>
        </is>
      </c>
      <c r="F12" s="27" t="inlineStr">
        <is>
          <t>Simple planning illustration.</t>
        </is>
      </c>
      <c r="G12" s="27" t="inlineStr">
        <is>
          <t>Replace with archetype mix and approved price.</t>
        </is>
      </c>
      <c r="H12" s="27" t="inlineStr">
        <is>
          <t>Calculated</t>
        </is>
      </c>
    </row>
    <row r="13" ht="54" customHeight="1">
      <c r="A13" s="27" t="inlineStr">
        <is>
          <t>Illustrative monthly participation</t>
        </is>
      </c>
      <c r="B13" s="27" t="inlineStr">
        <is>
          <t>Formula: archetype x participation price</t>
        </is>
      </c>
      <c r="C13" s="7">
        <f>C11*C9</f>
        <v/>
      </c>
      <c r="D13" s="27" t="inlineStr">
        <is>
          <t>USD / store / month</t>
        </is>
      </c>
      <c r="E13" s="27" t="inlineStr">
        <is>
          <t>N/A</t>
        </is>
      </c>
      <c r="F13" s="27" t="inlineStr">
        <is>
          <t>Requires qualifying payments participation.</t>
        </is>
      </c>
      <c r="G13" s="27" t="inlineStr">
        <is>
          <t>Replace with approved commercial rules.</t>
        </is>
      </c>
      <c r="H13" s="27" t="inlineStr">
        <is>
          <t>Calculated</t>
        </is>
      </c>
    </row>
  </sheetData>
  <mergeCells count="2">
    <mergeCell ref="A2:H2"/>
    <mergeCell ref="A1:H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26"/>
  <sheetViews>
    <sheetView showGridLines="0" workbookViewId="0">
      <selection activeCell="A1" sqref="A1"/>
    </sheetView>
  </sheetViews>
  <sheetFormatPr baseColWidth="10" defaultColWidth="8.83203125" defaultRowHeight="14"/>
  <cols>
    <col width="30" customWidth="1" min="1" max="1"/>
    <col width="12" customWidth="1" min="2" max="2"/>
    <col width="14" customWidth="1" min="3" max="3"/>
    <col width="15" customWidth="1" min="4" max="4"/>
    <col width="20" customWidth="1" min="5" max="5"/>
    <col width="12" customWidth="1" min="6" max="7"/>
    <col width="20" customWidth="1" min="8" max="8"/>
    <col width="12" customWidth="1" min="9" max="10"/>
    <col width="23" customWidth="1" min="11" max="11"/>
    <col width="36" customWidth="1" min="12" max="12"/>
  </cols>
  <sheetData>
    <row r="1" ht="28" customHeight="1">
      <c r="A1" s="11" t="inlineStr">
        <is>
          <t>FIVE GUYS — PRESENTATION VIEW 1</t>
        </is>
      </c>
    </row>
    <row r="2" ht="22" customHeight="1">
      <c r="A2" s="12" t="inlineStr">
        <is>
          <t>Regenerated automatically from the Blue Sheet tab by the workbook renderer - do not hand-edit.</t>
        </is>
      </c>
    </row>
    <row r="4" ht="15" customHeight="1">
      <c r="A4" s="13" t="inlineStr">
        <is>
          <t>SINGLE SALES OBJECTIVE</t>
        </is>
      </c>
      <c r="G4" s="13" t="inlineStr">
        <is>
          <t>CUSTOMER'S STATED OBJECTIVE</t>
        </is>
      </c>
    </row>
    <row r="5">
      <c r="A5" s="27" t="n"/>
      <c r="B5" s="45" t="n"/>
      <c r="C5" s="45" t="n"/>
      <c r="D5" s="45" t="n"/>
      <c r="E5" s="45" t="n"/>
      <c r="F5" s="46" t="n"/>
      <c r="G5" s="27" t="n"/>
      <c r="H5" s="45" t="n"/>
      <c r="I5" s="45" t="n"/>
      <c r="J5" s="45" t="n"/>
      <c r="K5" s="45" t="n"/>
      <c r="L5" s="46" t="n"/>
    </row>
    <row r="6">
      <c r="A6" s="47" t="n"/>
      <c r="F6" s="48" t="n"/>
      <c r="G6" s="47" t="n"/>
      <c r="L6" s="48" t="n"/>
    </row>
    <row r="7">
      <c r="A7" s="49" t="n"/>
      <c r="B7" s="50" t="n"/>
      <c r="C7" s="50" t="n"/>
      <c r="D7" s="50" t="n"/>
      <c r="E7" s="50" t="n"/>
      <c r="F7" s="51" t="n"/>
      <c r="G7" s="49" t="n"/>
      <c r="H7" s="50" t="n"/>
      <c r="I7" s="50" t="n"/>
      <c r="J7" s="50" t="n"/>
      <c r="K7" s="50" t="n"/>
      <c r="L7" s="51" t="n"/>
    </row>
    <row r="9" ht="16" customHeight="1">
      <c r="A9" s="28" t="inlineStr">
        <is>
          <t>Buying influence</t>
        </is>
      </c>
      <c r="B9" s="28" t="inlineStr">
        <is>
          <t>Role</t>
        </is>
      </c>
      <c r="C9" s="28" t="inlineStr">
        <is>
          <t>Influence</t>
        </is>
      </c>
      <c r="D9" s="28" t="inlineStr">
        <is>
          <t>Mode</t>
        </is>
      </c>
      <c r="E9" s="28" t="inlineStr">
        <is>
          <t>Personal win</t>
        </is>
      </c>
      <c r="F9" s="38" t="n"/>
      <c r="G9" s="39" t="n"/>
      <c r="H9" s="28" t="inlineStr">
        <is>
          <t>Business result</t>
        </is>
      </c>
      <c r="I9" s="38" t="n"/>
      <c r="J9" s="39" t="n"/>
      <c r="K9" s="28" t="inlineStr">
        <is>
          <t>Access / relationship</t>
        </is>
      </c>
      <c r="L9" s="28" t="inlineStr">
        <is>
          <t>Next step</t>
        </is>
      </c>
    </row>
    <row r="10" ht="62" customHeight="1">
      <c r="A10" s="27" t="inlineStr">
        <is>
          <t>MJ Worsham — Vice President, Restaurant Technology</t>
        </is>
      </c>
      <c r="B10" s="27" t="inlineStr">
        <is>
          <t>U</t>
        </is>
      </c>
      <c r="C10" s="27" t="inlineStr">
        <is>
          <t>High</t>
        </is>
      </c>
      <c r="D10" s="27" t="inlineStr">
        <is>
          <t>Hold / Closed to outreach</t>
        </is>
      </c>
      <c r="E10" s="27" t="inlineStr">
        <is>
          <t>Unknown</t>
        </is>
      </c>
      <c r="F10" s="43" t="n"/>
      <c r="G10" s="44" t="n"/>
      <c r="H10" s="27" t="inlineStr">
        <is>
          <t>Unknown</t>
        </is>
      </c>
      <c r="I10" s="43" t="n"/>
      <c r="J10" s="44" t="n"/>
      <c r="K10" s="27" t="inlineStr">
        <is>
          <t>None -- direct contact declined</t>
        </is>
      </c>
      <c r="L10" s="27" t="inlineStr">
        <is>
          <t>No direct contact; wait for Avery/Melissa to reopen.</t>
        </is>
      </c>
    </row>
    <row r="11" ht="62" customHeight="1">
      <c r="A11" s="27" t="inlineStr">
        <is>
          <t>Avery Churchwell — Worldpay relationship manager</t>
        </is>
      </c>
      <c r="B11" s="27" t="inlineStr">
        <is>
          <t>Internal account owner / designated routing path</t>
        </is>
      </c>
      <c r="C11" s="27" t="inlineStr">
        <is>
          <t>High (internal gatekeeper for any future path)</t>
        </is>
      </c>
      <c r="D11" s="27" t="inlineStr">
        <is>
          <t>Protective of the relationship</t>
        </is>
      </c>
      <c r="E11" s="27" t="inlineStr">
        <is>
          <t>Unknown</t>
        </is>
      </c>
      <c r="F11" s="43" t="n"/>
      <c r="G11" s="44" t="n"/>
      <c r="H11" s="27" t="inlineStr">
        <is>
          <t>Not applicable (internal)</t>
        </is>
      </c>
      <c r="I11" s="43" t="n"/>
      <c r="J11" s="44" t="n"/>
      <c r="K11" s="27" t="inlineStr">
        <is>
          <t>Internal; controls the only authorized path back to Five Guys</t>
        </is>
      </c>
      <c r="L11" s="27" t="inlineStr">
        <is>
          <t>Wait for Avery to decide whether and when to reopen the path.</t>
        </is>
      </c>
    </row>
    <row r="12" ht="62" customHeight="1">
      <c r="A12" s="27" t="inlineStr">
        <is>
          <t>Melissa Douglas — Internal (Worldpay side)</t>
        </is>
      </c>
      <c r="B12" s="27" t="inlineStr">
        <is>
          <t>Internal escalation owner / designated routing path</t>
        </is>
      </c>
      <c r="C12" s="27" t="inlineStr">
        <is>
          <t>High (internal gatekeeper for any future path)</t>
        </is>
      </c>
      <c r="D12" s="27" t="inlineStr">
        <is>
          <t>Protective of the relationship</t>
        </is>
      </c>
      <c r="E12" s="27" t="inlineStr">
        <is>
          <t>Unknown</t>
        </is>
      </c>
      <c r="F12" s="43" t="n"/>
      <c r="G12" s="44" t="n"/>
      <c r="H12" s="27" t="inlineStr">
        <is>
          <t>Not applicable (internal)</t>
        </is>
      </c>
      <c r="I12" s="43" t="n"/>
      <c r="J12" s="44" t="n"/>
      <c r="K12" s="27" t="inlineStr">
        <is>
          <t>Internal; controls the only authorized path back to Five Guys</t>
        </is>
      </c>
      <c r="L12" s="27" t="inlineStr">
        <is>
          <t>Wait for Melissa to decide whether and when to reopen the path.</t>
        </is>
      </c>
    </row>
    <row r="13" ht="62" customHeight="1">
      <c r="A13" s="27" t="inlineStr">
        <is>
          <t>Zerrick Pearson — Chief Information Officer</t>
        </is>
      </c>
      <c r="B13" s="27" t="inlineStr">
        <is>
          <t>E? / U?</t>
        </is>
      </c>
      <c r="C13" s="27" t="inlineStr">
        <is>
          <t>Likely high (enterprise technology direction); exact role in POS/payments decisions unverified</t>
        </is>
      </c>
      <c r="D13" s="27" t="inlineStr">
        <is>
          <t>Unknown</t>
        </is>
      </c>
      <c r="E13" s="27" t="inlineStr">
        <is>
          <t>Unknown</t>
        </is>
      </c>
      <c r="F13" s="43" t="n"/>
      <c r="G13" s="44" t="n"/>
      <c r="H13" s="27" t="inlineStr">
        <is>
          <t>Unknown</t>
        </is>
      </c>
      <c r="I13" s="43" t="n"/>
      <c r="J13" s="44" t="n"/>
      <c r="K13" s="27" t="inlineStr">
        <is>
          <t>None currently</t>
        </is>
      </c>
      <c r="L13" s="27" t="inlineStr">
        <is>
          <t>Treat FSTEC as relationship-only if Five Guys independently accepts; do not use it to reopen the declined evaluation.</t>
        </is>
      </c>
    </row>
    <row r="14" ht="62" customHeight="1">
      <c r="A14" s="27" t="n"/>
      <c r="B14" s="27" t="n"/>
      <c r="C14" s="27" t="n"/>
      <c r="D14" s="27" t="n"/>
      <c r="E14" s="27" t="n"/>
      <c r="F14" s="43" t="n"/>
      <c r="G14" s="44" t="n"/>
      <c r="H14" s="27" t="n"/>
      <c r="I14" s="43" t="n"/>
      <c r="J14" s="44" t="n"/>
      <c r="K14" s="27" t="n"/>
      <c r="L14" s="27" t="n"/>
    </row>
    <row r="15" ht="62" customHeight="1">
      <c r="A15" s="27" t="n"/>
      <c r="B15" s="27" t="n"/>
      <c r="C15" s="27" t="n"/>
      <c r="D15" s="27" t="n"/>
      <c r="E15" s="27" t="n"/>
      <c r="F15" s="43" t="n"/>
      <c r="G15" s="44" t="n"/>
      <c r="H15" s="27" t="n"/>
      <c r="I15" s="43" t="n"/>
      <c r="J15" s="44" t="n"/>
      <c r="K15" s="27" t="n"/>
      <c r="L15" s="27" t="n"/>
    </row>
    <row r="16" ht="62" customHeight="1">
      <c r="A16" s="27" t="n"/>
      <c r="B16" s="27" t="n"/>
      <c r="C16" s="27" t="n"/>
      <c r="D16" s="27" t="n"/>
      <c r="E16" s="27" t="n"/>
      <c r="F16" s="43" t="n"/>
      <c r="G16" s="44" t="n"/>
      <c r="H16" s="27" t="n"/>
      <c r="I16" s="43" t="n"/>
      <c r="J16" s="44" t="n"/>
      <c r="K16" s="27" t="n"/>
      <c r="L16" s="27" t="n"/>
    </row>
    <row r="17" ht="62" customHeight="1">
      <c r="A17" s="27" t="n"/>
      <c r="B17" s="27" t="n"/>
      <c r="C17" s="27" t="n"/>
      <c r="D17" s="27" t="n"/>
      <c r="E17" s="27" t="n"/>
      <c r="F17" s="43" t="n"/>
      <c r="G17" s="44" t="n"/>
      <c r="H17" s="27" t="n"/>
      <c r="I17" s="43" t="n"/>
      <c r="J17" s="44" t="n"/>
      <c r="K17" s="27" t="n"/>
      <c r="L17" s="27" t="n"/>
    </row>
    <row r="18" ht="62" customHeight="1">
      <c r="A18" s="27" t="n"/>
      <c r="B18" s="27" t="n"/>
      <c r="C18" s="27" t="n"/>
      <c r="D18" s="27" t="n"/>
      <c r="E18" s="27" t="n"/>
      <c r="F18" s="43" t="n"/>
      <c r="G18" s="44" t="n"/>
      <c r="H18" s="27" t="n"/>
      <c r="I18" s="43" t="n"/>
      <c r="J18" s="44" t="n"/>
      <c r="K18" s="27" t="n"/>
      <c r="L18" s="27" t="n"/>
    </row>
    <row r="19" ht="62" customHeight="1">
      <c r="A19" s="27" t="n"/>
      <c r="B19" s="27" t="n"/>
      <c r="C19" s="27" t="n"/>
      <c r="D19" s="27" t="n"/>
      <c r="E19" s="27" t="n"/>
      <c r="F19" s="43" t="n"/>
      <c r="G19" s="44" t="n"/>
      <c r="H19" s="27" t="n"/>
      <c r="I19" s="43" t="n"/>
      <c r="J19" s="44" t="n"/>
      <c r="K19" s="27" t="n"/>
      <c r="L19" s="27" t="n"/>
    </row>
    <row r="21" ht="15" customHeight="1">
      <c r="A21" s="13" t="n"/>
      <c r="G21" s="13" t="n"/>
    </row>
    <row r="22" ht="38" customHeight="1">
      <c r="A22" s="27" t="n"/>
      <c r="B22" s="43" t="n"/>
      <c r="C22" s="43" t="n"/>
      <c r="D22" s="43" t="n"/>
      <c r="E22" s="43" t="n"/>
      <c r="F22" s="44" t="n"/>
      <c r="G22" s="27" t="n"/>
      <c r="H22" s="43" t="n"/>
      <c r="I22" s="43" t="n"/>
      <c r="J22" s="43" t="n"/>
      <c r="K22" s="43" t="n"/>
      <c r="L22" s="44" t="n"/>
    </row>
    <row r="23" ht="38" customHeight="1">
      <c r="A23" s="27" t="n"/>
      <c r="B23" s="43" t="n"/>
      <c r="C23" s="43" t="n"/>
      <c r="D23" s="43" t="n"/>
      <c r="E23" s="43" t="n"/>
      <c r="F23" s="44" t="n"/>
      <c r="G23" s="27" t="n"/>
      <c r="H23" s="43" t="n"/>
      <c r="I23" s="43" t="n"/>
      <c r="J23" s="43" t="n"/>
      <c r="K23" s="43" t="n"/>
      <c r="L23" s="44" t="n"/>
    </row>
    <row r="24" ht="38" customHeight="1">
      <c r="A24" s="27" t="n"/>
      <c r="B24" s="43" t="n"/>
      <c r="C24" s="43" t="n"/>
      <c r="D24" s="43" t="n"/>
      <c r="E24" s="43" t="n"/>
      <c r="F24" s="44" t="n"/>
      <c r="G24" s="27" t="n"/>
      <c r="H24" s="43" t="n"/>
      <c r="I24" s="43" t="n"/>
      <c r="J24" s="43" t="n"/>
      <c r="K24" s="43" t="n"/>
      <c r="L24" s="44" t="n"/>
    </row>
    <row r="25" ht="38" customHeight="1">
      <c r="A25" s="27" t="n"/>
      <c r="B25" s="43" t="n"/>
      <c r="C25" s="43" t="n"/>
      <c r="D25" s="43" t="n"/>
      <c r="E25" s="43" t="n"/>
      <c r="F25" s="44" t="n"/>
      <c r="G25" s="27" t="n"/>
      <c r="H25" s="43" t="n"/>
      <c r="I25" s="43" t="n"/>
      <c r="J25" s="43" t="n"/>
      <c r="K25" s="43" t="n"/>
      <c r="L25" s="44" t="n"/>
    </row>
    <row r="26" ht="38" customHeight="1">
      <c r="A26" s="27" t="n"/>
      <c r="B26" s="27" t="n"/>
      <c r="C26" s="27" t="n"/>
      <c r="D26" s="27" t="n"/>
      <c r="E26" s="27" t="n"/>
      <c r="F26" s="27" t="n"/>
      <c r="G26" s="27" t="n"/>
      <c r="H26" s="43" t="n"/>
      <c r="I26" s="43" t="n"/>
      <c r="J26" s="43" t="n"/>
      <c r="K26" s="43" t="n"/>
      <c r="L26" s="44" t="n"/>
    </row>
  </sheetData>
  <mergeCells count="39">
    <mergeCell ref="E10:G10"/>
    <mergeCell ref="E19:G19"/>
    <mergeCell ref="E13:G13"/>
    <mergeCell ref="E9:G9"/>
    <mergeCell ref="H17:J17"/>
    <mergeCell ref="A21:F21"/>
    <mergeCell ref="E15:G15"/>
    <mergeCell ref="H11:J11"/>
    <mergeCell ref="H16:J16"/>
    <mergeCell ref="A2:L2"/>
    <mergeCell ref="G24:L24"/>
    <mergeCell ref="E11:G11"/>
    <mergeCell ref="H19:J19"/>
    <mergeCell ref="A23:F23"/>
    <mergeCell ref="H13:J13"/>
    <mergeCell ref="A22:F22"/>
    <mergeCell ref="H12:J12"/>
    <mergeCell ref="A4:F4"/>
    <mergeCell ref="G4:L4"/>
    <mergeCell ref="G26:L26"/>
    <mergeCell ref="E16:G16"/>
    <mergeCell ref="H15:J15"/>
    <mergeCell ref="G25:L25"/>
    <mergeCell ref="A5:F7"/>
    <mergeCell ref="G5:L7"/>
    <mergeCell ref="H18:J18"/>
    <mergeCell ref="H14:J14"/>
    <mergeCell ref="G22:L22"/>
    <mergeCell ref="E18:G18"/>
    <mergeCell ref="E12:G12"/>
    <mergeCell ref="G21:L21"/>
    <mergeCell ref="A24:F24"/>
    <mergeCell ref="H10:J10"/>
    <mergeCell ref="E14:G14"/>
    <mergeCell ref="A1:L1"/>
    <mergeCell ref="G23:L23"/>
    <mergeCell ref="E17:G17"/>
    <mergeCell ref="H9:J9"/>
    <mergeCell ref="A25:F2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4"/>
  <sheetViews>
    <sheetView showGridLines="0" workbookViewId="0">
      <selection activeCell="A1" sqref="A1"/>
    </sheetView>
  </sheetViews>
  <sheetFormatPr baseColWidth="10" defaultColWidth="8.83203125" defaultRowHeight="14"/>
  <cols>
    <col width="30" customWidth="1" min="1" max="1"/>
    <col width="12" customWidth="1" min="2" max="2"/>
    <col width="14" customWidth="1" min="3" max="3"/>
    <col width="15" customWidth="1" min="4" max="4"/>
    <col width="21" customWidth="1" min="5" max="5"/>
    <col width="10" customWidth="1" min="6" max="7"/>
    <col width="22" customWidth="1" min="8" max="8"/>
    <col width="12" customWidth="1" min="9" max="10"/>
    <col width="25" customWidth="1" min="11" max="12"/>
  </cols>
  <sheetData>
    <row r="1" ht="28" customHeight="1">
      <c r="A1" s="11" t="inlineStr">
        <is>
          <t>FIVE GUYS — PRESENTATION VIEW 2</t>
        </is>
      </c>
    </row>
    <row r="2" ht="22" customHeight="1">
      <c r="A2" s="12" t="inlineStr">
        <is>
          <t>Regenerated automatically from the Blue Sheet tab by the workbook renderer - do not hand-edit.</t>
        </is>
      </c>
    </row>
    <row r="4" ht="15" customHeight="1">
      <c r="A4" s="13" t="inlineStr">
        <is>
          <t>SINGLE SALES OBJECTIVE</t>
        </is>
      </c>
      <c r="G4" s="13" t="inlineStr">
        <is>
          <t>COMPETITIVE POSITION</t>
        </is>
      </c>
    </row>
    <row r="5">
      <c r="A5" s="27" t="n"/>
      <c r="B5" s="45" t="n"/>
      <c r="C5" s="45" t="n"/>
      <c r="D5" s="45" t="n"/>
      <c r="E5" s="45" t="n"/>
      <c r="F5" s="46" t="n"/>
      <c r="G5" s="27" t="inlineStr">
        <is>
          <t>No competitive displacement motion exists; Five Guys' primary payments relationship is already with Worldpay/Global Payments. The broader technology environment (PAR Brink, Olo, Crunchtime, with NCR reported in EMEA) describes the incumbent estate, not an active bidder set.</t>
        </is>
      </c>
      <c r="H5" s="45" t="n"/>
      <c r="I5" s="45" t="n"/>
      <c r="J5" s="45" t="n"/>
      <c r="K5" s="45" t="n"/>
      <c r="L5" s="46" t="n"/>
    </row>
    <row r="6">
      <c r="A6" s="47" t="n"/>
      <c r="F6" s="48" t="n"/>
      <c r="G6" s="47" t="n"/>
      <c r="L6" s="48" t="n"/>
    </row>
    <row r="7">
      <c r="A7" s="49" t="n"/>
      <c r="B7" s="50" t="n"/>
      <c r="C7" s="50" t="n"/>
      <c r="D7" s="50" t="n"/>
      <c r="E7" s="50" t="n"/>
      <c r="F7" s="51" t="n"/>
      <c r="G7" s="49" t="n"/>
      <c r="H7" s="50" t="n"/>
      <c r="I7" s="50" t="n"/>
      <c r="J7" s="50" t="n"/>
      <c r="K7" s="50" t="n"/>
      <c r="L7" s="51" t="n"/>
    </row>
    <row r="9" ht="16" customHeight="1">
      <c r="A9" s="28" t="inlineStr">
        <is>
          <t>Buying influence</t>
        </is>
      </c>
      <c r="B9" s="28" t="inlineStr">
        <is>
          <t>Role</t>
        </is>
      </c>
      <c r="C9" s="28" t="inlineStr">
        <is>
          <t>Influence</t>
        </is>
      </c>
      <c r="D9" s="28" t="inlineStr">
        <is>
          <t>Mode</t>
        </is>
      </c>
      <c r="E9" s="28" t="inlineStr">
        <is>
          <t>Competitive preference</t>
        </is>
      </c>
      <c r="F9" s="39" t="n"/>
      <c r="G9" s="28" t="inlineStr">
        <is>
          <t>Rating</t>
        </is>
      </c>
      <c r="H9" s="28" t="inlineStr">
        <is>
          <t>Current read</t>
        </is>
      </c>
      <c r="I9" s="38" t="n"/>
      <c r="J9" s="39" t="n"/>
      <c r="K9" s="28" t="inlineStr">
        <is>
          <t>Next step</t>
        </is>
      </c>
      <c r="L9" s="39" t="n"/>
    </row>
    <row r="10" ht="62" customHeight="1">
      <c r="A10" s="27" t="inlineStr">
        <is>
          <t>MJ Worsham — Vice President, Restaurant Technology</t>
        </is>
      </c>
      <c r="B10" s="27" t="inlineStr">
        <is>
          <t>U</t>
        </is>
      </c>
      <c r="C10" s="27" t="inlineStr">
        <is>
          <t>High</t>
        </is>
      </c>
      <c r="D10" s="27" t="inlineStr">
        <is>
          <t>Hold / Closed to outreach</t>
        </is>
      </c>
      <c r="E10" s="27" t="inlineStr">
        <is>
          <t>Declined any evaluation</t>
        </is>
      </c>
      <c r="F10" s="44" t="n"/>
      <c r="G10" s="27" t="n">
        <v>-2</v>
      </c>
      <c r="H10" s="27" t="inlineStr">
        <is>
          <t>Key influential relationship and likely operational technology gatekeeper. On 2026-09-04 explicitly declined evaluation of any other Global Payments solutions and directed future contact through Avery Churchwell and Melissa Douglas.</t>
        </is>
      </c>
      <c r="I10" s="43" t="n"/>
      <c r="J10" s="44" t="n"/>
      <c r="K10" s="27" t="inlineStr">
        <is>
          <t>No direct contact; wait for Avery/Melissa to reopen.</t>
        </is>
      </c>
      <c r="L10" s="44" t="n"/>
    </row>
    <row r="11" ht="62" customHeight="1">
      <c r="A11" s="27" t="inlineStr">
        <is>
          <t>Avery Churchwell — Worldpay relationship manager</t>
        </is>
      </c>
      <c r="B11" s="27" t="inlineStr">
        <is>
          <t>Internal account owner / designated routing path</t>
        </is>
      </c>
      <c r="C11" s="27" t="inlineStr">
        <is>
          <t>High (internal gatekeeper for any future path)</t>
        </is>
      </c>
      <c r="D11" s="27" t="inlineStr">
        <is>
          <t>Protective of the relationship</t>
        </is>
      </c>
      <c r="E11" s="27" t="inlineStr">
        <is>
          <t>Not applicable (internal)</t>
        </is>
      </c>
      <c r="F11" s="44" t="n"/>
      <c r="G11" s="27" t="n">
        <v>0</v>
      </c>
      <c r="H11" s="27" t="inlineStr">
        <is>
          <t>Internal account owner and the required coordination point for any Five Guys engagement. Raised the contact-fragmentation concern that led to the hold.</t>
        </is>
      </c>
      <c r="I11" s="43" t="n"/>
      <c r="J11" s="44" t="n"/>
      <c r="K11" s="27" t="inlineStr">
        <is>
          <t>Wait for Avery to decide whether and when to reopen the path.</t>
        </is>
      </c>
      <c r="L11" s="44" t="n"/>
    </row>
    <row r="12" ht="62" customHeight="1">
      <c r="A12" s="27" t="inlineStr">
        <is>
          <t>Melissa Douglas — Internal (Worldpay side)</t>
        </is>
      </c>
      <c r="B12" s="27" t="inlineStr">
        <is>
          <t>Internal escalation owner / designated routing path</t>
        </is>
      </c>
      <c r="C12" s="27" t="inlineStr">
        <is>
          <t>High (internal gatekeeper for any future path)</t>
        </is>
      </c>
      <c r="D12" s="27" t="inlineStr">
        <is>
          <t>Protective of the relationship</t>
        </is>
      </c>
      <c r="E12" s="27" t="inlineStr">
        <is>
          <t>Not applicable (internal)</t>
        </is>
      </c>
      <c r="F12" s="44" t="n"/>
      <c r="G12" s="27" t="n">
        <v>0</v>
      </c>
      <c r="H12" s="27" t="inlineStr">
        <is>
          <t>Forwarded MJ's decline to the internal team and escalated the uncoordinated outreach as 'not a great look.' Co-designated, with Avery, as the only route back in.</t>
        </is>
      </c>
      <c r="I12" s="43" t="n"/>
      <c r="J12" s="44" t="n"/>
      <c r="K12" s="27" t="inlineStr">
        <is>
          <t>Wait for Melissa to decide whether and when to reopen the path.</t>
        </is>
      </c>
      <c r="L12" s="44" t="n"/>
    </row>
    <row r="13" ht="62" customHeight="1">
      <c r="A13" s="27" t="inlineStr">
        <is>
          <t>Zerrick Pearson — Chief Information Officer</t>
        </is>
      </c>
      <c r="B13" s="27" t="inlineStr">
        <is>
          <t>E? / U?</t>
        </is>
      </c>
      <c r="C13" s="27" t="inlineStr">
        <is>
          <t>Likely high (enterprise technology direction); exact role in POS/payments decisions unverified</t>
        </is>
      </c>
      <c r="D13" s="27" t="inlineStr">
        <is>
          <t>Unknown</t>
        </is>
      </c>
      <c r="E13" s="27" t="inlineStr">
        <is>
          <t>Unknown</t>
        </is>
      </c>
      <c r="F13" s="44" t="n"/>
      <c r="G13" s="27" t="n">
        <v>0</v>
      </c>
      <c r="H13" s="27" t="inlineStr">
        <is>
          <t>Named internally as a priority relationship target and FSTEC invitee alongside MJ Worsham; had not responded to the FSTEC invitation as of 2026-09-04. No direct engagement yet.</t>
        </is>
      </c>
      <c r="I13" s="43" t="n"/>
      <c r="J13" s="44" t="n"/>
      <c r="K13" s="27" t="inlineStr">
        <is>
          <t>Treat FSTEC as relationship-only if Five Guys independently accepts; do not use it to reopen the declined evaluation.</t>
        </is>
      </c>
      <c r="L13" s="44" t="n"/>
    </row>
    <row r="14" ht="62" customHeight="1">
      <c r="A14" s="27" t="n"/>
      <c r="B14" s="27" t="n"/>
      <c r="C14" s="27" t="n"/>
      <c r="D14" s="27" t="n"/>
      <c r="E14" s="27" t="n"/>
      <c r="F14" s="44" t="n"/>
      <c r="G14" s="27" t="n"/>
      <c r="H14" s="27" t="n"/>
      <c r="I14" s="43" t="n"/>
      <c r="J14" s="44" t="n"/>
      <c r="K14" s="27" t="n"/>
      <c r="L14" s="44" t="n"/>
    </row>
    <row r="15" ht="62" customHeight="1">
      <c r="A15" s="27" t="n"/>
      <c r="B15" s="27" t="n"/>
      <c r="C15" s="27" t="n"/>
      <c r="D15" s="27" t="n"/>
      <c r="E15" s="27" t="n"/>
      <c r="F15" s="44" t="n"/>
      <c r="G15" s="27" t="n"/>
      <c r="H15" s="27" t="n"/>
      <c r="I15" s="43" t="n"/>
      <c r="J15" s="44" t="n"/>
      <c r="K15" s="27" t="n"/>
      <c r="L15" s="44" t="n"/>
    </row>
    <row r="16" ht="62" customHeight="1">
      <c r="A16" s="27" t="n"/>
      <c r="B16" s="27" t="n"/>
      <c r="C16" s="27" t="n"/>
      <c r="D16" s="27" t="n"/>
      <c r="E16" s="27" t="n"/>
      <c r="F16" s="44" t="n"/>
      <c r="G16" s="27" t="n"/>
      <c r="H16" s="27" t="n"/>
      <c r="I16" s="43" t="n"/>
      <c r="J16" s="44" t="n"/>
      <c r="K16" s="27" t="n"/>
      <c r="L16" s="44" t="n"/>
    </row>
    <row r="17" ht="62" customHeight="1">
      <c r="A17" s="27" t="n"/>
      <c r="B17" s="27" t="n"/>
      <c r="C17" s="27" t="n"/>
      <c r="D17" s="27" t="n"/>
      <c r="E17" s="27" t="n"/>
      <c r="F17" s="44" t="n"/>
      <c r="G17" s="27" t="n"/>
      <c r="H17" s="27" t="n"/>
      <c r="I17" s="43" t="n"/>
      <c r="J17" s="44" t="n"/>
      <c r="K17" s="27" t="n"/>
      <c r="L17" s="44" t="n"/>
    </row>
    <row r="18" ht="62" customHeight="1">
      <c r="A18" s="27" t="n"/>
      <c r="B18" s="27" t="n"/>
      <c r="C18" s="27" t="n"/>
      <c r="D18" s="27" t="n"/>
      <c r="E18" s="27" t="n"/>
      <c r="F18" s="44" t="n"/>
      <c r="G18" s="27" t="n"/>
      <c r="H18" s="27" t="n"/>
      <c r="I18" s="43" t="n"/>
      <c r="J18" s="44" t="n"/>
      <c r="K18" s="27" t="n"/>
      <c r="L18" s="44" t="n"/>
    </row>
    <row r="19" ht="62" customHeight="1">
      <c r="A19" s="27" t="n"/>
      <c r="B19" s="27" t="n"/>
      <c r="C19" s="27" t="n"/>
      <c r="D19" s="27" t="n"/>
      <c r="E19" s="27" t="n"/>
      <c r="F19" s="44" t="n"/>
      <c r="G19" s="27" t="n"/>
      <c r="H19" s="27" t="n"/>
      <c r="I19" s="43" t="n"/>
      <c r="J19" s="44" t="n"/>
      <c r="K19" s="27" t="n"/>
      <c r="L19" s="44" t="n"/>
    </row>
    <row r="21" ht="15" customHeight="1">
      <c r="A21" s="13" t="n"/>
      <c r="E21" s="13" t="n"/>
      <c r="I21" s="13" t="n"/>
    </row>
    <row r="22">
      <c r="A22" s="27" t="n"/>
      <c r="B22" s="45" t="n"/>
      <c r="C22" s="45" t="n"/>
      <c r="D22" s="46" t="n"/>
      <c r="E22" s="27" t="n"/>
      <c r="F22" s="45" t="n"/>
      <c r="G22" s="45" t="n"/>
      <c r="H22" s="46" t="n"/>
      <c r="I22" s="27" t="n"/>
      <c r="J22" s="45" t="n"/>
      <c r="K22" s="45" t="n"/>
      <c r="L22" s="46" t="n"/>
    </row>
    <row r="23">
      <c r="A23" s="47" t="n"/>
      <c r="D23" s="48" t="n"/>
      <c r="E23" s="47" t="n"/>
      <c r="H23" s="48" t="n"/>
      <c r="I23" s="47" t="n"/>
      <c r="L23" s="48" t="n"/>
    </row>
    <row r="24">
      <c r="A24" s="49" t="n"/>
      <c r="B24" s="50" t="n"/>
      <c r="C24" s="50" t="n"/>
      <c r="D24" s="51" t="n"/>
      <c r="E24" s="49" t="n"/>
      <c r="F24" s="50" t="n"/>
      <c r="G24" s="50" t="n"/>
      <c r="H24" s="51" t="n"/>
      <c r="I24" s="49" t="n"/>
      <c r="J24" s="50" t="n"/>
      <c r="K24" s="50" t="n"/>
      <c r="L24" s="51" t="n"/>
    </row>
  </sheetData>
  <mergeCells count="45">
    <mergeCell ref="K16:L16"/>
    <mergeCell ref="E12:F12"/>
    <mergeCell ref="K15:L15"/>
    <mergeCell ref="K9:L9"/>
    <mergeCell ref="E14:F14"/>
    <mergeCell ref="H17:J17"/>
    <mergeCell ref="E17:F17"/>
    <mergeCell ref="H11:J11"/>
    <mergeCell ref="A22:D24"/>
    <mergeCell ref="H16:J16"/>
    <mergeCell ref="A2:L2"/>
    <mergeCell ref="E22:H24"/>
    <mergeCell ref="K11:L11"/>
    <mergeCell ref="E10:F10"/>
    <mergeCell ref="H19:J19"/>
    <mergeCell ref="E19:F19"/>
    <mergeCell ref="H13:J13"/>
    <mergeCell ref="E21:H21"/>
    <mergeCell ref="E13:F13"/>
    <mergeCell ref="H12:J12"/>
    <mergeCell ref="A4:F4"/>
    <mergeCell ref="G4:L4"/>
    <mergeCell ref="E9:F9"/>
    <mergeCell ref="H15:J15"/>
    <mergeCell ref="A5:F7"/>
    <mergeCell ref="G5:L7"/>
    <mergeCell ref="K12:L12"/>
    <mergeCell ref="H18:J18"/>
    <mergeCell ref="E15:F15"/>
    <mergeCell ref="H14:J14"/>
    <mergeCell ref="E11:F11"/>
    <mergeCell ref="K14:L14"/>
    <mergeCell ref="K17:L17"/>
    <mergeCell ref="H10:J10"/>
    <mergeCell ref="I22:L24"/>
    <mergeCell ref="E16:F16"/>
    <mergeCell ref="I21:L21"/>
    <mergeCell ref="A1:L1"/>
    <mergeCell ref="A21:D21"/>
    <mergeCell ref="K10:L10"/>
    <mergeCell ref="K19:L19"/>
    <mergeCell ref="H9:J9"/>
    <mergeCell ref="K13:L13"/>
    <mergeCell ref="E18:F18"/>
    <mergeCell ref="K18:L1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10" defaultColWidth="8.83203125" defaultRowHeight="14"/>
  <cols>
    <col width="22" customWidth="1" min="1" max="1"/>
    <col width="20" customWidth="1" min="2" max="2"/>
    <col width="15" customWidth="1" min="3" max="3"/>
    <col width="16" customWidth="1" min="4" max="4"/>
    <col width="18" customWidth="1" min="5" max="5"/>
    <col width="15" customWidth="1" min="6" max="6"/>
    <col width="24" customWidth="1" min="7" max="8"/>
    <col width="20" customWidth="1" min="9" max="10"/>
  </cols>
  <sheetData>
    <row r="1" ht="28" customHeight="1">
      <c r="A1" s="11" t="inlineStr">
        <is>
          <t>BLUE SHEET METHOD &amp; GOVERNANCE</t>
        </is>
      </c>
    </row>
    <row r="2" ht="22" customHeight="1">
      <c r="A2" s="12" t="inlineStr">
        <is>
          <t>Internal operating standard for disciplined opportunity strategy and review.</t>
        </is>
      </c>
    </row>
    <row r="4" ht="16" customHeight="1">
      <c r="A4" s="28" t="inlineStr">
        <is>
          <t>Area</t>
        </is>
      </c>
      <c r="B4" s="28" t="inlineStr">
        <is>
          <t>Standard</t>
        </is>
      </c>
      <c r="C4" s="38" t="n"/>
      <c r="D4" s="38" t="n"/>
      <c r="E4" s="38" t="n"/>
      <c r="F4" s="39" t="n"/>
      <c r="G4" s="28" t="inlineStr">
        <is>
          <t>Minimum evidence / output</t>
        </is>
      </c>
      <c r="H4" s="38" t="n"/>
      <c r="I4" s="38" t="n"/>
      <c r="J4" s="39" t="n"/>
    </row>
    <row r="5" ht="54" customHeight="1">
      <c r="A5" s="9" t="inlineStr">
        <is>
          <t>Purpose</t>
        </is>
      </c>
      <c r="B5" s="27" t="inlineStr">
        <is>
          <t>A living strategy document for one specific sales objective—not a general account-information repository.</t>
        </is>
      </c>
      <c r="C5" s="43" t="n"/>
      <c r="D5" s="43" t="n"/>
      <c r="E5" s="43" t="n"/>
      <c r="F5" s="44" t="n"/>
      <c r="G5" s="27" t="inlineStr">
        <is>
          <t>A clear, measurable Single Sales Objective tied to a company/area, solution, commercial outcome and customer timing.</t>
        </is>
      </c>
      <c r="H5" s="43" t="n"/>
      <c r="I5" s="43" t="n"/>
      <c r="J5" s="44" t="n"/>
    </row>
    <row r="6" ht="54" customHeight="1">
      <c r="A6" s="9" t="inlineStr">
        <is>
          <t>Core methodology</t>
        </is>
      </c>
      <c r="B6" s="27" t="inlineStr">
        <is>
          <t>Use Buying Influences, Win–Results, Modes, Ratings, Strengths, Red Flags, competition, perspective and the Best Action Plan as one connected strategy system.</t>
        </is>
      </c>
      <c r="C6" s="43" t="n"/>
      <c r="D6" s="43" t="n"/>
      <c r="E6" s="43" t="n"/>
      <c r="F6" s="44" t="n"/>
      <c r="G6" s="27" t="inlineStr">
        <is>
          <t>Each material strategy assertion is reflected in the appropriate field and converted into an implication or action.</t>
        </is>
      </c>
      <c r="H6" s="43" t="n"/>
      <c r="I6" s="43" t="n"/>
      <c r="J6" s="44" t="n"/>
    </row>
    <row r="7" ht="54" customHeight="1">
      <c r="A7" s="9" t="inlineStr">
        <is>
          <t>Evidence discipline</t>
        </is>
      </c>
      <c r="B7" s="27" t="inlineStr">
        <is>
          <t>Unknown stays unknown. Do not infer an Economic Buyer, Coach, influence level, mode, preference, rating, budget or decision authority.</t>
        </is>
      </c>
      <c r="C7" s="43" t="n"/>
      <c r="D7" s="43" t="n"/>
      <c r="E7" s="43" t="n"/>
      <c r="F7" s="44" t="n"/>
      <c r="G7" s="27" t="inlineStr">
        <is>
          <t>Observed customer behavior, direct customer statements, documented process evidence or a clearly labeled working hypothesis.</t>
        </is>
      </c>
      <c r="H7" s="43" t="n"/>
      <c r="I7" s="43" t="n"/>
      <c r="J7" s="44" t="n"/>
    </row>
    <row r="8" ht="54" customHeight="1">
      <c r="A8" s="9" t="inlineStr">
        <is>
          <t>Coach standard</t>
        </is>
      </c>
      <c r="B8" s="27" t="inlineStr">
        <is>
          <t>A responsive or friendly contact is not automatically a Coach. A Coach must satisfy all three Miller Heiman tests.</t>
        </is>
      </c>
      <c r="C8" s="43" t="n"/>
      <c r="D8" s="43" t="n"/>
      <c r="E8" s="43" t="n"/>
      <c r="F8" s="44" t="n"/>
      <c r="G8" s="27" t="inlineStr">
        <is>
          <t>We have credibility with the person; the person has credibility with the Buying Influences; the person wants our solution above all others and will advocate for it.</t>
        </is>
      </c>
      <c r="H8" s="43" t="n"/>
      <c r="I8" s="43" t="n"/>
      <c r="J8" s="44" t="n"/>
    </row>
    <row r="9" ht="54" customHeight="1">
      <c r="A9" s="9" t="inlineStr">
        <is>
          <t>Qualification score</t>
        </is>
      </c>
      <c r="B9" s="27" t="inlineStr">
        <is>
          <t>The five criteria are qualification tests—not optimism scores. Use Y only when the complete statement is supported.</t>
        </is>
      </c>
      <c r="C9" s="43" t="n"/>
      <c r="D9" s="43" t="n"/>
      <c r="E9" s="43" t="n"/>
      <c r="F9" s="44" t="n"/>
      <c r="G9" s="27" t="inlineStr">
        <is>
          <t>Evidence for budget, access, buying process, supportive Economic Buying Influence and at least one qualified Coach. Otherwise use N or U.</t>
        </is>
      </c>
      <c r="H9" s="43" t="n"/>
      <c r="I9" s="43" t="n"/>
      <c r="J9" s="44" t="n"/>
    </row>
    <row r="10" ht="54" customHeight="1">
      <c r="A10" s="9" t="inlineStr">
        <is>
          <t>Review triggers</t>
        </is>
      </c>
      <c r="B10" s="27" t="inlineStr">
        <is>
          <t>Review after meaningful calls, emails, RFI/RFP changes, new stakeholders, competitive intelligence, commercial decisions or material changes in access and timing.</t>
        </is>
      </c>
      <c r="C10" s="43" t="n"/>
      <c r="D10" s="43" t="n"/>
      <c r="E10" s="43" t="n"/>
      <c r="F10" s="44" t="n"/>
      <c r="G10" s="27" t="inlineStr">
        <is>
          <t>Updated fields, Strengths, Red Flags and Best Action Plan; material changes recorded in Actions &amp; Decisions or the Change Log where applicable.</t>
        </is>
      </c>
      <c r="H10" s="43" t="n"/>
      <c r="I10" s="43" t="n"/>
      <c r="J10" s="44" t="n"/>
    </row>
    <row r="11" ht="54" customHeight="1">
      <c r="A11" s="9" t="inlineStr">
        <is>
          <t>Structured review</t>
        </is>
      </c>
      <c r="B11" s="27" t="inlineStr">
        <is>
          <t>Owner tells the story; team uncovers Red Flags; team identifies Strengths; team develops perspective; team proposes actions; owner selects the Best Action Plan.</t>
        </is>
      </c>
      <c r="C11" s="43" t="n"/>
      <c r="D11" s="43" t="n"/>
      <c r="E11" s="43" t="n"/>
      <c r="F11" s="44" t="n"/>
      <c r="G11" s="27" t="inlineStr">
        <is>
          <t>Use the timing and prompts on Concept Card — Perspective &amp; Review.</t>
        </is>
      </c>
      <c r="H11" s="43" t="n"/>
      <c r="I11" s="43" t="n"/>
      <c r="J11" s="44" t="n"/>
    </row>
    <row r="12" ht="54" customHeight="1">
      <c r="A12" s="9" t="inlineStr">
        <is>
          <t>Action quality</t>
        </is>
      </c>
      <c r="B12" s="27" t="inlineStr">
        <is>
          <t>Every Best Action must be specific and executable, not a general intention.</t>
        </is>
      </c>
      <c r="C12" s="43" t="n"/>
      <c r="D12" s="43" t="n"/>
      <c r="E12" s="43" t="n"/>
      <c r="F12" s="44" t="n"/>
      <c r="G12" s="27" t="inlineStr">
        <is>
          <t>Named owner, target date, intended Buying Influence, expected outcome and the Red Flag reduced or Strength leveraged.</t>
        </is>
      </c>
      <c r="H12" s="43" t="n"/>
      <c r="I12" s="43" t="n"/>
      <c r="J12" s="44" t="n"/>
    </row>
    <row r="13" ht="54" customHeight="1">
      <c r="A13" s="9" t="inlineStr">
        <is>
          <t>Automation behavior</t>
        </is>
      </c>
      <c r="B13" s="27" t="inlineStr">
        <is>
          <t>New intelligence updates the Brand and Technology Stack when relevant and triggers a Blue Sheet review without creating duplicate sources of truth.</t>
        </is>
      </c>
      <c r="C13" s="43" t="n"/>
      <c r="D13" s="43" t="n"/>
      <c r="E13" s="43" t="n"/>
      <c r="F13" s="44" t="n"/>
      <c r="G13" s="27" t="inlineStr">
        <is>
          <t>Update existing records, preserve unresolved items, and surface changed assumptions or implications for human review.</t>
        </is>
      </c>
      <c r="H13" s="43" t="n"/>
      <c r="I13" s="43" t="n"/>
      <c r="J13" s="44" t="n"/>
    </row>
    <row r="14" ht="54" customHeight="1">
      <c r="A14" s="9" t="inlineStr">
        <is>
          <t>Ownership</t>
        </is>
      </c>
      <c r="B14" s="27" t="inlineStr">
        <is>
          <t>One named Blue Sheet owner is accountable for strategy quality; contributors provide functional evidence and execute assigned actions.</t>
        </is>
      </c>
      <c r="C14" s="43" t="n"/>
      <c r="D14" s="43" t="n"/>
      <c r="E14" s="43" t="n"/>
      <c r="F14" s="44" t="n"/>
      <c r="G14" s="27" t="inlineStr">
        <is>
          <t>Owner, contributors, last-reviewed date and next formal review are visible and current.</t>
        </is>
      </c>
      <c r="H14" s="43" t="n"/>
      <c r="I14" s="43" t="n"/>
      <c r="J14" s="44" t="n"/>
    </row>
    <row r="15" ht="54" customHeight="1">
      <c r="A15" s="9" t="inlineStr">
        <is>
          <t>Internal-use notice</t>
        </is>
      </c>
      <c r="B15" s="27" t="inlineStr">
        <is>
          <t>Miller Heiman terminology and supplied reference materials are proprietary and are included for internal use under the organization’s applicable rights.</t>
        </is>
      </c>
      <c r="C15" s="43" t="n"/>
      <c r="D15" s="43" t="n"/>
      <c r="E15" s="43" t="n"/>
      <c r="F15" s="44" t="n"/>
      <c r="G15" s="27" t="inlineStr">
        <is>
          <t>Do not redistribute the concept cards or represent this workbook as an official Miller Heiman publication.</t>
        </is>
      </c>
      <c r="H15" s="43" t="n"/>
      <c r="I15" s="43" t="n"/>
      <c r="J15" s="44" t="n"/>
    </row>
    <row r="17" ht="15" customHeight="1">
      <c r="A17" s="13" t="inlineStr">
        <is>
          <t>BLUE SHEET OWNER &amp; REVIEW CONTROL</t>
        </is>
      </c>
    </row>
    <row r="18" ht="48" customHeight="1">
      <c r="A18" s="6" t="inlineStr">
        <is>
          <t>Blue Sheet owner</t>
        </is>
      </c>
      <c r="B18" s="27" t="inlineStr">
        <is>
          <t>Todd Vahlsing</t>
        </is>
      </c>
      <c r="C18" s="44" t="n"/>
      <c r="D18" s="6" t="inlineStr">
        <is>
          <t>Last reviewed</t>
        </is>
      </c>
      <c r="E18" s="31" t="n">
        <v>46303</v>
      </c>
      <c r="F18" s="44" t="n"/>
      <c r="G18" s="6" t="inlineStr">
        <is>
          <t>Next formal review</t>
        </is>
      </c>
      <c r="H18" s="27" t="inlineStr">
        <is>
          <t>When Avery Churchwell or Melissa Douglas affirmatively reopens the path</t>
        </is>
      </c>
      <c r="I18" s="43" t="n"/>
      <c r="J18" s="44" t="n"/>
    </row>
    <row r="19" ht="48" customHeight="1">
      <c r="A19" s="6" t="inlineStr">
        <is>
          <t>Core contributors</t>
        </is>
      </c>
      <c r="B19" s="27" t="inlineStr">
        <is>
          <t>Avery Churchwell (Worldpay relationship manager); Melissa Douglas</t>
        </is>
      </c>
      <c r="C19" s="44" t="n"/>
      <c r="D19" s="6" t="inlineStr">
        <is>
          <t>Review status</t>
        </is>
      </c>
      <c r="E19" s="27" t="inlineStr">
        <is>
          <t>Blue Sheet activated from the existing research shell. The account is in a customer-directed outreach hold, not an active opportunity.</t>
        </is>
      </c>
      <c r="F19" s="44" t="n"/>
      <c r="G19" s="6" t="inlineStr">
        <is>
          <t>Current critical test</t>
        </is>
      </c>
      <c r="H19" s="27" t="inlineStr">
        <is>
          <t>Will Avery Churchwell or Melissa Douglas affirmatively reopen the Genius path?</t>
        </is>
      </c>
      <c r="I19" s="43" t="n"/>
      <c r="J19" s="44" t="n"/>
    </row>
    <row r="20" ht="48" customHeight="1">
      <c r="A20" s="6" t="inlineStr">
        <is>
          <t>Review expectation</t>
        </is>
      </c>
      <c r="B20" s="27" t="inlineStr">
        <is>
          <t>Update within the normal account workflow after a material input; conduct a structured team review at major pursuit gates.</t>
        </is>
      </c>
      <c r="C20" s="43" t="n"/>
      <c r="D20" s="43" t="n"/>
      <c r="E20" s="43" t="n"/>
      <c r="F20" s="43" t="n"/>
      <c r="G20" s="43" t="n"/>
      <c r="H20" s="43" t="n"/>
      <c r="I20" s="43" t="n"/>
      <c r="J20" s="44" t="n"/>
    </row>
  </sheetData>
  <mergeCells count="34">
    <mergeCell ref="B4:F4"/>
    <mergeCell ref="B7:F7"/>
    <mergeCell ref="A17:J17"/>
    <mergeCell ref="G4:J4"/>
    <mergeCell ref="B18:C18"/>
    <mergeCell ref="B12:F12"/>
    <mergeCell ref="G9:J9"/>
    <mergeCell ref="H19:J19"/>
    <mergeCell ref="E19:F19"/>
    <mergeCell ref="B11:F11"/>
    <mergeCell ref="G12:J12"/>
    <mergeCell ref="B14:F14"/>
    <mergeCell ref="G11:J11"/>
    <mergeCell ref="B8:F8"/>
    <mergeCell ref="B13:F13"/>
    <mergeCell ref="A1:J1"/>
    <mergeCell ref="B20:J20"/>
    <mergeCell ref="H18:J18"/>
    <mergeCell ref="G8:J8"/>
    <mergeCell ref="B19:C19"/>
    <mergeCell ref="B10:F10"/>
    <mergeCell ref="G7:J7"/>
    <mergeCell ref="B9:F9"/>
    <mergeCell ref="G10:J10"/>
    <mergeCell ref="G6:J6"/>
    <mergeCell ref="G13:J13"/>
    <mergeCell ref="B6:F6"/>
    <mergeCell ref="B15:F15"/>
    <mergeCell ref="B5:F5"/>
    <mergeCell ref="G15:J15"/>
    <mergeCell ref="A2:J2"/>
    <mergeCell ref="E18:F18"/>
    <mergeCell ref="G5:J5"/>
    <mergeCell ref="G14:J1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10" defaultColWidth="8.83203125" defaultRowHeight="14"/>
  <cols>
    <col width="18" customWidth="1" min="1" max="1"/>
    <col width="22" customWidth="1" min="2" max="2"/>
    <col width="16" customWidth="1" min="3" max="4"/>
    <col width="22" customWidth="1" min="5" max="8"/>
  </cols>
  <sheetData>
    <row r="1" ht="28" customHeight="1">
      <c r="A1" s="11" t="inlineStr">
        <is>
          <t>CRITERIA STATEMENTS</t>
        </is>
      </c>
    </row>
    <row r="2" ht="22" customHeight="1">
      <c r="A2" s="12" t="inlineStr">
        <is>
          <t>Reference definitions for the five opportunity scorecard criteria.</t>
        </is>
      </c>
    </row>
    <row r="4" ht="16" customHeight="1">
      <c r="A4" s="28" t="inlineStr">
        <is>
          <t>Criterion</t>
        </is>
      </c>
      <c r="B4" s="28" t="inlineStr">
        <is>
          <t>Statement</t>
        </is>
      </c>
      <c r="C4" s="38" t="n"/>
      <c r="D4" s="39" t="n"/>
      <c r="E4" s="28" t="inlineStr">
        <is>
          <t>Qualification standard</t>
        </is>
      </c>
      <c r="F4" s="38" t="n"/>
      <c r="G4" s="38" t="n"/>
      <c r="H4" s="39" t="n"/>
    </row>
    <row r="5" ht="72" customHeight="1">
      <c r="A5" s="10" t="inlineStr">
        <is>
          <t>CRITERIA 1</t>
        </is>
      </c>
      <c r="B5" s="27" t="inlineStr">
        <is>
          <t>Sufficient budget exists.</t>
        </is>
      </c>
      <c r="C5" s="43" t="n"/>
      <c r="D5" s="44" t="n"/>
      <c r="E5" s="27" t="inlineStr">
        <is>
          <t>At least one High Degree of Influence Buying Influence has shared that sufficient budget exists for this buying decision.</t>
        </is>
      </c>
      <c r="F5" s="43" t="n"/>
      <c r="G5" s="43" t="n"/>
      <c r="H5" s="44" t="n"/>
    </row>
    <row r="6" ht="72" customHeight="1">
      <c r="A6" s="10" t="inlineStr">
        <is>
          <t>CRITERIA 2</t>
        </is>
      </c>
      <c r="B6" s="27" t="inlineStr">
        <is>
          <t>We have the access we need.</t>
        </is>
      </c>
      <c r="C6" s="43" t="n"/>
      <c r="D6" s="44" t="n"/>
      <c r="E6" s="27" t="inlineStr">
        <is>
          <t>We have met with, or are being provided the opportunity to meet with, the High Degree of Influence Buying Influences.</t>
        </is>
      </c>
      <c r="F6" s="43" t="n"/>
      <c r="G6" s="43" t="n"/>
      <c r="H6" s="44" t="n"/>
    </row>
    <row r="7" ht="72" customHeight="1">
      <c r="A7" s="10" t="inlineStr">
        <is>
          <t>CRITERIA 3</t>
        </is>
      </c>
      <c r="B7" s="27" t="inlineStr">
        <is>
          <t>We have a clear understanding of the customer’s buying process.</t>
        </is>
      </c>
      <c r="C7" s="43" t="n"/>
      <c r="D7" s="44" t="n"/>
      <c r="E7" s="27" t="inlineStr">
        <is>
          <t>We understand the cultural, financial or strategic drivers for change and have identified the approval steps, how decisions are made and the customer’s timing and priorities.</t>
        </is>
      </c>
      <c r="F7" s="43" t="n"/>
      <c r="G7" s="43" t="n"/>
      <c r="H7" s="44" t="n"/>
    </row>
    <row r="8" ht="72" customHeight="1">
      <c r="A8" s="10" t="inlineStr">
        <is>
          <t>CRITERIA 4</t>
        </is>
      </c>
      <c r="B8" s="27" t="inlineStr">
        <is>
          <t>We have a strong relationship with a supportive Economic Buying Influence.</t>
        </is>
      </c>
      <c r="C8" s="43" t="n"/>
      <c r="D8" s="44" t="n"/>
      <c r="E8" s="27" t="inlineStr">
        <is>
          <t>We have direct access to the Economic Buying Influence, who has a +3 rating or higher.</t>
        </is>
      </c>
      <c r="F8" s="43" t="n"/>
      <c r="G8" s="43" t="n"/>
      <c r="H8" s="44" t="n"/>
    </row>
    <row r="9" ht="72" customHeight="1">
      <c r="A9" s="10" t="inlineStr">
        <is>
          <t>CRITERIA 5</t>
        </is>
      </c>
      <c r="B9" s="27" t="inlineStr">
        <is>
          <t>We have at least one Coach.</t>
        </is>
      </c>
      <c r="C9" s="43" t="n"/>
      <c r="D9" s="44" t="n"/>
      <c r="E9" s="27" t="inlineStr">
        <is>
          <t>We have at least one Coach with High Degree of Influence. Every Coach must meet all three tests: we have credibility with the person; the person has credibility with the Buying Influences for this Single Sales Objective; and the person wants our solution above all others and will advocate for it.</t>
        </is>
      </c>
      <c r="F9" s="43" t="n"/>
      <c r="G9" s="43" t="n"/>
      <c r="H9" s="44" t="n"/>
    </row>
  </sheetData>
  <mergeCells count="14">
    <mergeCell ref="B5:D5"/>
    <mergeCell ref="E9:H9"/>
    <mergeCell ref="E8:H8"/>
    <mergeCell ref="B8:D8"/>
    <mergeCell ref="A2:H2"/>
    <mergeCell ref="B4:D4"/>
    <mergeCell ref="E6:H6"/>
    <mergeCell ref="E4:H4"/>
    <mergeCell ref="B9:D9"/>
    <mergeCell ref="E7:H7"/>
    <mergeCell ref="A1:H1"/>
    <mergeCell ref="B7:D7"/>
    <mergeCell ref="B6:D6"/>
    <mergeCell ref="E5:H5"/>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10" defaultColWidth="8.83203125" defaultRowHeight="14"/>
  <cols>
    <col width="13" customWidth="1" min="1" max="14"/>
  </cols>
  <sheetData>
    <row r="1" ht="28" customHeight="1">
      <c r="A1" s="11" t="inlineStr">
        <is>
          <t>CONCEPT CARD — STRATEGIC SELLING</t>
        </is>
      </c>
    </row>
    <row r="2" ht="22" customHeight="1">
      <c r="A2" s="12" t="inlineStr">
        <is>
          <t>Buying influences, wins/results, ratings, modes, strengths and red flags.</t>
        </is>
      </c>
    </row>
    <row r="4" ht="15" customHeight="1">
      <c r="A4" s="28" t="inlineStr">
        <is>
          <t>Concept</t>
        </is>
      </c>
      <c r="B4" s="39" t="n"/>
      <c r="C4" s="28" t="inlineStr">
        <is>
          <t>Definition / use</t>
        </is>
      </c>
      <c r="D4" s="38" t="n"/>
      <c r="E4" s="38" t="n"/>
      <c r="F4" s="38" t="n"/>
      <c r="G4" s="39" t="n"/>
      <c r="H4" s="28" t="inlineStr">
        <is>
          <t>Concept</t>
        </is>
      </c>
      <c r="I4" s="39" t="n"/>
      <c r="J4" s="28" t="inlineStr">
        <is>
          <t>Definition / use</t>
        </is>
      </c>
      <c r="K4" s="38" t="n"/>
      <c r="L4" s="38" t="n"/>
      <c r="M4" s="38" t="n"/>
      <c r="N4" s="39" t="n"/>
    </row>
    <row r="5" ht="66" customHeight="1">
      <c r="A5" s="32" t="inlineStr">
        <is>
          <t>STRENGTHS</t>
        </is>
      </c>
      <c r="B5" s="44" t="n"/>
      <c r="C5" s="27" t="inlineStr">
        <is>
          <t>Areas of differentiation; opportunities used to improve position; relevant to the current Single Sales Objective; can lessen price sensitivity.</t>
        </is>
      </c>
      <c r="D5" s="43" t="n"/>
      <c r="E5" s="43" t="n"/>
      <c r="F5" s="43" t="n"/>
      <c r="G5" s="44" t="n"/>
      <c r="H5" s="32" t="inlineStr">
        <is>
          <t>RED FLAGS</t>
        </is>
      </c>
      <c r="I5" s="44" t="n"/>
      <c r="J5" s="27" t="inlineStr">
        <is>
          <t>Critical information missing or unclear; new or uncontacted Buying Influences; reorganization; uncertainty about any information.</t>
        </is>
      </c>
      <c r="K5" s="43" t="n"/>
      <c r="L5" s="43" t="n"/>
      <c r="M5" s="43" t="n"/>
      <c r="N5" s="44" t="n"/>
    </row>
    <row r="6" ht="66" customHeight="1">
      <c r="A6" s="32" t="inlineStr">
        <is>
          <t>BUYING INFLUENCES</t>
        </is>
      </c>
      <c r="B6" s="44" t="n"/>
      <c r="C6" s="27" t="inlineStr">
        <is>
          <t>Economic (E): final approval and organizational impact. Technical (T): screens against specifications. User (U): judges impact on the job to be done. Coach (C): guides the sale and focuses on our success.</t>
        </is>
      </c>
      <c r="D6" s="43" t="n"/>
      <c r="E6" s="43" t="n"/>
      <c r="F6" s="43" t="n"/>
      <c r="G6" s="44" t="n"/>
      <c r="H6" s="32" t="inlineStr">
        <is>
          <t>COACH TEST</t>
        </is>
      </c>
      <c r="I6" s="44" t="n"/>
      <c r="J6" s="27" t="inlineStr">
        <is>
          <t>We have credibility; the person has credibility with Buying Influences; the person wants our solution above all others and will advocate for it.</t>
        </is>
      </c>
      <c r="K6" s="43" t="n"/>
      <c r="L6" s="43" t="n"/>
      <c r="M6" s="43" t="n"/>
      <c r="N6" s="44" t="n"/>
    </row>
    <row r="7" ht="66" customHeight="1">
      <c r="A7" s="32" t="inlineStr">
        <is>
          <t>WIN–RESULTS</t>
        </is>
      </c>
      <c r="B7" s="44" t="n"/>
      <c r="C7" s="27" t="inlineStr">
        <is>
          <t>Wins are personal and describe how a Buying Influence’s self-interest is served. Results describe the product/service impact on the Buying Influence’s business process.</t>
        </is>
      </c>
      <c r="D7" s="43" t="n"/>
      <c r="E7" s="43" t="n"/>
      <c r="F7" s="43" t="n"/>
      <c r="G7" s="44" t="n"/>
      <c r="H7" s="32" t="inlineStr">
        <is>
          <t>COMPETITIVE PREFERENCES</t>
        </is>
      </c>
      <c r="I7" s="44" t="n"/>
      <c r="J7" s="27" t="inlineStr">
        <is>
          <t>Buy from us; buy elsewhere; reuse funds; internal alternative; do nothing.</t>
        </is>
      </c>
      <c r="K7" s="43" t="n"/>
      <c r="L7" s="43" t="n"/>
      <c r="M7" s="43" t="n"/>
      <c r="N7" s="44" t="n"/>
    </row>
    <row r="8" ht="66" customHeight="1">
      <c r="A8" s="32" t="inlineStr">
        <is>
          <t>DEGREE OF INFLUENCE</t>
        </is>
      </c>
      <c r="B8" s="44" t="n"/>
      <c r="C8" s="27" t="inlineStr">
        <is>
          <t>High: dominant influence. Medium: some influence. Low: little influence.</t>
        </is>
      </c>
      <c r="D8" s="43" t="n"/>
      <c r="E8" s="43" t="n"/>
      <c r="F8" s="43" t="n"/>
      <c r="G8" s="44" t="n"/>
      <c r="H8" s="32" t="inlineStr">
        <is>
          <t>MODES</t>
        </is>
      </c>
      <c r="I8" s="44" t="n"/>
      <c r="J8" s="27" t="inlineStr">
        <is>
          <t>Growth (G); Trouble (T); Even Keel (EK); Overconfident (OC).</t>
        </is>
      </c>
      <c r="K8" s="43" t="n"/>
      <c r="L8" s="43" t="n"/>
      <c r="M8" s="43" t="n"/>
      <c r="N8" s="44" t="n"/>
    </row>
    <row r="9" ht="66" customHeight="1">
      <c r="A9" s="32" t="inlineStr">
        <is>
          <t>RATINGS +5 TO +1</t>
        </is>
      </c>
      <c r="B9" s="44" t="n"/>
      <c r="C9" s="27" t="inlineStr">
        <is>
          <t>+5 proactively acts for us; +4 strongly supportive; +3 supportive and acts if asked; +2 interested; +1 no preference / follows others.</t>
        </is>
      </c>
      <c r="D9" s="43" t="n"/>
      <c r="E9" s="43" t="n"/>
      <c r="F9" s="43" t="n"/>
      <c r="G9" s="44" t="n"/>
      <c r="H9" s="32" t="inlineStr">
        <is>
          <t>RATINGS –1 TO –5</t>
        </is>
      </c>
      <c r="I9" s="44" t="n"/>
      <c r="J9" s="27" t="inlineStr">
        <is>
          <t>–1 low interest; –2 resists; –3 negative and helps competitor if asked; –4 very negative; –5 proactively acts against us.</t>
        </is>
      </c>
      <c r="K9" s="43" t="n"/>
      <c r="L9" s="43" t="n"/>
      <c r="M9" s="43" t="n"/>
      <c r="N9" s="44" t="n"/>
    </row>
    <row r="10" ht="66" customHeight="1">
      <c r="A10" s="32" t="inlineStr">
        <is>
          <t>WIN–WIN</t>
        </is>
      </c>
      <c r="B10" s="44" t="n"/>
      <c r="C10" s="27" t="inlineStr">
        <is>
          <t>Create a strong strategy that leverages Strengths and minimizes or eliminates Red Flags.</t>
        </is>
      </c>
      <c r="D10" s="43" t="n"/>
      <c r="E10" s="43" t="n"/>
      <c r="F10" s="43" t="n"/>
      <c r="G10" s="44" t="n"/>
      <c r="H10" s="32" t="inlineStr">
        <is>
          <t>ACTION USE</t>
        </is>
      </c>
      <c r="I10" s="44" t="n"/>
      <c r="J10" s="27" t="inlineStr">
        <is>
          <t>For each key Buying Influence, record role, influence, mode, personal win, business result, preference, rating, access and next action.</t>
        </is>
      </c>
      <c r="K10" s="43" t="n"/>
      <c r="L10" s="43" t="n"/>
      <c r="M10" s="43" t="n"/>
      <c r="N10" s="44" t="n"/>
    </row>
  </sheetData>
  <mergeCells count="30">
    <mergeCell ref="C6:G6"/>
    <mergeCell ref="H10:I10"/>
    <mergeCell ref="J5:N5"/>
    <mergeCell ref="J10:N10"/>
    <mergeCell ref="C5:G5"/>
    <mergeCell ref="H4:I4"/>
    <mergeCell ref="A6:B6"/>
    <mergeCell ref="H9:I9"/>
    <mergeCell ref="A1:N1"/>
    <mergeCell ref="J9:N9"/>
    <mergeCell ref="C4:G4"/>
    <mergeCell ref="H6:I6"/>
    <mergeCell ref="A7:B7"/>
    <mergeCell ref="C10:G10"/>
    <mergeCell ref="J6:N6"/>
    <mergeCell ref="C9:G9"/>
    <mergeCell ref="J4:N4"/>
    <mergeCell ref="H7:I7"/>
    <mergeCell ref="J7:N7"/>
    <mergeCell ref="A2:N2"/>
    <mergeCell ref="A5:B5"/>
    <mergeCell ref="C8:G8"/>
    <mergeCell ref="A8:B8"/>
    <mergeCell ref="A4:B4"/>
    <mergeCell ref="C7:G7"/>
    <mergeCell ref="A10:B10"/>
    <mergeCell ref="H5:I5"/>
    <mergeCell ref="H8:I8"/>
    <mergeCell ref="A9:B9"/>
    <mergeCell ref="J8:N8"/>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10" defaultColWidth="8.83203125" defaultRowHeight="14"/>
  <cols>
    <col width="13" customWidth="1" min="1" max="14"/>
  </cols>
  <sheetData>
    <row r="1" ht="28" customHeight="1">
      <c r="A1" s="11" t="inlineStr">
        <is>
          <t>CONCEPT CARD — PERSPECTIVE &amp; REVIEW</t>
        </is>
      </c>
    </row>
    <row r="2" ht="22" customHeight="1">
      <c r="A2" s="12" t="inlineStr">
        <is>
          <t>Perspective, objectives, action development and Blue Sheet review cadence.</t>
        </is>
      </c>
    </row>
    <row r="4" ht="15" customHeight="1">
      <c r="A4" s="28" t="inlineStr">
        <is>
          <t>Topic / time</t>
        </is>
      </c>
      <c r="B4" s="39" t="n"/>
      <c r="C4" s="28" t="inlineStr">
        <is>
          <t>Guidance</t>
        </is>
      </c>
      <c r="D4" s="38" t="n"/>
      <c r="E4" s="38" t="n"/>
      <c r="F4" s="38" t="n"/>
      <c r="G4" s="39" t="n"/>
      <c r="H4" s="28" t="inlineStr">
        <is>
          <t>Topic / time</t>
        </is>
      </c>
      <c r="I4" s="39" t="n"/>
      <c r="J4" s="28" t="inlineStr">
        <is>
          <t>Guidance</t>
        </is>
      </c>
      <c r="K4" s="38" t="n"/>
      <c r="L4" s="38" t="n"/>
      <c r="M4" s="38" t="n"/>
      <c r="N4" s="39" t="n"/>
    </row>
    <row r="5" ht="66" customHeight="1">
      <c r="A5" s="32" t="inlineStr">
        <is>
          <t>What is Perspective?</t>
        </is>
      </c>
      <c r="B5" s="44" t="n"/>
      <c r="C5" s="27" t="inlineStr">
        <is>
          <t>Knowledge or insight that expands a customer’s understanding of one or more business issues.</t>
        </is>
      </c>
      <c r="D5" s="43" t="n"/>
      <c r="E5" s="43" t="n"/>
      <c r="F5" s="43" t="n"/>
      <c r="G5" s="44" t="n"/>
      <c r="H5" s="32" t="inlineStr">
        <is>
          <t>Providing Perspective</t>
        </is>
      </c>
      <c r="I5" s="44" t="n"/>
      <c r="J5" s="27" t="inlineStr">
        <is>
          <t>Adopt an expansive mindset; use insight and expertise to benefit both the customer and seller.</t>
        </is>
      </c>
      <c r="K5" s="43" t="n"/>
      <c r="L5" s="43" t="n"/>
      <c r="M5" s="43" t="n"/>
      <c r="N5" s="44" t="n"/>
    </row>
    <row r="6" ht="66" customHeight="1">
      <c r="A6" s="32" t="inlineStr">
        <is>
          <t>Customer’s Stated Objective</t>
        </is>
      </c>
      <c r="B6" s="44" t="n"/>
      <c r="C6" s="27" t="inlineStr">
        <is>
          <t>A threat the customer wants to resolve or an opportunity the customer wants to capitalize on.</t>
        </is>
      </c>
      <c r="D6" s="43" t="n"/>
      <c r="E6" s="43" t="n"/>
      <c r="F6" s="43" t="n"/>
      <c r="G6" s="44" t="n"/>
      <c r="H6" s="32" t="inlineStr">
        <is>
          <t>Evaluation of Objective</t>
        </is>
      </c>
      <c r="I6" s="44" t="n"/>
      <c r="J6" s="27" t="inlineStr">
        <is>
          <t>Examine the stated objective for ways to add value and insight beyond the customer’s expectations.</t>
        </is>
      </c>
      <c r="K6" s="43" t="n"/>
      <c r="L6" s="43" t="n"/>
      <c r="M6" s="43" t="n"/>
      <c r="N6" s="44" t="n"/>
    </row>
    <row r="7" ht="66" customHeight="1">
      <c r="A7" s="32" t="inlineStr">
        <is>
          <t>Single Sales Objective</t>
        </is>
      </c>
      <c r="B7" s="44" t="n"/>
      <c r="C7" s="27" t="inlineStr">
        <is>
          <t>Company/specific area + product/service/solution + sales revenue/other units + close date. It should be specific, clear, concise, measurable and tied to time.</t>
        </is>
      </c>
      <c r="D7" s="43" t="n"/>
      <c r="E7" s="43" t="n"/>
      <c r="F7" s="43" t="n"/>
      <c r="G7" s="44" t="n"/>
      <c r="H7" s="32" t="inlineStr">
        <is>
          <t>Four Perspective Strategies</t>
        </is>
      </c>
      <c r="I7" s="44" t="n"/>
      <c r="J7" s="27" t="inlineStr">
        <is>
          <t>Unrecognized Problem; Unanticipated Solution; Unseen Opportunity; Broker of Capabilities.</t>
        </is>
      </c>
      <c r="K7" s="43" t="n"/>
      <c r="L7" s="43" t="n"/>
      <c r="M7" s="43" t="n"/>
      <c r="N7" s="44" t="n"/>
    </row>
    <row r="8" ht="66" customHeight="1">
      <c r="A8" s="32" t="inlineStr">
        <is>
          <t>5 minutes</t>
        </is>
      </c>
      <c r="B8" s="44" t="n"/>
      <c r="C8" s="27" t="inlineStr">
        <is>
          <t>Blue Sheet Owner tells the story without interruption.</t>
        </is>
      </c>
      <c r="D8" s="43" t="n"/>
      <c r="E8" s="43" t="n"/>
      <c r="F8" s="43" t="n"/>
      <c r="G8" s="44" t="n"/>
      <c r="H8" s="32" t="inlineStr">
        <is>
          <t>15 minutes</t>
        </is>
      </c>
      <c r="I8" s="44" t="n"/>
      <c r="J8" s="27" t="inlineStr">
        <is>
          <t>Team asks questions to uncover additional Red Flags.</t>
        </is>
      </c>
      <c r="K8" s="43" t="n"/>
      <c r="L8" s="43" t="n"/>
      <c r="M8" s="43" t="n"/>
      <c r="N8" s="44" t="n"/>
    </row>
    <row r="9" ht="66" customHeight="1">
      <c r="A9" s="32" t="inlineStr">
        <is>
          <t>10 minutes</t>
        </is>
      </c>
      <c r="B9" s="44" t="n"/>
      <c r="C9" s="27" t="inlineStr">
        <is>
          <t>Team asks questions to uncover additional Strengths.</t>
        </is>
      </c>
      <c r="D9" s="43" t="n"/>
      <c r="E9" s="43" t="n"/>
      <c r="F9" s="43" t="n"/>
      <c r="G9" s="44" t="n"/>
      <c r="H9" s="32" t="inlineStr">
        <is>
          <t>5 minutes</t>
        </is>
      </c>
      <c r="I9" s="44" t="n"/>
      <c r="J9" s="27" t="inlineStr">
        <is>
          <t>Team considers opportunities to provide perspective.</t>
        </is>
      </c>
      <c r="K9" s="43" t="n"/>
      <c r="L9" s="43" t="n"/>
      <c r="M9" s="43" t="n"/>
      <c r="N9" s="44" t="n"/>
    </row>
    <row r="10" ht="66" customHeight="1">
      <c r="A10" s="32" t="inlineStr">
        <is>
          <t>15 minutes</t>
        </is>
      </c>
      <c r="B10" s="44" t="n"/>
      <c r="C10" s="27" t="inlineStr">
        <is>
          <t>Team brainstorms possible actions and information needed.</t>
        </is>
      </c>
      <c r="D10" s="43" t="n"/>
      <c r="E10" s="43" t="n"/>
      <c r="F10" s="43" t="n"/>
      <c r="G10" s="44" t="n"/>
      <c r="H10" s="32" t="inlineStr">
        <is>
          <t>10 minutes</t>
        </is>
      </c>
      <c r="I10" s="44" t="n"/>
      <c r="J10" s="27" t="inlineStr">
        <is>
          <t>Team selects the Best Action Plan: highest priority, owner, recipient and timing.</t>
        </is>
      </c>
      <c r="K10" s="43" t="n"/>
      <c r="L10" s="43" t="n"/>
      <c r="M10" s="43" t="n"/>
      <c r="N10" s="44" t="n"/>
    </row>
  </sheetData>
  <mergeCells count="30">
    <mergeCell ref="C6:G6"/>
    <mergeCell ref="H10:I10"/>
    <mergeCell ref="J5:N5"/>
    <mergeCell ref="J10:N10"/>
    <mergeCell ref="C5:G5"/>
    <mergeCell ref="H4:I4"/>
    <mergeCell ref="A6:B6"/>
    <mergeCell ref="H9:I9"/>
    <mergeCell ref="A1:N1"/>
    <mergeCell ref="J9:N9"/>
    <mergeCell ref="C4:G4"/>
    <mergeCell ref="H6:I6"/>
    <mergeCell ref="A7:B7"/>
    <mergeCell ref="C10:G10"/>
    <mergeCell ref="J6:N6"/>
    <mergeCell ref="C9:G9"/>
    <mergeCell ref="J4:N4"/>
    <mergeCell ref="H7:I7"/>
    <mergeCell ref="J7:N7"/>
    <mergeCell ref="A2:N2"/>
    <mergeCell ref="A5:B5"/>
    <mergeCell ref="C8:G8"/>
    <mergeCell ref="A8:B8"/>
    <mergeCell ref="A4:B4"/>
    <mergeCell ref="C7:G7"/>
    <mergeCell ref="A10:B10"/>
    <mergeCell ref="H5:I5"/>
    <mergeCell ref="H8:I8"/>
    <mergeCell ref="A9:B9"/>
    <mergeCell ref="J8:N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2026-08-21T20:16:52Z</dcterms:created>
  <dcterms:modified xmlns:dcterms="http://purl.org/dc/terms/" xmlns:xsi="http://www.w3.org/2001/XMLSchema-instance" xsi:type="dcterms:W3CDTF">2026-10-08T14:36:50Z</dcterms:modified>
  <cp:lastModifiedBy>Vahlsing, Todd</cp:lastModifiedBy>
</cp:coreProperties>
</file>