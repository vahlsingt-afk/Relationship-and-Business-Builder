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60" yWindow="-21600" windowWidth="38400" windowHeight="21600" tabRatio="600" firstSheet="0" activeTab="2" autoFilterDateGrouping="1"/>
  </bookViews>
  <sheets>
    <sheet xmlns:r="http://schemas.openxmlformats.org/officeDocument/2006/relationships" name="Blue Sheet" sheetId="1" state="visible" r:id="rId1"/>
    <sheet xmlns:r="http://schemas.openxmlformats.org/officeDocument/2006/relationships" name="Brand" sheetId="2" state="visible" r:id="rId2"/>
    <sheet xmlns:r="http://schemas.openxmlformats.org/officeDocument/2006/relationships" name="Technology Stack" sheetId="3" state="visible" r:id="rId3"/>
    <sheet xmlns:r="http://schemas.openxmlformats.org/officeDocument/2006/relationships" name="Actions &amp; Decisions" sheetId="4" state="visible" r:id="rId4"/>
    <sheet xmlns:r="http://schemas.openxmlformats.org/officeDocument/2006/relationships" name="Commercial Model" sheetId="5" state="visible" r:id="rId5"/>
    <sheet xmlns:r="http://schemas.openxmlformats.org/officeDocument/2006/relationships" name="Presentation View 1" sheetId="6" state="visible" r:id="rId6"/>
    <sheet xmlns:r="http://schemas.openxmlformats.org/officeDocument/2006/relationships" name="Presentation View 2" sheetId="7" state="visible" r:id="rId7"/>
    <sheet xmlns:r="http://schemas.openxmlformats.org/officeDocument/2006/relationships" name="Method &amp; Governance" sheetId="8" state="visible" r:id="rId8"/>
    <sheet xmlns:r="http://schemas.openxmlformats.org/officeDocument/2006/relationships" name="Criteria Statements" sheetId="9" state="visible" r:id="rId9"/>
    <sheet xmlns:r="http://schemas.openxmlformats.org/officeDocument/2006/relationships" name="Concept Card side 1" sheetId="10" state="visible" r:id="rId10"/>
    <sheet xmlns:r="http://schemas.openxmlformats.org/officeDocument/2006/relationships" name="Concept Card side 2" sheetId="11" state="visible" r:id="rId11"/>
  </sheets>
  <definedNames/>
  <calcPr calcId="191029" fullCalcOnLoad="1"/>
</workbook>
</file>

<file path=xl/styles.xml><?xml version="1.0" encoding="utf-8"?>
<styleSheet xmlns="http://schemas.openxmlformats.org/spreadsheetml/2006/main">
  <numFmts count="1">
    <numFmt numFmtId="164" formatCode="yyyy\-mm\-dd"/>
  </numFmts>
  <fonts count="11">
    <font>
      <name val="Carlito"/>
      <sz val="11"/>
    </font>
    <font>
      <name val="Carlito"/>
      <b val="1"/>
      <color rgb="FFFFFFFF"/>
      <sz val="16"/>
    </font>
    <font>
      <name val="Carlito"/>
      <i val="1"/>
      <color rgb="FF555555"/>
      <sz val="11"/>
    </font>
    <font>
      <name val="Carlito"/>
      <b val="1"/>
      <color rgb="FFFFFFFF"/>
      <sz val="11"/>
    </font>
    <font>
      <name val="Carlito"/>
      <b val="1"/>
      <sz val="11"/>
    </font>
    <font>
      <name val="Carlito"/>
      <b val="1"/>
      <color rgb="FF183A61"/>
      <sz val="11"/>
    </font>
    <font>
      <name val="Carlito"/>
      <b val="1"/>
      <color rgb="FF1F2937"/>
      <sz val="11"/>
    </font>
    <font>
      <name val="Carlito"/>
      <color rgb="FF1F2937"/>
      <sz val="11"/>
    </font>
    <font>
      <name val="Carlito"/>
      <b val="1"/>
      <color rgb="FF27632A"/>
      <sz val="11"/>
    </font>
    <font>
      <name val="Carlito"/>
      <b val="1"/>
      <color rgb="FFA61B1B"/>
      <sz val="11"/>
    </font>
    <font>
      <name val="Carlito"/>
      <b val="1"/>
      <color rgb="FF2FA8DD"/>
      <sz val="11"/>
    </font>
  </fonts>
  <fills count="10">
    <fill>
      <patternFill/>
    </fill>
    <fill>
      <patternFill patternType="gray125"/>
    </fill>
    <fill>
      <patternFill patternType="solid">
        <fgColor rgb="FF183A61"/>
      </patternFill>
    </fill>
    <fill>
      <patternFill patternType="solid">
        <fgColor rgb="FF858585"/>
      </patternFill>
    </fill>
    <fill>
      <patternFill patternType="solid">
        <fgColor rgb="FFD9E6F2"/>
      </patternFill>
    </fill>
    <fill>
      <patternFill patternType="solid">
        <fgColor rgb="FFB8CEE4"/>
      </patternFill>
    </fill>
    <fill>
      <patternFill patternType="solid">
        <fgColor rgb="FFFFF2CC"/>
      </patternFill>
    </fill>
    <fill>
      <patternFill patternType="solid">
        <fgColor rgb="FFE2F0D9"/>
      </patternFill>
    </fill>
    <fill>
      <patternFill patternType="solid">
        <fgColor rgb="FFFCE4D6"/>
      </patternFill>
    </fill>
    <fill>
      <patternFill patternType="solid">
        <fgColor rgb="FFDDEBF7"/>
      </patternFill>
    </fill>
  </fills>
  <borders count="22">
    <border>
      <left/>
      <right/>
      <top/>
      <bottom/>
      <diagonal/>
    </border>
    <border>
      <left style="thin">
        <color rgb="FF7F8C99"/>
      </left>
      <right style="thin">
        <color rgb="FF7F8C99"/>
      </right>
      <top style="thin">
        <color rgb="FF7F8C99"/>
      </top>
      <bottom style="thin">
        <color rgb="FF7F8C99"/>
      </bottom>
      <diagonal/>
    </border>
    <border>
      <left style="thin">
        <color rgb="FF7F8C99"/>
      </left>
      <right/>
      <top style="thin">
        <color rgb="FF7F8C99"/>
      </top>
      <bottom/>
      <diagonal/>
    </border>
    <border>
      <left/>
      <right/>
      <top style="thin">
        <color rgb="FF7F8C99"/>
      </top>
      <bottom/>
      <diagonal/>
    </border>
    <border>
      <left/>
      <right style="thin">
        <color rgb="FF7F8C99"/>
      </right>
      <top style="thin">
        <color rgb="FF7F8C99"/>
      </top>
      <bottom/>
      <diagonal/>
    </border>
    <border>
      <left style="thin">
        <color rgb="FF7F8C99"/>
      </left>
      <right/>
      <top/>
      <bottom/>
      <diagonal/>
    </border>
    <border>
      <left/>
      <right style="thin">
        <color rgb="FF7F8C99"/>
      </right>
      <top/>
      <bottom/>
      <diagonal/>
    </border>
    <border>
      <left style="thin">
        <color rgb="FF7F8C99"/>
      </left>
      <right/>
      <top/>
      <bottom style="thin">
        <color rgb="FF7F8C99"/>
      </bottom>
      <diagonal/>
    </border>
    <border>
      <left/>
      <right/>
      <top/>
      <bottom style="thin">
        <color rgb="FF7F8C99"/>
      </bottom>
      <diagonal/>
    </border>
    <border>
      <left/>
      <right style="thin">
        <color rgb="FF7F8C99"/>
      </right>
      <top/>
      <bottom style="thin">
        <color rgb="FF7F8C99"/>
      </bottom>
      <diagonal/>
    </border>
    <border>
      <left style="thin">
        <color rgb="FF9AA9B6"/>
      </left>
      <right style="thin">
        <color rgb="FF9AA9B6"/>
      </right>
      <top style="thin">
        <color rgb="FF9AA9B6"/>
      </top>
      <bottom style="thin">
        <color rgb="FF9AA9B6"/>
      </bottom>
      <diagonal/>
    </border>
    <border>
      <left/>
      <right/>
      <top style="thin">
        <color rgb="FF9AA9B6"/>
      </top>
      <bottom/>
      <diagonal/>
    </border>
    <border>
      <left/>
      <right style="thin">
        <color rgb="FF9AA9B6"/>
      </right>
      <top style="thin">
        <color rgb="FF9AA9B6"/>
      </top>
      <bottom/>
      <diagonal/>
    </border>
    <border>
      <left/>
      <right/>
      <top style="thin">
        <color rgb="FF9AA9B6"/>
      </top>
      <bottom style="thin">
        <color rgb="FF9AA9B6"/>
      </bottom>
      <diagonal/>
    </border>
    <border>
      <left/>
      <right style="thin">
        <color rgb="FF9AA9B6"/>
      </right>
      <top style="thin">
        <color rgb="FF9AA9B6"/>
      </top>
      <bottom style="thin">
        <color rgb="FF9AA9B6"/>
      </bottom>
      <diagonal/>
    </border>
    <border>
      <left style="thin">
        <color rgb="FF9AA9B6"/>
      </left>
      <right/>
      <top/>
      <bottom/>
      <diagonal/>
    </border>
    <border>
      <left/>
      <right style="thin">
        <color rgb="FF9AA9B6"/>
      </right>
      <top/>
      <bottom/>
      <diagonal/>
    </border>
    <border>
      <left style="thin">
        <color rgb="FF9AA9B6"/>
      </left>
      <right/>
      <top/>
      <bottom style="thin">
        <color rgb="FF9AA9B6"/>
      </bottom>
      <diagonal/>
    </border>
    <border>
      <left/>
      <right/>
      <top/>
      <bottom style="thin">
        <color rgb="FF9AA9B6"/>
      </bottom>
      <diagonal/>
    </border>
    <border>
      <left/>
      <right style="thin">
        <color rgb="FF9AA9B6"/>
      </right>
      <top/>
      <bottom style="thin">
        <color rgb="FF9AA9B6"/>
      </bottom>
      <diagonal/>
    </border>
    <border>
      <left/>
      <right/>
      <top style="thin">
        <color rgb="FF7F8C99"/>
      </top>
      <bottom style="thin">
        <color rgb="FF7F8C99"/>
      </bottom>
      <diagonal/>
    </border>
    <border>
      <left/>
      <right style="thin">
        <color rgb="FF7F8C99"/>
      </right>
      <top style="thin">
        <color rgb="FF7F8C99"/>
      </top>
      <bottom style="thin">
        <color rgb="FF7F8C99"/>
      </bottom>
      <diagonal/>
    </border>
  </borders>
  <cellStyleXfs count="1">
    <xf numFmtId="0" fontId="0" fillId="0" borderId="0"/>
  </cellStyleXfs>
  <cellXfs count="52">
    <xf numFmtId="0" fontId="0" fillId="0" borderId="0" pivotButton="0" quotePrefix="0" xfId="0"/>
    <xf numFmtId="0" fontId="0" fillId="0" borderId="1" applyAlignment="1" pivotButton="0" quotePrefix="0" xfId="0">
      <alignment vertical="top" wrapText="1"/>
    </xf>
    <xf numFmtId="0" fontId="4" fillId="4" borderId="1" applyAlignment="1" pivotButton="0" quotePrefix="0" xfId="0">
      <alignment vertical="top" wrapText="1"/>
    </xf>
    <xf numFmtId="0" fontId="6" fillId="4" borderId="1" applyAlignment="1" pivotButton="0" quotePrefix="0" xfId="0">
      <alignment wrapText="1"/>
    </xf>
    <xf numFmtId="0" fontId="7" fillId="5" borderId="10" applyAlignment="1" pivotButton="0" quotePrefix="0" xfId="0">
      <alignment vertical="top" wrapText="1"/>
    </xf>
    <xf numFmtId="0" fontId="6" fillId="6" borderId="1" pivotButton="0" quotePrefix="0" xfId="0"/>
    <xf numFmtId="0" fontId="6" fillId="4" borderId="10" applyAlignment="1" pivotButton="0" quotePrefix="0" xfId="0">
      <alignment vertical="top" wrapText="1"/>
    </xf>
    <xf numFmtId="4" fontId="7" fillId="5" borderId="10" applyAlignment="1" pivotButton="0" quotePrefix="0" xfId="0">
      <alignment vertical="top" wrapText="1"/>
    </xf>
    <xf numFmtId="10" fontId="7" fillId="5" borderId="10" applyAlignment="1" pivotButton="0" quotePrefix="0" xfId="0">
      <alignment vertical="top" wrapText="1"/>
    </xf>
    <xf numFmtId="0" fontId="5" fillId="4" borderId="1" applyAlignment="1" pivotButton="0" quotePrefix="0" xfId="0">
      <alignment vertical="top" wrapText="1"/>
    </xf>
    <xf numFmtId="0" fontId="10" fillId="9" borderId="1" applyAlignment="1" pivotButton="0" quotePrefix="0" xfId="0">
      <alignment vertical="top" wrapText="1"/>
    </xf>
    <xf numFmtId="0" fontId="1" fillId="2" borderId="0" applyAlignment="1" pivotButton="0" quotePrefix="0" xfId="0">
      <alignment vertical="center"/>
    </xf>
    <xf numFmtId="0" fontId="2" fillId="0" borderId="0" applyAlignment="1" pivotButton="0" quotePrefix="0" xfId="0">
      <alignment wrapText="1"/>
    </xf>
    <xf numFmtId="0" fontId="3" fillId="3" borderId="0"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top" wrapText="1"/>
    </xf>
    <xf numFmtId="0" fontId="5" fillId="5" borderId="2" applyAlignment="1" pivotButton="0" quotePrefix="0" xfId="0">
      <alignment vertical="center" wrapText="1"/>
    </xf>
    <xf numFmtId="0" fontId="5" fillId="5" borderId="3" applyAlignment="1" pivotButton="0" quotePrefix="0" xfId="0">
      <alignment vertical="center" wrapText="1"/>
    </xf>
    <xf numFmtId="0" fontId="5" fillId="5" borderId="4" applyAlignment="1" pivotButton="0" quotePrefix="0" xfId="0">
      <alignment vertical="center" wrapText="1"/>
    </xf>
    <xf numFmtId="0" fontId="5" fillId="5" borderId="5" applyAlignment="1" pivotButton="0" quotePrefix="0" xfId="0">
      <alignment vertical="center" wrapText="1"/>
    </xf>
    <xf numFmtId="0" fontId="5" fillId="5" borderId="0" applyAlignment="1" pivotButton="0" quotePrefix="0" xfId="0">
      <alignment vertical="center" wrapText="1"/>
    </xf>
    <xf numFmtId="0" fontId="5" fillId="5" borderId="6" applyAlignment="1" pivotButton="0" quotePrefix="0" xfId="0">
      <alignment vertical="center" wrapText="1"/>
    </xf>
    <xf numFmtId="0" fontId="5" fillId="5" borderId="7" applyAlignment="1" pivotButton="0" quotePrefix="0" xfId="0">
      <alignment vertical="center" wrapText="1"/>
    </xf>
    <xf numFmtId="0" fontId="5" fillId="5" borderId="8" applyAlignment="1" pivotButton="0" quotePrefix="0" xfId="0">
      <alignment vertical="center" wrapText="1"/>
    </xf>
    <xf numFmtId="0" fontId="5" fillId="5" borderId="9" applyAlignment="1" pivotButton="0" quotePrefix="0" xfId="0">
      <alignment vertical="center" wrapText="1"/>
    </xf>
    <xf numFmtId="0" fontId="3" fillId="3" borderId="1" pivotButton="0" quotePrefix="0" xfId="0"/>
    <xf numFmtId="0" fontId="6" fillId="6" borderId="1" pivotButton="0" quotePrefix="0" xfId="0"/>
    <xf numFmtId="0" fontId="7" fillId="5" borderId="10" applyAlignment="1" pivotButton="0" quotePrefix="0" xfId="0">
      <alignment vertical="top" wrapText="1"/>
    </xf>
    <xf numFmtId="0" fontId="6" fillId="4" borderId="1" applyAlignment="1" pivotButton="0" quotePrefix="0" xfId="0">
      <alignment wrapText="1"/>
    </xf>
    <xf numFmtId="0" fontId="8" fillId="7" borderId="0" pivotButton="0" quotePrefix="0" xfId="0"/>
    <xf numFmtId="0" fontId="9" fillId="8" borderId="0" pivotButton="0" quotePrefix="0" xfId="0"/>
    <xf numFmtId="164" fontId="7" fillId="5" borderId="10" applyAlignment="1" pivotButton="0" quotePrefix="0" xfId="0">
      <alignment vertical="top" wrapText="1"/>
    </xf>
    <xf numFmtId="0" fontId="5" fillId="4" borderId="10" applyAlignment="1" pivotButton="0" quotePrefix="0" xfId="0">
      <alignment vertical="top" wrapText="1"/>
    </xf>
    <xf numFmtId="0" fontId="5" fillId="5" borderId="1" applyAlignment="1" pivotButton="0" quotePrefix="0" xfId="0">
      <alignment vertical="center"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20" pivotButton="0" quotePrefix="0" xfId="0"/>
    <xf numFmtId="0" fontId="0" fillId="0" borderId="21"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3" pivotButton="0" quotePrefix="0" xfId="0"/>
    <xf numFmtId="0" fontId="0" fillId="0" borderId="14" pivotButton="0" quotePrefix="0" xfId="0"/>
    <xf numFmtId="0" fontId="0" fillId="0" borderId="11" pivotButton="0" quotePrefix="0" xfId="0"/>
    <xf numFmtId="0" fontId="0" fillId="0" borderId="12"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
  <sheetViews>
    <sheetView showGridLines="0" topLeftCell="A21" workbookViewId="0">
      <selection activeCell="A1" sqref="A1:P1"/>
    </sheetView>
  </sheetViews>
  <sheetFormatPr baseColWidth="10" defaultColWidth="8.83203125" defaultRowHeight="14"/>
  <cols>
    <col width="30" customWidth="1" min="1" max="1"/>
    <col width="13" customWidth="1" min="2" max="2"/>
    <col width="15" customWidth="1" min="3" max="4"/>
    <col width="24" customWidth="1" min="5" max="6"/>
    <col width="20" customWidth="1" min="7" max="7"/>
    <col width="11" customWidth="1" min="8" max="8"/>
    <col width="27" customWidth="1" min="9" max="9"/>
    <col width="18" customWidth="1" min="10" max="11"/>
    <col width="14" customWidth="1" min="12" max="13"/>
    <col width="18" customWidth="1" min="14" max="14"/>
    <col width="20" customWidth="1" min="15" max="15"/>
    <col width="15" customWidth="1" min="16" max="16"/>
  </cols>
  <sheetData>
    <row r="1" ht="28" customHeight="1">
      <c r="A1" s="11" t="inlineStr">
        <is>
          <t>DEL TACO — STRATEGIC ANALYSIS</t>
        </is>
      </c>
    </row>
    <row r="2" ht="22" customHeight="1">
      <c r="A2" s="12" t="inlineStr">
        <is>
          <t>Executive working account plan | updated 2026-10-08</t>
        </is>
      </c>
    </row>
    <row r="4" ht="15" customHeight="1">
      <c r="A4" s="13" t="inlineStr">
        <is>
          <t>SINGLE SALES OBJECTIVE</t>
        </is>
      </c>
      <c r="E4" s="13" t="inlineStr">
        <is>
          <t>CUSTOMER'S STATED OBJECTIVE</t>
        </is>
      </c>
      <c r="K4" s="13" t="inlineStr">
        <is>
          <t>OPPORTUNITY SCORECARD</t>
        </is>
      </c>
    </row>
    <row r="5" ht="44" customHeight="1">
      <c r="A5" s="15" t="inlineStr">
        <is>
          <t>Date</t>
        </is>
      </c>
      <c r="B5" s="14" t="inlineStr">
        <is>
          <t>2026-10-08</t>
        </is>
      </c>
      <c r="C5" s="15" t="inlineStr">
        <is>
          <t>Salesperson</t>
        </is>
      </c>
      <c r="D5" s="14" t="inlineStr">
        <is>
          <t>Maggie Lenhart</t>
        </is>
      </c>
      <c r="E5" s="33" t="inlineStr">
        <is>
          <t>Nick Hulayew reported (2026-09-08) that Del Taco is conducting a comprehensive review of its technology stack -- payments, digital menu boards, POS hardware and POS software -- as part of Yadav Enterprises' Project Sunrise turnaround. Maggie Lenhart separately reported (2026-09-29) that Del Taco is evaluating Nova as a new POS, and that Worldpay does not yet have a Nova card-present integration for enterprise merchants.</t>
        </is>
      </c>
      <c r="F5" s="34" t="n"/>
      <c r="G5" s="34" t="n"/>
      <c r="H5" s="34" t="n"/>
      <c r="I5" s="34" t="n"/>
      <c r="J5" s="35" t="n"/>
      <c r="K5" s="28" t="inlineStr">
        <is>
          <t>Criterion</t>
        </is>
      </c>
      <c r="L5" s="28" t="inlineStr">
        <is>
          <t>Y/N/U</t>
        </is>
      </c>
      <c r="M5" s="28" t="inlineStr">
        <is>
          <t>Weight</t>
        </is>
      </c>
      <c r="N5" s="28" t="inlineStr">
        <is>
          <t>Points</t>
        </is>
      </c>
      <c r="O5" s="28" t="inlineStr">
        <is>
          <t>Current read</t>
        </is>
      </c>
      <c r="P5" s="28" t="inlineStr">
        <is>
          <t>Next step</t>
        </is>
      </c>
    </row>
    <row r="6" ht="44" customHeight="1">
      <c r="A6" s="15" t="inlineStr">
        <is>
          <t>Account</t>
        </is>
      </c>
      <c r="B6" s="14" t="inlineStr">
        <is>
          <t>Del Taco</t>
        </is>
      </c>
      <c r="C6" s="15" t="inlineStr">
        <is>
          <t>Company / area</t>
        </is>
      </c>
      <c r="D6" s="14" t="inlineStr">
        <is>
          <t>U.S. estate</t>
        </is>
      </c>
      <c r="E6" s="36" t="n"/>
      <c r="J6" s="37" t="n"/>
      <c r="K6" s="27" t="inlineStr">
        <is>
          <t>Sufficient budget exists</t>
        </is>
      </c>
      <c r="L6" s="27" t="inlineStr">
        <is>
          <t>U</t>
        </is>
      </c>
      <c r="M6" s="27" t="n">
        <v>20</v>
      </c>
      <c r="N6" s="27">
        <f>IF(L6="Y",M6,0)</f>
        <v/>
      </c>
      <c r="O6" s="27" t="inlineStr">
        <is>
          <t>No budget has been confirmed for any workstream; Project Sunrise is a turnaround program but no line item or funding source has been identified.</t>
        </is>
      </c>
      <c r="P6" s="27" t="inlineStr">
        <is>
          <t>Confirm budget source, approval path, and whether DMB/payments/POS are funded separately or as one program.</t>
        </is>
      </c>
    </row>
    <row r="7" ht="44" customHeight="1">
      <c r="A7" s="15" t="inlineStr">
        <is>
          <t>Sales revenue / units</t>
        </is>
      </c>
      <c r="B7" s="14" t="inlineStr">
        <is>
          <t>[Sales revenue / units - current or planning-case estimate]</t>
        </is>
      </c>
      <c r="C7" s="15" t="inlineStr">
        <is>
          <t>Product / solution</t>
        </is>
      </c>
      <c r="D7" s="14" t="inlineStr">
        <is>
          <t>[Product / solution in scope]</t>
        </is>
      </c>
      <c r="E7" s="36" t="n"/>
      <c r="J7" s="37" t="n"/>
      <c r="K7" s="27" t="inlineStr">
        <is>
          <t>We have the access we need</t>
        </is>
      </c>
      <c r="L7" s="27" t="inlineStr">
        <is>
          <t>U</t>
        </is>
      </c>
      <c r="M7" s="27" t="n">
        <v>20</v>
      </c>
      <c r="N7" s="27">
        <f>IF(L7="Y",M7,0)</f>
        <v/>
      </c>
      <c r="O7" s="27" t="inlineStr">
        <is>
          <t>Two reported paths: Nick Hulayew's direct relationship with Daniel Mears (introduced via Genius World), and Maggie Lenhart's Worldpay relationship, which also emailed Daniel directly. Neither has yet produced a scheduled discovery meeting.</t>
        </is>
      </c>
      <c r="P7" s="27" t="inlineStr">
        <is>
          <t>Convert Nick's promised reconnection and Maggie's email into a scheduled discovery call with Daniel Mears.</t>
        </is>
      </c>
    </row>
    <row r="8" ht="44" customHeight="1">
      <c r="A8" s="15" t="inlineStr">
        <is>
          <t>Close date</t>
        </is>
      </c>
      <c r="B8" s="14" t="inlineStr">
        <is>
          <t>[Close date or process stage]</t>
        </is>
      </c>
      <c r="C8" s="15" t="inlineStr">
        <is>
          <t>Customer timing</t>
        </is>
      </c>
      <c r="D8" s="14" t="inlineStr">
        <is>
          <t>[Customer timing, e.g. Active / Parked]</t>
        </is>
      </c>
      <c r="E8" s="36" t="n"/>
      <c r="J8" s="37" t="n"/>
      <c r="K8" s="27" t="inlineStr">
        <is>
          <t>Customer buying process is understood</t>
        </is>
      </c>
      <c r="L8" s="27" t="inlineStr">
        <is>
          <t>U</t>
        </is>
      </c>
      <c r="M8" s="27" t="n">
        <v>20</v>
      </c>
      <c r="N8" s="27">
        <f>IF(L8="Y",M8,0)</f>
        <v/>
      </c>
      <c r="O8" s="27" t="inlineStr">
        <is>
          <t>No RFP, RFI, or formal sourcing event exists. Nick described a comprehensive internal review; Maggie reported a separate Nova POS evaluation. Stage, governance, and decision calendar are unconfirmed.</t>
        </is>
      </c>
      <c r="P8" s="27" t="inlineStr">
        <is>
          <t>Use first discovery conversation to confirm scope, stage, governance, budget and timeline of the reported review.</t>
        </is>
      </c>
    </row>
    <row r="9" ht="62" customHeight="1">
      <c r="A9" s="15" t="inlineStr">
        <is>
          <t>Single sales objective</t>
        </is>
      </c>
      <c r="B9" s="14" t="inlineStr">
        <is>
          <t>Convert Nick Hulayew's promised introduction to Daniel Mears and Maggie Lenhart's Worldpay access into a qualified discovery meeting; lead with Project Sunrise business outcomes and position Genius hardware reuse (the Pollo Tropical NCR CX-5 retrofit) as a capital-efficient path into the reported comprehensive review of payments, digital menu boards, POS hardware and POS software. Digital menu boards are the likely first wedge while the broader platform opportunity is qualified in parallel.</t>
        </is>
      </c>
      <c r="C9" s="38" t="n"/>
      <c r="D9" s="39" t="n"/>
      <c r="E9" s="36" t="n"/>
      <c r="J9" s="37" t="n"/>
      <c r="K9" s="27" t="inlineStr">
        <is>
          <t>Supportive Economic Buying Influence</t>
        </is>
      </c>
      <c r="L9" s="27" t="inlineStr">
        <is>
          <t>U</t>
        </is>
      </c>
      <c r="M9" s="27" t="n">
        <v>20</v>
      </c>
      <c r="N9" s="27">
        <f>IF(L9="Y",M9,0)</f>
        <v/>
      </c>
      <c r="O9" s="27" t="inlineStr">
        <is>
          <t>Dean (reported Yadav CTO) is described by Nick Hulayew as a strong Genius champion and advisory-board member, but exact title, surname spelling, and decision authority are unverified.</t>
        </is>
      </c>
      <c r="P9" s="27" t="inlineStr">
        <is>
          <t>Validate Dean's exact role and authority; confirm whether he can sponsor or fund this specific opportunity.</t>
        </is>
      </c>
    </row>
    <row r="10" ht="44" customHeight="1">
      <c r="A10" s="15" t="inlineStr">
        <is>
          <t>Commercial hypothesis</t>
        </is>
      </c>
      <c r="B10" s="14" t="inlineStr">
        <is>
          <t>No commercial hypothesis has been priced or proposed. Digital menu boards are judged the likely first wedge per account strategy, but no scope, pricing, or commercial terms exist yet -- this requires direct discovery before any figure can be stated.</t>
        </is>
      </c>
      <c r="C10" s="38" t="n"/>
      <c r="D10" s="39" t="n"/>
      <c r="E10" s="40" t="n"/>
      <c r="F10" s="41" t="n"/>
      <c r="G10" s="41" t="n"/>
      <c r="H10" s="41" t="n"/>
      <c r="I10" s="41" t="n"/>
      <c r="J10" s="42" t="n"/>
      <c r="K10" s="27" t="inlineStr">
        <is>
          <t>At least one Coach</t>
        </is>
      </c>
      <c r="L10" s="27" t="inlineStr">
        <is>
          <t>U</t>
        </is>
      </c>
      <c r="M10" s="27" t="n">
        <v>20</v>
      </c>
      <c r="N10" s="27">
        <f>IF(L10="Y",M10,0)</f>
        <v/>
      </c>
      <c r="O10" s="27" t="inlineStr">
        <is>
          <t>Nick Hulayew (internal, not customer-side) has offered to support calls and the relationship handoff; no customer-side coach is yet verified.</t>
        </is>
      </c>
      <c r="P10" s="27" t="inlineStr">
        <is>
          <t>Test Daniel Mears for coach behavior (access, credibility, guidance) once a direct conversation occurs.</t>
        </is>
      </c>
    </row>
    <row r="11" ht="15" customHeight="1">
      <c r="K11" s="25" t="inlineStr">
        <is>
          <t>QUALIFICATION SCORE</t>
        </is>
      </c>
      <c r="L11" s="38" t="n"/>
      <c r="M11" s="39" t="n"/>
      <c r="N11" s="26">
        <f>SUM(N6:N10)</f>
        <v/>
      </c>
      <c r="O11" s="26" t="inlineStr">
        <is>
          <t>/ 100</t>
        </is>
      </c>
      <c r="P11" s="39" t="n"/>
    </row>
    <row r="12" ht="15" customHeight="1">
      <c r="A12" s="13" t="inlineStr">
        <is>
          <t>EUPHORIA–PANIC</t>
        </is>
      </c>
      <c r="E12" s="13" t="inlineStr">
        <is>
          <t>COMPETITION</t>
        </is>
      </c>
      <c r="K12" s="13" t="inlineStr">
        <is>
          <t>POSITION</t>
        </is>
      </c>
    </row>
    <row r="13" ht="42" customHeight="1">
      <c r="A13" s="6" t="inlineStr">
        <is>
          <t>Current state</t>
        </is>
      </c>
      <c r="B13" s="27" t="inlineStr">
        <is>
          <t>Active urgency, unconfirmed buyer</t>
        </is>
      </c>
      <c r="C13" s="43" t="n"/>
      <c r="D13" s="44" t="n"/>
      <c r="E13" s="27" t="inlineStr">
        <is>
          <t>Qu won the prior Jack in the Box RFP for POS, but Del Taco's actual adoption was never confirmed and current Yadav intent is unknown; legacy NCR Aloha/MenuLink is reported as the historical back-office/menu layer; Maggie Lenhart separately reports Del Taco is now evaluating Nova as a new POS, and Worldpay does not yet have a Nova card-present integration for enterprise merchants. Nick Hulayew's unconfirmed belief that Anil Yadav is a silent investor in Qu is reported intelligence only, not established fact.</t>
        </is>
      </c>
      <c r="F13" s="45" t="n"/>
      <c r="G13" s="45" t="n"/>
      <c r="H13" s="45" t="n"/>
      <c r="I13" s="45" t="n"/>
      <c r="J13" s="46" t="n"/>
      <c r="K13" s="6" t="inlineStr">
        <is>
          <t>Place in funnel</t>
        </is>
      </c>
      <c r="L13" s="27" t="inlineStr">
        <is>
          <t>Qualify</t>
        </is>
      </c>
      <c r="M13" s="27" t="n"/>
      <c r="N13" s="6" t="inlineStr">
        <is>
          <t>Position vs. competition</t>
        </is>
      </c>
      <c r="O13" s="27" t="inlineStr">
        <is>
          <t>Unknown</t>
        </is>
      </c>
      <c r="P13" s="27" t="n"/>
    </row>
    <row r="14" ht="42" customHeight="1">
      <c r="A14" s="6" t="inlineStr">
        <is>
          <t>Reason</t>
        </is>
      </c>
      <c r="B14" s="27" t="inlineStr">
        <is>
          <t>Yadav's Project Sunrise turnaround (declining same-store sales, transaction counts, and margin inherited at acquisition) creates real modernization pressure, and Nick Hulayew reports an active comprehensive technology review -- but no customer-side buyer, budget, or sourcing process has been confirmed yet, so urgency has not converted to a qualified opportunity.</t>
        </is>
      </c>
      <c r="C14" s="43" t="n"/>
      <c r="D14" s="44" t="n"/>
      <c r="E14" s="47" t="n"/>
      <c r="J14" s="48" t="n"/>
      <c r="K14" s="6" t="inlineStr">
        <is>
          <t>Customer priority</t>
        </is>
      </c>
      <c r="L14" s="27" t="inlineStr">
        <is>
          <t>Unconfirmed</t>
        </is>
      </c>
      <c r="M14" s="27" t="n"/>
      <c r="N14" s="6" t="inlineStr">
        <is>
          <t>Only alternative / front-runner / shared / zero</t>
        </is>
      </c>
      <c r="O14" s="27" t="inlineStr">
        <is>
          <t>[Only alternative / front-runner / shared / zero]</t>
        </is>
      </c>
      <c r="P14" s="27" t="n"/>
    </row>
    <row r="15" ht="42" customHeight="1">
      <c r="A15" s="6" t="inlineStr">
        <is>
          <t>Timing</t>
        </is>
      </c>
      <c r="B15" s="27" t="inlineStr">
        <is>
          <t>Worldpay's contract extension (signed 2026-09-03) removed a renewal-period coordination constraint and opened a cleaner window for joint discovery.</t>
        </is>
      </c>
      <c r="C15" s="43" t="n"/>
      <c r="D15" s="44" t="n"/>
      <c r="E15" s="49" t="n"/>
      <c r="F15" s="50" t="n"/>
      <c r="G15" s="50" t="n"/>
      <c r="H15" s="50" t="n"/>
      <c r="I15" s="50" t="n"/>
      <c r="J15" s="51" t="n"/>
      <c r="K15" s="6" t="inlineStr">
        <is>
          <t>Critical test</t>
        </is>
      </c>
      <c r="L15" s="27" t="inlineStr">
        <is>
          <t>Does direct customer discovery confirm a real, funded modernization event with a credible Genius wedge and an accountable buyer?</t>
        </is>
      </c>
      <c r="M15" s="27" t="n"/>
      <c r="N15" s="6" t="inlineStr">
        <is>
          <t>Immediate move</t>
        </is>
      </c>
      <c r="O15" s="27" t="inlineStr">
        <is>
          <t>Convert Nick's promised introduction and Maggie's email into a scheduled discovery call with Daniel Mears.</t>
        </is>
      </c>
      <c r="P15" s="27" t="n"/>
    </row>
    <row r="17" ht="15" customHeight="1">
      <c r="A17" s="13" t="inlineStr">
        <is>
          <t>BUYING INFLUENCES INVOLVED — NAME, TITLE, LOCATION • ROLE • INFLUENCE • MODE • WIN–RESULTS • COMPETITIVE POSITION</t>
        </is>
      </c>
    </row>
    <row r="18" ht="32" customHeight="1">
      <c r="A18" s="28" t="inlineStr">
        <is>
          <t>Name / title / location</t>
        </is>
      </c>
      <c r="B18" s="28" t="inlineStr">
        <is>
          <t>Role E/T/U/C</t>
        </is>
      </c>
      <c r="C18" s="28" t="inlineStr">
        <is>
          <t>Influence H/M/L</t>
        </is>
      </c>
      <c r="D18" s="28" t="inlineStr">
        <is>
          <t>Mode G/T/EK/OC</t>
        </is>
      </c>
      <c r="E18" s="28" t="inlineStr">
        <is>
          <t>Personal win</t>
        </is>
      </c>
      <c r="F18" s="28" t="inlineStr">
        <is>
          <t>Business result</t>
        </is>
      </c>
      <c r="G18" s="28" t="inlineStr">
        <is>
          <t>Competitive preference</t>
        </is>
      </c>
      <c r="H18" s="28" t="inlineStr">
        <is>
          <t>Rating +5/–5</t>
        </is>
      </c>
      <c r="I18" s="28" t="inlineStr">
        <is>
          <t>Current read</t>
        </is>
      </c>
      <c r="J18" s="28" t="inlineStr">
        <is>
          <t>Access / relationship</t>
        </is>
      </c>
      <c r="K18" s="28" t="inlineStr">
        <is>
          <t>Next step</t>
        </is>
      </c>
      <c r="L18" s="38" t="n"/>
      <c r="M18" s="38" t="n"/>
      <c r="N18" s="39" t="n"/>
      <c r="O18" s="28" t="inlineStr">
        <is>
          <t>Owner</t>
        </is>
      </c>
      <c r="P18" s="39" t="n"/>
    </row>
    <row r="19" ht="66" customHeight="1">
      <c r="A19" s="27" t="inlineStr">
        <is>
          <t>Daniel Mears — Reported IT director within the Del Taco technology organization</t>
        </is>
      </c>
      <c r="B19" s="27" t="inlineStr">
        <is>
          <t>U? / T?</t>
        </is>
      </c>
      <c r="C19" s="27" t="inlineStr">
        <is>
          <t>Unknown</t>
        </is>
      </c>
      <c r="D19" s="27" t="inlineStr">
        <is>
          <t>Unknown</t>
        </is>
      </c>
      <c r="E19" s="27" t="inlineStr">
        <is>
          <t>Unknown</t>
        </is>
      </c>
      <c r="F19" s="27" t="inlineStr">
        <is>
          <t>Unknown</t>
        </is>
      </c>
      <c r="G19" s="27" t="inlineStr">
        <is>
          <t>Unknown</t>
        </is>
      </c>
      <c r="H19" s="27" t="n">
        <v>0</v>
      </c>
      <c r="I19" s="27" t="inlineStr">
        <is>
          <t>Reported IT director; attended Genius World and met Nick Hulayew there. Maggie Lenhart emailed him directly on 2026-09-15 to introduce Todd. No reply or meeting confirmed yet.</t>
        </is>
      </c>
      <c r="J19" s="27" t="inlineStr">
        <is>
          <t>Direct relationship through Nick Hulayew; access also attempted through Maggie</t>
        </is>
      </c>
      <c r="K19" s="27" t="inlineStr">
        <is>
          <t>Confirm exact title, reporting line, budget authority, and role in the comprehensive technology review.</t>
        </is>
      </c>
      <c r="L19" s="43" t="n"/>
      <c r="M19" s="43" t="n"/>
      <c r="N19" s="44" t="n"/>
      <c r="O19" s="27" t="inlineStr">
        <is>
          <t>Todd / Nick / Maggie</t>
        </is>
      </c>
      <c r="P19" s="44" t="n"/>
    </row>
    <row r="20" ht="66" customHeight="1">
      <c r="A20" s="27" t="inlineStr">
        <is>
          <t>Dean — Reported Yadav CTO and Daniel Mears' manager</t>
        </is>
      </c>
      <c r="B20" s="27" t="inlineStr">
        <is>
          <t>E?</t>
        </is>
      </c>
      <c r="C20" s="27" t="inlineStr">
        <is>
          <t>Unknown</t>
        </is>
      </c>
      <c r="D20" s="27" t="inlineStr">
        <is>
          <t>Unknown</t>
        </is>
      </c>
      <c r="E20" s="27" t="inlineStr">
        <is>
          <t>Unknown</t>
        </is>
      </c>
      <c r="F20" s="27" t="inlineStr">
        <is>
          <t>Unknown</t>
        </is>
      </c>
      <c r="G20" s="27" t="inlineStr">
        <is>
          <t>Potentially favorable</t>
        </is>
      </c>
      <c r="H20" s="27" t="n">
        <v>0</v>
      </c>
      <c r="I20" s="27" t="inlineStr">
        <is>
          <t>Reported by Nick Hulayew as Yadav's CTO, a strong Genius advocate, and a Genius customer advisory-board member. Surname spelling, exact title, and decision authority require validation.</t>
        </is>
      </c>
      <c r="J20" s="27" t="inlineStr">
        <is>
          <t>Indirect, via Nick Hulayew</t>
        </is>
      </c>
      <c r="K20" s="27" t="inlineStr">
        <is>
          <t>Validate surname spelling, exact title, scope, and decision authority.</t>
        </is>
      </c>
      <c r="L20" s="43" t="n"/>
      <c r="M20" s="43" t="n"/>
      <c r="N20" s="44" t="n"/>
      <c r="O20" s="27" t="inlineStr">
        <is>
          <t>Todd / Nick</t>
        </is>
      </c>
      <c r="P20" s="44" t="n"/>
    </row>
    <row r="21" ht="66" customHeight="1">
      <c r="A21" s="27" t="inlineStr">
        <is>
          <t>Nick Hulayew — Internal relationship path to Daniel Mears and Dean — internal</t>
        </is>
      </c>
      <c r="B21" s="27" t="inlineStr">
        <is>
          <t>Internal referrer, not customer-side</t>
        </is>
      </c>
      <c r="C21" s="27" t="inlineStr">
        <is>
          <t>Not a customer buying influence (internal)</t>
        </is>
      </c>
      <c r="D21" s="27" t="inlineStr">
        <is>
          <t>Supportive</t>
        </is>
      </c>
      <c r="E21" s="27" t="inlineStr">
        <is>
          <t>Unknown</t>
        </is>
      </c>
      <c r="F21" s="27" t="inlineStr">
        <is>
          <t>Not applicable (internal referrer)</t>
        </is>
      </c>
      <c r="G21" s="27" t="inlineStr">
        <is>
          <t>Not applicable (internal)</t>
        </is>
      </c>
      <c r="H21" s="27" t="n">
        <v>0</v>
      </c>
      <c r="I21" s="27" t="inlineStr">
        <is>
          <t>Agreed to reconnect with Daniel Mears, continue the Genius World conversation, introduce Todd, and support future calls.</t>
        </is>
      </c>
      <c r="J21" s="27" t="inlineStr">
        <is>
          <t>Internal; not a customer decision-maker</t>
        </is>
      </c>
      <c r="K21" s="27" t="inlineStr">
        <is>
          <t>Confirm he has followed through on reconnecting with Daniel Mears.</t>
        </is>
      </c>
      <c r="L21" s="43" t="n"/>
      <c r="M21" s="43" t="n"/>
      <c r="N21" s="44" t="n"/>
      <c r="O21" s="27" t="inlineStr">
        <is>
          <t>Todd</t>
        </is>
      </c>
      <c r="P21" s="44" t="n"/>
    </row>
    <row r="22" ht="66" customHeight="1">
      <c r="A22" s="27" t="inlineStr">
        <is>
          <t>Maggie Lenhart — Worldpay relationship owner — internal (Worldpay)</t>
        </is>
      </c>
      <c r="B22" s="27" t="inlineStr">
        <is>
          <t>Internal referrer, not customer-side</t>
        </is>
      </c>
      <c r="C22" s="27" t="inlineStr">
        <is>
          <t>Not a customer buying influence (internal)</t>
        </is>
      </c>
      <c r="D22" s="27" t="inlineStr">
        <is>
          <t>Supportive</t>
        </is>
      </c>
      <c r="E22" s="27" t="inlineStr">
        <is>
          <t>Strengthen the broader Global Payments relationship and support future cross-sell opportunities.</t>
        </is>
      </c>
      <c r="F22" s="27" t="inlineStr">
        <is>
          <t>Not applicable (internal referrer)</t>
        </is>
      </c>
      <c r="G22" s="27" t="inlineStr">
        <is>
          <t>Not applicable (internal)</t>
        </is>
      </c>
      <c r="H22" s="27" t="n">
        <v>0</v>
      </c>
      <c r="I22" s="27" t="inlineStr">
        <is>
          <t>Manages the Del Taco relationship on the Worldpay side; signed the contract extension 2026-09-03; emailed Daniel Mears directly on 2026-09-15 to introduce Todd; reported on 2026-09-29 that Del Taco is evaluating Nova as a new POS.</t>
        </is>
      </c>
      <c r="J22" s="27" t="inlineStr">
        <is>
          <t>Direct email / formal Worldpay relationship channel</t>
        </is>
      </c>
      <c r="K22" s="27" t="inlineStr">
        <is>
          <t>Coordinate next outreach step with Nick and Todd; track Nova integration status.</t>
        </is>
      </c>
      <c r="L22" s="43" t="n"/>
      <c r="M22" s="43" t="n"/>
      <c r="N22" s="44" t="n"/>
      <c r="O22" s="27" t="inlineStr">
        <is>
          <t>Todd / Maggie</t>
        </is>
      </c>
      <c r="P22" s="44" t="n"/>
    </row>
    <row r="23" ht="66" customHeight="1">
      <c r="A23" s="27" t="inlineStr">
        <is>
          <t>David OCallaghan — Vice President, Company Operations</t>
        </is>
      </c>
      <c r="B23" s="27" t="inlineStr">
        <is>
          <t>U?</t>
        </is>
      </c>
      <c r="C23" s="27" t="inlineStr">
        <is>
          <t>Unknown</t>
        </is>
      </c>
      <c r="D23" s="27" t="inlineStr">
        <is>
          <t>Unknown</t>
        </is>
      </c>
      <c r="E23" s="27" t="inlineStr">
        <is>
          <t>Unknown</t>
        </is>
      </c>
      <c r="F23" s="27" t="inlineStr">
        <is>
          <t>Unknown</t>
        </is>
      </c>
      <c r="G23" s="27" t="inlineStr">
        <is>
          <t>Unknown</t>
        </is>
      </c>
      <c r="H23" s="27" t="n">
        <v>0</v>
      </c>
      <c r="I23" s="27" t="inlineStr">
        <is>
          <t>Connected with Todd on LinkedIn and agreed to a meeting, then redirected to Del Taco's Innovation/IT team; that introduction did not produce a scheduled meeting. Todd later followed up directly, copying AE Nicole Payne.</t>
        </is>
      </c>
      <c r="J23" s="27" t="inlineStr">
        <is>
          <t>Weak; prior LinkedIn contact did not convert to a meeting</t>
        </is>
      </c>
      <c r="K23" s="27" t="inlineStr">
        <is>
          <t>Follow up on the pending informal operations conversation request.</t>
        </is>
      </c>
      <c r="L23" s="43" t="n"/>
      <c r="M23" s="43" t="n"/>
      <c r="N23" s="44" t="n"/>
      <c r="O23" s="27" t="inlineStr">
        <is>
          <t>Todd / Nicole Payne</t>
        </is>
      </c>
      <c r="P23" s="44" t="n"/>
    </row>
    <row r="24" ht="66" customHeight="1">
      <c r="A24" s="27" t="n"/>
      <c r="B24" s="27" t="n"/>
      <c r="C24" s="27" t="n"/>
      <c r="D24" s="27" t="n"/>
      <c r="E24" s="27" t="n"/>
      <c r="F24" s="27" t="n"/>
      <c r="G24" s="27" t="n"/>
      <c r="H24" s="27" t="n"/>
      <c r="I24" s="27" t="n"/>
      <c r="J24" s="27" t="n"/>
      <c r="K24" s="27" t="n"/>
      <c r="L24" s="43" t="n"/>
      <c r="M24" s="43" t="n"/>
      <c r="N24" s="44" t="n"/>
      <c r="O24" s="27" t="n"/>
      <c r="P24" s="44" t="n"/>
    </row>
    <row r="25" ht="66" customHeight="1">
      <c r="A25" s="27" t="n"/>
      <c r="B25" s="27" t="n"/>
      <c r="C25" s="27" t="n"/>
      <c r="D25" s="27" t="n"/>
      <c r="E25" s="27" t="n"/>
      <c r="F25" s="27" t="n"/>
      <c r="G25" s="27" t="n"/>
      <c r="H25" s="27" t="n"/>
      <c r="I25" s="27" t="n"/>
      <c r="J25" s="27" t="n"/>
      <c r="K25" s="27" t="n"/>
      <c r="L25" s="43" t="n"/>
      <c r="M25" s="43" t="n"/>
      <c r="N25" s="44" t="n"/>
      <c r="O25" s="27" t="n"/>
      <c r="P25" s="44" t="n"/>
    </row>
    <row r="26" ht="66" customHeight="1">
      <c r="A26" s="27" t="n"/>
      <c r="B26" s="27" t="n"/>
      <c r="C26" s="27" t="n"/>
      <c r="D26" s="27" t="n"/>
      <c r="E26" s="27" t="n"/>
      <c r="F26" s="27" t="n"/>
      <c r="G26" s="27" t="n"/>
      <c r="H26" s="27" t="n"/>
      <c r="I26" s="27" t="n"/>
      <c r="J26" s="27" t="n"/>
      <c r="K26" s="27" t="n"/>
      <c r="L26" s="43" t="n"/>
      <c r="M26" s="43" t="n"/>
      <c r="N26" s="44" t="n"/>
      <c r="O26" s="27" t="n"/>
      <c r="P26" s="44" t="n"/>
    </row>
    <row r="27" ht="66" customHeight="1">
      <c r="A27" s="27" t="n"/>
      <c r="B27" s="27" t="n"/>
      <c r="C27" s="27" t="n"/>
      <c r="D27" s="27" t="n"/>
      <c r="E27" s="27" t="n"/>
      <c r="F27" s="27" t="n"/>
      <c r="G27" s="27" t="n"/>
      <c r="H27" s="27" t="n"/>
      <c r="I27" s="27" t="n"/>
      <c r="J27" s="27" t="n"/>
      <c r="K27" s="27" t="n"/>
      <c r="L27" s="43" t="n"/>
      <c r="M27" s="43" t="n"/>
      <c r="N27" s="44" t="n"/>
      <c r="O27" s="27" t="n"/>
      <c r="P27" s="44" t="n"/>
    </row>
    <row r="28" ht="66" customHeight="1">
      <c r="A28" s="27" t="n"/>
      <c r="B28" s="27" t="n"/>
      <c r="C28" s="27" t="n"/>
      <c r="D28" s="27" t="n"/>
      <c r="E28" s="27" t="n"/>
      <c r="F28" s="27" t="n"/>
      <c r="G28" s="27" t="n"/>
      <c r="H28" s="27" t="n"/>
      <c r="I28" s="27" t="n"/>
      <c r="J28" s="27" t="n"/>
      <c r="K28" s="27" t="n"/>
      <c r="L28" s="43" t="n"/>
      <c r="M28" s="43" t="n"/>
      <c r="N28" s="44" t="n"/>
      <c r="O28" s="27" t="n"/>
      <c r="P28" s="44" t="n"/>
    </row>
    <row r="31" ht="15" customHeight="1">
      <c r="A31" s="13" t="inlineStr">
        <is>
          <t>SUMMARY OF MY POSITION TODAY</t>
        </is>
      </c>
      <c r="E31" s="13" t="inlineStr">
        <is>
          <t>POSSIBLE ACTIONS</t>
        </is>
      </c>
      <c r="K31" s="13" t="inlineStr">
        <is>
          <t>BEST ACTION PLAN</t>
        </is>
      </c>
    </row>
    <row r="32" ht="15" customHeight="1">
      <c r="A32" s="29" t="inlineStr">
        <is>
          <t>STRENGTHS</t>
        </is>
      </c>
    </row>
    <row r="33" ht="44" customHeight="1">
      <c r="A33" s="27" t="inlineStr">
        <is>
          <t>Two coordinated internal paths into the account: Maggie Lenhart's trusted Worldpay relationship (contract extension signed 2026-09-03) and Nick Hulayew's direct relationship with reported IT director Daniel Mears via Genius World.</t>
        </is>
      </c>
      <c r="B33" s="43" t="n"/>
      <c r="C33" s="43" t="n"/>
      <c r="D33" s="44" t="n"/>
      <c r="E33" s="27" t="inlineStr">
        <is>
          <t>Coordinate the two paths into one outreach rather than running them in parallel.</t>
        </is>
      </c>
      <c r="F33" s="43" t="n"/>
      <c r="G33" s="43" t="n"/>
      <c r="H33" s="43" t="n"/>
      <c r="I33" s="43" t="n"/>
      <c r="J33" s="44" t="n"/>
      <c r="K33" s="27" t="inlineStr">
        <is>
          <t>Nick reconnects with Daniel; Maggie's 2026-09-15 email introduction to Daniel is already sent.</t>
        </is>
      </c>
      <c r="L33" s="43" t="n"/>
      <c r="M33" s="44" t="n"/>
      <c r="N33" s="27" t="inlineStr">
        <is>
          <t>Todd / Nick / Maggie</t>
        </is>
      </c>
      <c r="O33" s="44" t="n"/>
      <c r="P33" s="27" t="inlineStr">
        <is>
          <t>Discovery call scheduled</t>
        </is>
      </c>
    </row>
    <row r="34" ht="44" customHeight="1">
      <c r="A34" s="27" t="inlineStr">
        <is>
          <t>Pollo Tropical's NCR CX-5 Windows-to-Android retrofit running Genius is a real, citable proof point that existing NCR hardware can potentially be reused rather than replaced -- directly relevant to Del Taco's reported capital constraints.</t>
        </is>
      </c>
      <c r="B34" s="43" t="n"/>
      <c r="C34" s="43" t="n"/>
      <c r="D34" s="44" t="n"/>
      <c r="E34" s="27" t="inlineStr">
        <is>
          <t>Prepare the Pollo Tropical retrofit as evidence in the first discovery conversation.</t>
        </is>
      </c>
      <c r="F34" s="43" t="n"/>
      <c r="G34" s="43" t="n"/>
      <c r="H34" s="43" t="n"/>
      <c r="I34" s="43" t="n"/>
      <c r="J34" s="44" t="n"/>
      <c r="K34" s="27" t="inlineStr">
        <is>
          <t>Validate Del Taco's current NCR estate (model, age, condition) before presenting it as a fit.</t>
        </is>
      </c>
      <c r="L34" s="43" t="n"/>
      <c r="M34" s="44" t="n"/>
      <c r="N34" s="27" t="inlineStr">
        <is>
          <t>Todd / solution lead</t>
        </is>
      </c>
      <c r="O34" s="44" t="n"/>
      <c r="P34" s="27" t="inlineStr">
        <is>
          <t>First discovery conversation</t>
        </is>
      </c>
    </row>
    <row r="35" ht="44" customHeight="1">
      <c r="A35" s="27" t="inlineStr">
        <is>
          <t>Dean (reported Yadav CTO) is described by Nick Hulayew as a strong Genius advocate and Genius customer advisory-board member, though his exact title and decision authority require validation.</t>
        </is>
      </c>
      <c r="B35" s="43" t="n"/>
      <c r="C35" s="43" t="n"/>
      <c r="D35" s="44" t="n"/>
      <c r="E35" s="27" t="inlineStr">
        <is>
          <t>Use Nick's relationship with Dean to seek an internal introduction or endorsement.</t>
        </is>
      </c>
      <c r="F35" s="43" t="n"/>
      <c r="G35" s="43" t="n"/>
      <c r="H35" s="43" t="n"/>
      <c r="I35" s="43" t="n"/>
      <c r="J35" s="44" t="n"/>
      <c r="K35" s="27" t="inlineStr">
        <is>
          <t>Validate Dean's authority before relying on his advocacy in any commercial conversation.</t>
        </is>
      </c>
      <c r="L35" s="43" t="n"/>
      <c r="M35" s="44" t="n"/>
      <c r="N35" s="27" t="inlineStr">
        <is>
          <t>Todd / Nick</t>
        </is>
      </c>
      <c r="O35" s="44" t="n"/>
      <c r="P35" s="27" t="inlineStr">
        <is>
          <t>Open</t>
        </is>
      </c>
    </row>
    <row r="36" ht="44" customHeight="1">
      <c r="A36" s="27" t="n"/>
      <c r="B36" s="43" t="n"/>
      <c r="C36" s="43" t="n"/>
      <c r="D36" s="44" t="n"/>
      <c r="E36" s="27" t="n"/>
      <c r="F36" s="43" t="n"/>
      <c r="G36" s="43" t="n"/>
      <c r="H36" s="43" t="n"/>
      <c r="I36" s="43" t="n"/>
      <c r="J36" s="44" t="n"/>
      <c r="K36" s="27" t="n"/>
      <c r="L36" s="43" t="n"/>
      <c r="M36" s="44" t="n"/>
      <c r="N36" s="27" t="n"/>
      <c r="O36" s="44" t="n"/>
      <c r="P36" s="27" t="n"/>
    </row>
    <row r="38" ht="15" customHeight="1">
      <c r="A38" s="30" t="inlineStr">
        <is>
          <t>RED FLAGS</t>
        </is>
      </c>
    </row>
    <row r="39" ht="44" customHeight="1">
      <c r="A39" s="27" t="inlineStr">
        <is>
          <t>Post-acquisition authority is still being established; Jack in the Box-era contracts and stakeholder assumptions (Rob Stevens, Dana King) may no longer apply under Yadav.</t>
        </is>
      </c>
      <c r="B39" s="43" t="n"/>
      <c r="C39" s="43" t="n"/>
      <c r="D39" s="44" t="n"/>
      <c r="E39" s="27" t="inlineStr">
        <is>
          <t>Treat every pre-acquisition relationship as unverified until confirmed under current Yadav leadership.</t>
        </is>
      </c>
      <c r="F39" s="43" t="n"/>
      <c r="G39" s="43" t="n"/>
      <c r="H39" s="43" t="n"/>
      <c r="I39" s="43" t="n"/>
      <c r="J39" s="44" t="n"/>
      <c r="K39" s="27" t="inlineStr">
        <is>
          <t>Validate current org chart and decision authority before advancing any commercial position.</t>
        </is>
      </c>
      <c r="L39" s="43" t="n"/>
      <c r="M39" s="44" t="n"/>
      <c r="N39" s="27" t="inlineStr">
        <is>
          <t>Todd</t>
        </is>
      </c>
      <c r="O39" s="44" t="n"/>
      <c r="P39" s="27" t="inlineStr">
        <is>
          <t>Open</t>
        </is>
      </c>
    </row>
    <row r="40" ht="44" customHeight="1">
      <c r="A40" s="27" t="inlineStr">
        <is>
          <t>Qu's prior RFP win and the newly reported Nova POS evaluation mean the POS layer may already be contested or moving toward a different vendor; Worldpay does not yet have a Nova card-present integration for enterprise merchants, which is a real technical gap if Nova is selected.</t>
        </is>
      </c>
      <c r="B40" s="43" t="n"/>
      <c r="C40" s="43" t="n"/>
      <c r="D40" s="44" t="n"/>
      <c r="E40" s="27" t="inlineStr">
        <is>
          <t>Clarify whether DMB can proceed independently of the POS decision, and track the Worldpay/Nova integration status.</t>
        </is>
      </c>
      <c r="F40" s="43" t="n"/>
      <c r="G40" s="43" t="n"/>
      <c r="H40" s="43" t="n"/>
      <c r="I40" s="43" t="n"/>
      <c r="J40" s="44" t="n"/>
      <c r="K40" s="27" t="inlineStr">
        <is>
          <t>Separate the DMB wedge from the POS outcome in any proposal; monitor the Nova integration timeline with Maggie.</t>
        </is>
      </c>
      <c r="L40" s="43" t="n"/>
      <c r="M40" s="44" t="n"/>
      <c r="N40" s="27" t="inlineStr">
        <is>
          <t>Todd / Maggie</t>
        </is>
      </c>
      <c r="O40" s="44" t="n"/>
      <c r="P40" s="27" t="inlineStr">
        <is>
          <t>Open</t>
        </is>
      </c>
    </row>
    <row r="41" ht="44" customHeight="1">
      <c r="A41" s="27" t="inlineStr">
        <is>
          <t>Several internally reported stakeholder names, titles, and authority levels (Daniel Mears, Dean, Dana King, Rob Stevens) remain unverified and must not be used externally before confirmation.</t>
        </is>
      </c>
      <c r="B41" s="43" t="n"/>
      <c r="C41" s="43" t="n"/>
      <c r="D41" s="44" t="n"/>
      <c r="E41" s="27" t="inlineStr">
        <is>
          <t>Confirm each name, title, and authority level directly before any customer-facing reference.</t>
        </is>
      </c>
      <c r="F41" s="43" t="n"/>
      <c r="G41" s="43" t="n"/>
      <c r="H41" s="43" t="n"/>
      <c r="I41" s="43" t="n"/>
      <c r="J41" s="44" t="n"/>
      <c r="K41" s="27" t="inlineStr">
        <is>
          <t>First discovery conversation should validate the org chart.</t>
        </is>
      </c>
      <c r="L41" s="43" t="n"/>
      <c r="M41" s="44" t="n"/>
      <c r="N41" s="27" t="inlineStr">
        <is>
          <t>Todd</t>
        </is>
      </c>
      <c r="O41" s="44" t="n"/>
      <c r="P41" s="27" t="inlineStr">
        <is>
          <t>Open</t>
        </is>
      </c>
    </row>
    <row r="42" ht="44" customHeight="1">
      <c r="A42" s="27" t="inlineStr">
        <is>
          <t>Nick Hulayew's belief that Anil Yadav is a silent investor in Qu, and that this influenced the prior Jack in the Box decision, is unconfirmed competitive intelligence and must never be presented externally as fact.</t>
        </is>
      </c>
      <c r="B42" s="43" t="n"/>
      <c r="C42" s="43" t="n"/>
      <c r="D42" s="44" t="n"/>
      <c r="E42" s="27" t="inlineStr">
        <is>
          <t>Hold this internally as a risk to monitor, not a talking point.</t>
        </is>
      </c>
      <c r="F42" s="43" t="n"/>
      <c r="G42" s="43" t="n"/>
      <c r="H42" s="43" t="n"/>
      <c r="I42" s="43" t="n"/>
      <c r="J42" s="44" t="n"/>
      <c r="K42" s="27" t="inlineStr">
        <is>
          <t>Do not reference the Yadav-Qu relationship in any customer-facing material without independent confirmation.</t>
        </is>
      </c>
      <c r="L42" s="43" t="n"/>
      <c r="M42" s="44" t="n"/>
      <c r="N42" s="27" t="inlineStr">
        <is>
          <t>Todd</t>
        </is>
      </c>
      <c r="O42" s="44" t="n"/>
      <c r="P42" s="27" t="inlineStr">
        <is>
          <t>Open</t>
        </is>
      </c>
    </row>
    <row r="43" ht="44" customHeight="1">
      <c r="A43" s="27" t="n"/>
      <c r="B43" s="43" t="n"/>
      <c r="C43" s="43" t="n"/>
      <c r="D43" s="44" t="n"/>
      <c r="E43" s="27" t="n"/>
      <c r="F43" s="43" t="n"/>
      <c r="G43" s="43" t="n"/>
      <c r="H43" s="43" t="n"/>
      <c r="I43" s="43" t="n"/>
      <c r="J43" s="44" t="n"/>
      <c r="K43" s="27" t="n"/>
      <c r="L43" s="43" t="n"/>
      <c r="M43" s="44" t="n"/>
      <c r="N43" s="27" t="n"/>
      <c r="O43" s="44" t="n"/>
      <c r="P43" s="27" t="n"/>
    </row>
  </sheetData>
  <mergeCells count="81">
    <mergeCell ref="A17:P17"/>
    <mergeCell ref="K40:M40"/>
    <mergeCell ref="K31:P31"/>
    <mergeCell ref="K12:P12"/>
    <mergeCell ref="A31:D31"/>
    <mergeCell ref="O26:P26"/>
    <mergeCell ref="K24:N24"/>
    <mergeCell ref="N39:O39"/>
    <mergeCell ref="O25:P25"/>
    <mergeCell ref="K26:N26"/>
    <mergeCell ref="E5:J10"/>
    <mergeCell ref="K4:P4"/>
    <mergeCell ref="A41:D41"/>
    <mergeCell ref="O27:P27"/>
    <mergeCell ref="K34:M34"/>
    <mergeCell ref="N40:O40"/>
    <mergeCell ref="O11:P11"/>
    <mergeCell ref="K36:M36"/>
    <mergeCell ref="A33:D33"/>
    <mergeCell ref="A42:D42"/>
    <mergeCell ref="K11:M11"/>
    <mergeCell ref="N35:O35"/>
    <mergeCell ref="A35:D35"/>
    <mergeCell ref="E34:J34"/>
    <mergeCell ref="B10:D10"/>
    <mergeCell ref="E36:J36"/>
    <mergeCell ref="N42:O42"/>
    <mergeCell ref="B9:D9"/>
    <mergeCell ref="O21:P21"/>
    <mergeCell ref="K21:N21"/>
    <mergeCell ref="A1:P1"/>
    <mergeCell ref="E12:J12"/>
    <mergeCell ref="K33:M33"/>
    <mergeCell ref="K35:M35"/>
    <mergeCell ref="E4:J4"/>
    <mergeCell ref="K27:N27"/>
    <mergeCell ref="B14:D14"/>
    <mergeCell ref="O19:P19"/>
    <mergeCell ref="O28:P28"/>
    <mergeCell ref="E40:J40"/>
    <mergeCell ref="E13:J15"/>
    <mergeCell ref="B13:D13"/>
    <mergeCell ref="N41:O41"/>
    <mergeCell ref="K19:N19"/>
    <mergeCell ref="K28:N28"/>
    <mergeCell ref="N43:O43"/>
    <mergeCell ref="A34:D34"/>
    <mergeCell ref="O20:P20"/>
    <mergeCell ref="A39:D39"/>
    <mergeCell ref="K25:N25"/>
    <mergeCell ref="K39:M39"/>
    <mergeCell ref="N33:O33"/>
    <mergeCell ref="A36:D36"/>
    <mergeCell ref="O22:P22"/>
    <mergeCell ref="A12:D12"/>
    <mergeCell ref="O23:P23"/>
    <mergeCell ref="E39:J39"/>
    <mergeCell ref="A32:D32"/>
    <mergeCell ref="K23:N23"/>
    <mergeCell ref="K41:M41"/>
    <mergeCell ref="A4:D4"/>
    <mergeCell ref="A38:D38"/>
    <mergeCell ref="O24:P24"/>
    <mergeCell ref="E31:J31"/>
    <mergeCell ref="O18:P18"/>
    <mergeCell ref="A43:D43"/>
    <mergeCell ref="K43:M43"/>
    <mergeCell ref="A40:D40"/>
    <mergeCell ref="K18:N18"/>
    <mergeCell ref="K42:M42"/>
    <mergeCell ref="B15:D15"/>
    <mergeCell ref="E41:J41"/>
    <mergeCell ref="K20:N20"/>
    <mergeCell ref="E43:J43"/>
    <mergeCell ref="E33:J33"/>
    <mergeCell ref="K22:N22"/>
    <mergeCell ref="E42:J42"/>
    <mergeCell ref="N34:O34"/>
    <mergeCell ref="E35:J35"/>
    <mergeCell ref="N36:O36"/>
    <mergeCell ref="A2:P2"/>
  </mergeCells>
  <dataValidations count="4">
    <dataValidation sqref="L6:L10" showDropDown="0" showInputMessage="0" showErrorMessage="0" allowBlank="0" type="list">
      <formula1>"Y,N,U"</formula1>
    </dataValidation>
    <dataValidation sqref="B13" showDropDown="0" showInputMessage="0" showErrorMessage="0" allowBlank="0" type="list">
      <formula1>"Euphoria,Great,Secure,Comfort,OK,Concern,Discomfort,Worry,Fear,Panic"</formula1>
    </dataValidation>
    <dataValidation sqref="L13" showDropDown="0" showInputMessage="0" showErrorMessage="0" allowBlank="0" type="list">
      <formula1>"Prospect,Qualify,Pursue,Close"</formula1>
    </dataValidation>
    <dataValidation sqref="O14" showDropDown="0" showInputMessage="0" showErrorMessage="0" allowBlank="0" type="list">
      <formula1>"Only alternative,Front-runner,Shared,Zero"</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8"/>
  <sheetViews>
    <sheetView showGridLines="0" workbookViewId="0">
      <selection activeCell="A1" sqref="A1:H1"/>
    </sheetView>
  </sheetViews>
  <sheetFormatPr baseColWidth="10" defaultColWidth="8.83203125" defaultRowHeight="14"/>
  <cols>
    <col width="21" customWidth="1" min="1" max="1"/>
    <col width="50" customWidth="1" min="2" max="2"/>
    <col width="43" customWidth="1" min="3" max="3"/>
    <col width="15" customWidth="1" min="4" max="4"/>
    <col width="16" customWidth="1" min="5" max="5"/>
    <col width="39" customWidth="1" min="6" max="6"/>
    <col width="43" customWidth="1" min="7" max="7"/>
    <col width="23" customWidth="1" min="8" max="8"/>
  </cols>
  <sheetData>
    <row r="1" ht="28" customHeight="1">
      <c r="A1" s="11" t="inlineStr">
        <is>
          <t>DEL TACO — BRAND PROFILE</t>
        </is>
      </c>
    </row>
    <row r="2" ht="22" customHeight="1">
      <c r="A2" s="12" t="inlineStr">
        <is>
          <t>Executive account context, strategic implications and questions to resolve.</t>
        </is>
      </c>
    </row>
    <row r="4" ht="16" customHeight="1">
      <c r="A4" s="28" t="inlineStr">
        <is>
          <t>Category</t>
        </is>
      </c>
      <c r="B4" s="28" t="inlineStr">
        <is>
          <t>What we know</t>
        </is>
      </c>
      <c r="C4" s="28" t="inlineStr">
        <is>
          <t>Strategic implication</t>
        </is>
      </c>
      <c r="D4" s="28" t="inlineStr">
        <is>
          <t>Confidence</t>
        </is>
      </c>
      <c r="E4" s="28" t="inlineStr">
        <is>
          <t>As of</t>
        </is>
      </c>
      <c r="F4" s="28" t="inlineStr">
        <is>
          <t>Buying relevance</t>
        </is>
      </c>
      <c r="G4" s="28" t="inlineStr">
        <is>
          <t>Question to validate</t>
        </is>
      </c>
      <c r="H4" s="28" t="inlineStr">
        <is>
          <t>Owner</t>
        </is>
      </c>
    </row>
    <row r="5" ht="66" customHeight="1">
      <c r="A5" s="27" t="inlineStr">
        <is>
          <t>Identity &amp; heritage</t>
        </is>
      </c>
      <c r="B5" s="27" t="inlineStr">
        <is>
          <t>Mexican quick-service restaurant, founded 1964, headquartered in Lake Forest, California.</t>
        </is>
      </c>
      <c r="C5" s="27" t="inlineStr">
        <is>
          <t>Long-established regional brand now under new ownership and a named turnaround program.</t>
        </is>
      </c>
      <c r="D5" s="27" t="inlineStr">
        <is>
          <t>High</t>
        </is>
      </c>
      <c r="E5" s="27" t="inlineStr">
        <is>
          <t>2026-09-08</t>
        </is>
      </c>
      <c r="F5" s="27" t="inlineStr"/>
      <c r="G5" s="27" t="inlineStr"/>
      <c r="H5" s="27" t="inlineStr"/>
    </row>
    <row r="6" ht="66" customHeight="1">
      <c r="A6" s="27" t="inlineStr">
        <is>
          <t>Ownership</t>
        </is>
      </c>
      <c r="B6" s="27" t="inlineStr">
        <is>
          <t>Acquired by Yadav Enterprises from Jack in the Box, closed 2025-12-22, for approximately $119 million after customary adjustments.</t>
        </is>
      </c>
      <c r="C6" s="27" t="inlineStr">
        <is>
          <t>Post-acquisition authority is still being established; pre-acquisition relationships and contracts require revalidation.</t>
        </is>
      </c>
      <c r="D6" s="27" t="inlineStr">
        <is>
          <t>High</t>
        </is>
      </c>
      <c r="E6" s="27" t="inlineStr">
        <is>
          <t>2026-09-08</t>
        </is>
      </c>
      <c r="F6" s="27" t="inlineStr"/>
      <c r="G6" s="27" t="inlineStr"/>
      <c r="H6" s="27" t="inlineStr"/>
    </row>
    <row r="7" ht="66" customHeight="1">
      <c r="A7" s="27" t="inlineStr">
        <is>
          <t>U.S. footprint</t>
        </is>
      </c>
      <c r="B7" s="27" t="inlineStr">
        <is>
          <t>576 restaurants at FY2025 year-end: 132 company-operated, 444 franchised. Fiscal 2025 systemwide sales of $918.8 million.</t>
        </is>
      </c>
      <c r="C7" s="27" t="inlineStr">
        <is>
          <t>A majority-franchised estate means technology decisions likely require brand-standard mandates to reach most units.</t>
        </is>
      </c>
      <c r="D7" s="27" t="inlineStr">
        <is>
          <t>High</t>
        </is>
      </c>
      <c r="E7" s="27" t="inlineStr">
        <is>
          <t>2026-09-08</t>
        </is>
      </c>
      <c r="F7" s="27" t="inlineStr"/>
      <c r="G7" s="27" t="inlineStr"/>
      <c r="H7" s="27" t="inlineStr"/>
    </row>
    <row r="8" ht="66" customHeight="1">
      <c r="A8" s="27" t="inlineStr">
        <is>
          <t>Current pursuit</t>
        </is>
      </c>
      <c r="B8" s="27" t="inlineStr">
        <is>
          <t>Executing an 18-month post-acquisition turnaround, 'Project Sunrise,' centered on food quality, operational simplification, value, guest trust, menu innovation, catering expansion, and loyalty.</t>
        </is>
      </c>
      <c r="C8" s="27" t="inlineStr">
        <is>
          <t>Turnaround programs create real modernization pressure but also budget scrutiny; any pitch should tie directly to Project Sunrise's own stated outcomes.</t>
        </is>
      </c>
      <c r="D8" s="27" t="inlineStr">
        <is>
          <t>High</t>
        </is>
      </c>
      <c r="E8" s="27" t="inlineStr">
        <is>
          <t>2026-09-08</t>
        </is>
      </c>
      <c r="F8" s="27" t="inlineStr"/>
      <c r="G8" s="27" t="inlineStr"/>
      <c r="H8" s="27" t="inlineStr"/>
    </row>
    <row r="9" ht="66" customHeight="1">
      <c r="A9" s="27" t="inlineStr">
        <is>
          <t>U.S. leadership</t>
        </is>
      </c>
      <c r="B9" s="27" t="inlineStr">
        <is>
          <t>Anil Yadav, CEO, Yadav Enterprises.</t>
        </is>
      </c>
      <c r="C9" s="27" t="inlineStr">
        <is>
          <t>Senior owner-executive publicly accountable for the turnaround and scalability.</t>
        </is>
      </c>
      <c r="D9" s="27" t="inlineStr">
        <is>
          <t>High</t>
        </is>
      </c>
      <c r="E9" s="27" t="inlineStr">
        <is>
          <t>2026-09-08</t>
        </is>
      </c>
      <c r="F9" s="27" t="inlineStr"/>
      <c r="G9" s="27" t="inlineStr"/>
      <c r="H9" s="27" t="inlineStr"/>
    </row>
    <row r="10" ht="66" customHeight="1">
      <c r="A10" s="27" t="inlineStr">
        <is>
          <t>U.S. leadership</t>
        </is>
      </c>
      <c r="B10" s="27" t="inlineStr">
        <is>
          <t>Ulyses Camacho, Chief Transformation Officer, Del Taco / Yadav Enterprises.</t>
        </is>
      </c>
      <c r="C10" s="27" t="inlineStr">
        <is>
          <t>Leads unit execution, cost optimization, and systems modernization -- a likely internal sponsor for any technology initiative tied to Project Sunrise.</t>
        </is>
      </c>
      <c r="D10" s="27" t="inlineStr">
        <is>
          <t>High</t>
        </is>
      </c>
      <c r="E10" s="27" t="inlineStr">
        <is>
          <t>2026-09-08</t>
        </is>
      </c>
      <c r="F10" s="27" t="inlineStr"/>
      <c r="G10" s="27" t="inlineStr"/>
      <c r="H10" s="27" t="inlineStr"/>
    </row>
    <row r="11" ht="66" customHeight="1">
      <c r="A11" s="27" t="inlineStr">
        <is>
          <t>U.S. leadership</t>
        </is>
      </c>
      <c r="B11" s="27" t="inlineStr">
        <is>
          <t>Noah Chillingworth, Chief Marketing Officer, Del Taco.</t>
        </is>
      </c>
      <c r="C11" s="27" t="inlineStr">
        <is>
          <t>Owns brand strategy, digital and loyalty platforms, and guest insight -- relevant to any digital menu board or loyalty-adjacent pitch.</t>
        </is>
      </c>
      <c r="D11" s="27" t="inlineStr">
        <is>
          <t>High</t>
        </is>
      </c>
      <c r="E11" s="27" t="inlineStr">
        <is>
          <t>2026-09-08</t>
        </is>
      </c>
      <c r="F11" s="27" t="inlineStr"/>
      <c r="G11" s="27" t="inlineStr"/>
      <c r="H11" s="27" t="inlineStr"/>
    </row>
    <row r="12" ht="66" customHeight="1">
      <c r="A12" s="27" t="inlineStr">
        <is>
          <t>Economics / scale</t>
        </is>
      </c>
      <c r="B12" s="27" t="inlineStr">
        <is>
          <t>Fiscal 2025: system same-store sales declined 3.7%, company-store transactions declined 6.9%, and restaurant-level margin was 11.1%. 14 restaurants opened, 32 closed.</t>
        </is>
      </c>
      <c r="C12" s="27" t="inlineStr">
        <is>
          <t>The inherited operating baseline was pressured, which is the explicit driver behind Project Sunrise and a credible reason for a modernization conversation.</t>
        </is>
      </c>
      <c r="D12" s="27" t="inlineStr">
        <is>
          <t>High</t>
        </is>
      </c>
      <c r="E12" s="27" t="inlineStr">
        <is>
          <t>2026-09-08</t>
        </is>
      </c>
      <c r="F12" s="27" t="inlineStr"/>
      <c r="G12" s="27" t="inlineStr"/>
      <c r="H12" s="27" t="inlineStr"/>
    </row>
    <row r="13" ht="66" customHeight="1">
      <c r="A13" s="27" t="inlineStr">
        <is>
          <t>Relationship history</t>
        </is>
      </c>
      <c r="B13" s="27" t="inlineStr">
        <is>
          <t>Del Taco previously evaluated Genius for digital menu boards under Jack in the Box ownership; the effort went quiet around the divestiture when the desired system-on-chip approach did not align cleanly with the Genius solution at the time.</t>
        </is>
      </c>
      <c r="C13" s="27" t="inlineStr">
        <is>
          <t>There is real prior-cycle context and relationship history to draw on, but it is retrospective and must be revalidated under current Yadav leadership, not presented as still-active interest.</t>
        </is>
      </c>
      <c r="D13" s="27" t="inlineStr">
        <is>
          <t>Medium</t>
        </is>
      </c>
      <c r="E13" s="27" t="inlineStr">
        <is>
          <t>2026-09-08</t>
        </is>
      </c>
      <c r="F13" s="27" t="inlineStr"/>
      <c r="G13" s="27" t="inlineStr"/>
      <c r="H13" s="27" t="inlineStr"/>
    </row>
    <row r="14" ht="66" customHeight="1">
      <c r="A14" s="27" t="n"/>
      <c r="B14" s="27" t="n"/>
      <c r="C14" s="27" t="n"/>
      <c r="D14" s="27" t="n"/>
      <c r="E14" s="27" t="n"/>
      <c r="F14" s="27" t="n"/>
      <c r="G14" s="27" t="n"/>
      <c r="H14" s="27" t="n"/>
    </row>
    <row r="15" ht="66" customHeight="1">
      <c r="A15" s="27" t="n"/>
      <c r="B15" s="27" t="n"/>
      <c r="C15" s="27" t="n"/>
      <c r="D15" s="27" t="n"/>
      <c r="E15" s="27" t="n"/>
      <c r="F15" s="27" t="n"/>
      <c r="G15" s="27" t="n"/>
      <c r="H15" s="27" t="n"/>
    </row>
    <row r="16" ht="66" customHeight="1">
      <c r="A16" s="27" t="n"/>
      <c r="B16" s="27" t="n"/>
      <c r="C16" s="27" t="n"/>
      <c r="D16" s="27" t="n"/>
      <c r="E16" s="27" t="n"/>
      <c r="F16" s="27" t="n"/>
      <c r="G16" s="27" t="n"/>
      <c r="H16" s="27" t="n"/>
    </row>
    <row r="17" ht="66" customHeight="1">
      <c r="A17" s="27" t="n"/>
      <c r="B17" s="27" t="n"/>
      <c r="C17" s="27" t="n"/>
      <c r="D17" s="27" t="n"/>
      <c r="E17" s="27" t="n"/>
      <c r="F17" s="27" t="n"/>
      <c r="G17" s="27" t="n"/>
      <c r="H17" s="27" t="n"/>
    </row>
    <row r="18" ht="66" customHeight="1">
      <c r="A18" s="27" t="n"/>
      <c r="B18" s="27" t="n"/>
      <c r="C18" s="27" t="n"/>
      <c r="D18" s="27" t="n"/>
      <c r="E18" s="27" t="n"/>
      <c r="F18" s="27" t="n"/>
      <c r="G18" s="27" t="n"/>
      <c r="H18" s="27" t="n"/>
    </row>
  </sheetData>
  <mergeCells count="2">
    <mergeCell ref="A2:H2"/>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7"/>
  <sheetViews>
    <sheetView showGridLines="0" tabSelected="1" workbookViewId="0">
      <selection activeCell="A1" sqref="A1:K1"/>
    </sheetView>
  </sheetViews>
  <sheetFormatPr baseColWidth="10" defaultColWidth="8.83203125" defaultRowHeight="14"/>
  <cols>
    <col width="24" customWidth="1" min="1" max="1"/>
    <col width="31" customWidth="1" min="2" max="2"/>
    <col width="42" customWidth="1" min="3" max="3"/>
    <col width="13" customWidth="1" min="4" max="4"/>
    <col width="28" customWidth="1" min="5" max="5"/>
    <col width="34" customWidth="1" min="6" max="6"/>
    <col width="38" customWidth="1" min="7" max="7"/>
    <col width="31" customWidth="1" min="8" max="8"/>
    <col width="35" customWidth="1" min="9" max="9"/>
    <col width="42" customWidth="1" min="10" max="10"/>
    <col width="16" customWidth="1" min="11" max="11"/>
  </cols>
  <sheetData>
    <row r="1" ht="28" customHeight="1">
      <c r="A1" s="11" t="inlineStr">
        <is>
          <t>DEL TACO — CURRENT TECHNOLOGY &amp; VENDOR LANDSCAPE</t>
        </is>
      </c>
    </row>
    <row r="2" ht="22" customHeight="1">
      <c r="A2" s="12" t="inlineStr">
        <is>
          <t>Executive working view of the current environment, whitespace and next validation.</t>
        </is>
      </c>
    </row>
    <row r="4" ht="16" customHeight="1">
      <c r="A4" s="28" t="inlineStr">
        <is>
          <t>Layer</t>
        </is>
      </c>
      <c r="B4" s="28" t="inlineStr">
        <is>
          <t>Current vendor / product</t>
        </is>
      </c>
      <c r="C4" s="28" t="inlineStr">
        <is>
          <t>Current state</t>
        </is>
      </c>
      <c r="D4" s="28" t="inlineStr">
        <is>
          <t>Confidence</t>
        </is>
      </c>
      <c r="E4" s="28" t="inlineStr">
        <is>
          <t>Decision owner / influence</t>
        </is>
      </c>
      <c r="F4" s="28" t="inlineStr">
        <is>
          <t>Customer value / pain</t>
        </is>
      </c>
      <c r="G4" s="28" t="inlineStr">
        <is>
          <t>Genius / Worldpay relevance</t>
        </is>
      </c>
      <c r="H4" s="28" t="inlineStr">
        <is>
          <t>Incumbent advantage</t>
        </is>
      </c>
      <c r="I4" s="28" t="inlineStr">
        <is>
          <t>Risk / constraint</t>
        </is>
      </c>
      <c r="J4" s="28" t="inlineStr">
        <is>
          <t>Next step</t>
        </is>
      </c>
      <c r="K4" s="28" t="inlineStr">
        <is>
          <t>Status</t>
        </is>
      </c>
    </row>
    <row r="5" ht="68" customHeight="1">
      <c r="A5" s="27" t="inlineStr">
        <is>
          <t>payments</t>
        </is>
      </c>
      <c r="B5" s="27" t="inlineStr">
        <is>
          <t>Worldpay</t>
        </is>
      </c>
      <c r="C5" s="27" t="inlineStr">
        <is>
          <t>Contract extension signed 2026-09-03 after an approximately nine-month process.</t>
        </is>
      </c>
      <c r="D5" s="27" t="inlineStr">
        <is>
          <t>high</t>
        </is>
      </c>
      <c r="E5" s="27" t="n"/>
      <c r="F5" s="27" t="n"/>
      <c r="G5" s="27" t="n"/>
      <c r="H5" s="27" t="n"/>
      <c r="I5" s="27" t="n"/>
      <c r="J5" s="27" t="n"/>
      <c r="K5" s="27" t="inlineStr">
        <is>
          <t>Confirmed</t>
        </is>
      </c>
    </row>
    <row r="6" ht="68" customHeight="1">
      <c r="A6" s="27" t="inlineStr">
        <is>
          <t>loyalty / digital ordering</t>
        </is>
      </c>
      <c r="B6" s="27" t="inlineStr">
        <is>
          <t>Olo</t>
        </is>
      </c>
      <c r="C6" s="27" t="inlineStr">
        <is>
          <t>Reported as in use; specific modules require validation.</t>
        </is>
      </c>
      <c r="D6" s="27" t="inlineStr">
        <is>
          <t>medium</t>
        </is>
      </c>
      <c r="E6" s="27" t="n"/>
      <c r="F6" s="27" t="n"/>
      <c r="G6" s="27" t="n"/>
      <c r="H6" s="27" t="n"/>
      <c r="I6" s="27" t="n"/>
      <c r="J6" s="27" t="n"/>
      <c r="K6" s="27" t="inlineStr">
        <is>
          <t>Verify</t>
        </is>
      </c>
    </row>
    <row r="7" ht="68" customHeight="1">
      <c r="A7" s="27" t="inlineStr">
        <is>
          <t>POS / unified commerce</t>
        </is>
      </c>
      <c r="B7" s="27" t="inlineStr">
        <is>
          <t>Qu</t>
        </is>
      </c>
      <c r="C7" s="27" t="inlineStr">
        <is>
          <t>Won the prior Jack in the Box RFP; Del Taco adoption was never confirmed and current Yadav intent is unknown.</t>
        </is>
      </c>
      <c r="D7" s="27" t="inlineStr">
        <is>
          <t>medium</t>
        </is>
      </c>
      <c r="E7" s="27" t="n"/>
      <c r="F7" s="27" t="n"/>
      <c r="G7" s="27" t="n"/>
      <c r="H7" s="27" t="n"/>
      <c r="I7" s="27" t="n"/>
      <c r="J7" s="27" t="n"/>
      <c r="K7" s="27" t="inlineStr">
        <is>
          <t>Verify</t>
        </is>
      </c>
    </row>
    <row r="8" ht="68" customHeight="1">
      <c r="A8" s="27" t="inlineStr">
        <is>
          <t>POS / unified commerce (reported new evaluation)</t>
        </is>
      </c>
      <c r="B8" s="27" t="inlineStr">
        <is>
          <t>Nova</t>
        </is>
      </c>
      <c r="C8" s="27" t="inlineStr">
        <is>
          <t>Maggie Lenhart reported Del Taco is looking into Nova as a new POS; Worldpay does not yet have a Nova card-present integration for enterprise merchants and is actively working on one.</t>
        </is>
      </c>
      <c r="D8" s="27" t="inlineStr">
        <is>
          <t>high</t>
        </is>
      </c>
      <c r="E8" s="27" t="n"/>
      <c r="F8" s="27" t="n"/>
      <c r="G8" s="27" t="n"/>
      <c r="H8" s="27" t="n"/>
      <c r="I8" s="27" t="n"/>
      <c r="J8" s="27" t="n"/>
      <c r="K8" s="27" t="inlineStr">
        <is>
          <t>Reported</t>
        </is>
      </c>
    </row>
    <row r="9" ht="68" customHeight="1">
      <c r="A9" s="27" t="inlineStr">
        <is>
          <t>legacy POS / back office</t>
        </is>
      </c>
      <c r="B9" s="27" t="inlineStr">
        <is>
          <t>NCR Aloha / MenuLink</t>
        </is>
      </c>
      <c r="C9" s="27" t="inlineStr">
        <is>
          <t>Historical; internal account history describes a highly legacy menu structure that was difficult to integrate. Current footprint requires validation.</t>
        </is>
      </c>
      <c r="D9" s="27" t="inlineStr">
        <is>
          <t>medium</t>
        </is>
      </c>
      <c r="E9" s="27" t="n"/>
      <c r="F9" s="27" t="n"/>
      <c r="G9" s="27" t="n"/>
      <c r="H9" s="27" t="n"/>
      <c r="I9" s="27" t="n"/>
      <c r="J9" s="27" t="n"/>
      <c r="K9" s="27" t="inlineStr">
        <is>
          <t>Historical</t>
        </is>
      </c>
    </row>
    <row r="10" ht="68" customHeight="1">
      <c r="A10" s="27" t="inlineStr">
        <is>
          <t>voice AI</t>
        </is>
      </c>
      <c r="B10" s="27" t="inlineStr">
        <is>
          <t>Presto</t>
        </is>
      </c>
      <c r="C10" s="27" t="inlineStr">
        <is>
          <t>Historical / discontinued.</t>
        </is>
      </c>
      <c r="D10" s="27" t="inlineStr">
        <is>
          <t>high</t>
        </is>
      </c>
      <c r="E10" s="27" t="n"/>
      <c r="F10" s="27" t="n"/>
      <c r="G10" s="27" t="n"/>
      <c r="H10" s="27" t="n"/>
      <c r="I10" s="27" t="n"/>
      <c r="J10" s="27" t="n"/>
      <c r="K10" s="27" t="inlineStr">
        <is>
          <t>Historical</t>
        </is>
      </c>
    </row>
    <row r="11" ht="68" customHeight="1">
      <c r="A11" s="27" t="n"/>
      <c r="B11" s="27" t="n"/>
      <c r="C11" s="27" t="n"/>
      <c r="D11" s="27" t="n"/>
      <c r="E11" s="27" t="n"/>
      <c r="F11" s="27" t="n"/>
      <c r="G11" s="27" t="n"/>
      <c r="H11" s="27" t="n"/>
      <c r="I11" s="27" t="n"/>
      <c r="J11" s="27" t="n"/>
      <c r="K11" s="27" t="n"/>
    </row>
    <row r="12" ht="68" customHeight="1">
      <c r="A12" s="27" t="n"/>
      <c r="B12" s="27" t="n"/>
      <c r="C12" s="27" t="n"/>
      <c r="D12" s="27" t="n"/>
      <c r="E12" s="27" t="n"/>
      <c r="F12" s="27" t="n"/>
      <c r="G12" s="27" t="n"/>
      <c r="H12" s="27" t="n"/>
      <c r="I12" s="27" t="n"/>
      <c r="J12" s="27" t="n"/>
      <c r="K12" s="27" t="n"/>
    </row>
    <row r="13" ht="68" customHeight="1">
      <c r="A13" s="27" t="n"/>
      <c r="B13" s="27" t="n"/>
      <c r="C13" s="27" t="n"/>
      <c r="D13" s="27" t="n"/>
      <c r="E13" s="27" t="n"/>
      <c r="F13" s="27" t="n"/>
      <c r="G13" s="27" t="n"/>
      <c r="H13" s="27" t="n"/>
      <c r="I13" s="27" t="n"/>
      <c r="J13" s="27" t="n"/>
      <c r="K13" s="27" t="n"/>
    </row>
    <row r="14" ht="68" customHeight="1">
      <c r="A14" s="27" t="n"/>
      <c r="B14" s="27" t="n"/>
      <c r="C14" s="27" t="n"/>
      <c r="D14" s="27" t="n"/>
      <c r="E14" s="27" t="n"/>
      <c r="F14" s="27" t="n"/>
      <c r="G14" s="27" t="n"/>
      <c r="H14" s="27" t="n"/>
      <c r="I14" s="27" t="n"/>
      <c r="J14" s="27" t="n"/>
      <c r="K14" s="27" t="n"/>
    </row>
    <row r="15" ht="68" customHeight="1">
      <c r="A15" s="27" t="n"/>
      <c r="B15" s="27" t="n"/>
      <c r="C15" s="27" t="n"/>
      <c r="D15" s="27" t="n"/>
      <c r="E15" s="27" t="n"/>
      <c r="F15" s="27" t="n"/>
      <c r="G15" s="27" t="n"/>
      <c r="H15" s="27" t="n"/>
      <c r="I15" s="27" t="n"/>
      <c r="J15" s="27" t="n"/>
      <c r="K15" s="27" t="n"/>
    </row>
    <row r="16" ht="68" customHeight="1">
      <c r="A16" s="27" t="n"/>
      <c r="B16" s="27" t="n"/>
      <c r="C16" s="27" t="n"/>
      <c r="D16" s="27" t="n"/>
      <c r="E16" s="27" t="n"/>
      <c r="F16" s="27" t="n"/>
      <c r="G16" s="27" t="n"/>
      <c r="H16" s="27" t="n"/>
      <c r="I16" s="27" t="n"/>
      <c r="J16" s="27" t="n"/>
      <c r="K16" s="27" t="n"/>
    </row>
    <row r="17" ht="68" customHeight="1">
      <c r="A17" s="27" t="n"/>
      <c r="B17" s="27" t="n"/>
      <c r="C17" s="27" t="n"/>
      <c r="D17" s="27" t="n"/>
      <c r="E17" s="27" t="n"/>
      <c r="F17" s="27" t="n"/>
      <c r="G17" s="27" t="n"/>
      <c r="H17" s="27" t="n"/>
      <c r="I17" s="27" t="n"/>
      <c r="J17" s="27" t="n"/>
      <c r="K17" s="27" t="n"/>
    </row>
  </sheetData>
  <mergeCells count="2">
    <mergeCell ref="A2:K2"/>
    <mergeCell ref="A1:K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10" defaultColWidth="8.83203125" defaultRowHeight="14"/>
  <cols>
    <col width="15" customWidth="1" min="1" max="1"/>
    <col width="30" customWidth="1" min="2" max="2"/>
    <col width="42" customWidth="1" min="3" max="3"/>
    <col width="28" customWidth="1" min="4" max="4"/>
    <col width="30" customWidth="1" min="5" max="5"/>
    <col width="27" customWidth="1" min="6" max="6"/>
    <col width="12" customWidth="1" min="7" max="7"/>
    <col width="40" customWidth="1" min="8" max="8"/>
    <col width="24" customWidth="1" min="9" max="9"/>
    <col width="22" customWidth="1" min="10" max="10"/>
    <col width="15" customWidth="1" min="11" max="11"/>
    <col width="30" customWidth="1" min="12" max="12"/>
  </cols>
  <sheetData>
    <row r="1" ht="28" customHeight="1">
      <c r="A1" s="11" t="inlineStr">
        <is>
          <t>DEL TACO — ACTION &amp; DECISION REGISTER</t>
        </is>
      </c>
    </row>
    <row r="2" ht="22" customHeight="1">
      <c r="A2" s="12" t="inlineStr">
        <is>
          <t>Every material unknown has an owner and next step.</t>
        </is>
      </c>
    </row>
    <row r="4" ht="16" customHeight="1">
      <c r="A4" s="28" t="inlineStr">
        <is>
          <t>Type</t>
        </is>
      </c>
      <c r="B4" s="28" t="inlineStr">
        <is>
          <t>Issue / opportunity</t>
        </is>
      </c>
      <c r="C4" s="28" t="inlineStr">
        <is>
          <t>Why it matters</t>
        </is>
      </c>
      <c r="D4" s="28" t="inlineStr">
        <is>
          <t>Customer outcome</t>
        </is>
      </c>
      <c r="E4" s="28" t="inlineStr">
        <is>
          <t>Worldpay / Genius value</t>
        </is>
      </c>
      <c r="F4" s="28" t="inlineStr">
        <is>
          <t>Stakeholders</t>
        </is>
      </c>
      <c r="G4" s="28" t="inlineStr">
        <is>
          <t>Priority</t>
        </is>
      </c>
      <c r="H4" s="28" t="inlineStr">
        <is>
          <t>Action / commitment</t>
        </is>
      </c>
      <c r="I4" s="28" t="inlineStr">
        <is>
          <t>Owner</t>
        </is>
      </c>
      <c r="J4" s="28" t="inlineStr">
        <is>
          <t>Trigger / target</t>
        </is>
      </c>
      <c r="K4" s="28" t="inlineStr">
        <is>
          <t>Status</t>
        </is>
      </c>
      <c r="L4" s="28" t="inlineStr">
        <is>
          <t>Blocker / update</t>
        </is>
      </c>
    </row>
    <row r="5" ht="68" customHeight="1">
      <c r="A5" s="27" t="n"/>
      <c r="B5" s="27" t="n"/>
      <c r="C5" s="27" t="n"/>
      <c r="D5" s="27" t="n"/>
      <c r="E5" s="27" t="n"/>
      <c r="F5" s="27" t="n"/>
      <c r="G5" s="27" t="n"/>
      <c r="H5" s="27" t="n"/>
      <c r="I5" s="27" t="n"/>
      <c r="J5" s="27" t="n"/>
      <c r="K5" s="27" t="n"/>
      <c r="L5" s="27" t="n"/>
    </row>
    <row r="6" ht="68" customHeight="1">
      <c r="A6" s="27" t="n"/>
      <c r="B6" s="27" t="n"/>
      <c r="C6" s="27" t="n"/>
      <c r="D6" s="27" t="n"/>
      <c r="E6" s="27" t="n"/>
      <c r="F6" s="27" t="n"/>
      <c r="G6" s="27" t="n"/>
      <c r="H6" s="27" t="n"/>
      <c r="I6" s="27" t="n"/>
      <c r="J6" s="27" t="n"/>
      <c r="K6" s="27" t="n"/>
      <c r="L6" s="27" t="n"/>
    </row>
    <row r="7" ht="68" customHeight="1">
      <c r="A7" s="27" t="n"/>
      <c r="B7" s="27" t="n"/>
      <c r="C7" s="27" t="n"/>
      <c r="D7" s="27" t="n"/>
      <c r="E7" s="27" t="n"/>
      <c r="F7" s="27" t="n"/>
      <c r="G7" s="27" t="n"/>
      <c r="H7" s="27" t="n"/>
      <c r="I7" s="27" t="n"/>
      <c r="J7" s="27" t="n"/>
      <c r="K7" s="27" t="n"/>
      <c r="L7" s="27" t="n"/>
    </row>
    <row r="8" ht="68" customHeight="1">
      <c r="A8" s="27" t="n"/>
      <c r="B8" s="27" t="n"/>
      <c r="C8" s="27" t="n"/>
      <c r="D8" s="27" t="n"/>
      <c r="E8" s="27" t="n"/>
      <c r="F8" s="27" t="n"/>
      <c r="G8" s="27" t="n"/>
      <c r="H8" s="27" t="n"/>
      <c r="I8" s="27" t="n"/>
      <c r="J8" s="27" t="n"/>
      <c r="K8" s="27" t="n"/>
      <c r="L8" s="27" t="n"/>
    </row>
    <row r="9" ht="68" customHeight="1">
      <c r="A9" s="27" t="n"/>
      <c r="B9" s="27" t="n"/>
      <c r="C9" s="27" t="n"/>
      <c r="D9" s="27" t="n"/>
      <c r="E9" s="27" t="n"/>
      <c r="F9" s="27" t="n"/>
      <c r="G9" s="27" t="n"/>
      <c r="H9" s="27" t="n"/>
      <c r="I9" s="27" t="n"/>
      <c r="J9" s="27" t="n"/>
      <c r="K9" s="27" t="n"/>
      <c r="L9" s="27" t="n"/>
    </row>
    <row r="10" ht="68" customHeight="1">
      <c r="A10" s="27" t="n"/>
      <c r="B10" s="27" t="n"/>
      <c r="C10" s="27" t="n"/>
      <c r="D10" s="27" t="n"/>
      <c r="E10" s="27" t="n"/>
      <c r="F10" s="27" t="n"/>
      <c r="G10" s="27" t="n"/>
      <c r="H10" s="27" t="n"/>
      <c r="I10" s="27" t="n"/>
      <c r="J10" s="27" t="n"/>
      <c r="K10" s="27" t="n"/>
      <c r="L10" s="27" t="n"/>
    </row>
    <row r="11" ht="68" customHeight="1">
      <c r="A11" s="27" t="n"/>
      <c r="B11" s="27" t="n"/>
      <c r="C11" s="27" t="n"/>
      <c r="D11" s="27" t="n"/>
      <c r="E11" s="27" t="n"/>
      <c r="F11" s="27" t="n"/>
      <c r="G11" s="27" t="n"/>
      <c r="H11" s="27" t="n"/>
      <c r="I11" s="27" t="n"/>
      <c r="J11" s="27" t="n"/>
      <c r="K11" s="27" t="n"/>
      <c r="L11" s="27" t="n"/>
    </row>
    <row r="12" ht="68" customHeight="1">
      <c r="A12" s="27" t="n"/>
      <c r="B12" s="27" t="n"/>
      <c r="C12" s="27" t="n"/>
      <c r="D12" s="27" t="n"/>
      <c r="E12" s="27" t="n"/>
      <c r="F12" s="27" t="n"/>
      <c r="G12" s="27" t="n"/>
      <c r="H12" s="27" t="n"/>
      <c r="I12" s="27" t="n"/>
      <c r="J12" s="27" t="n"/>
      <c r="K12" s="27" t="n"/>
      <c r="L12" s="27" t="n"/>
    </row>
    <row r="13" ht="68" customHeight="1">
      <c r="A13" s="27" t="n"/>
      <c r="B13" s="27" t="n"/>
      <c r="C13" s="27" t="n"/>
      <c r="D13" s="27" t="n"/>
      <c r="E13" s="27" t="n"/>
      <c r="F13" s="27" t="n"/>
      <c r="G13" s="27" t="n"/>
      <c r="H13" s="27" t="n"/>
      <c r="I13" s="27" t="n"/>
      <c r="J13" s="27" t="n"/>
      <c r="K13" s="27" t="n"/>
      <c r="L13" s="27" t="n"/>
    </row>
    <row r="14" ht="68" customHeight="1">
      <c r="A14" s="27" t="n"/>
      <c r="B14" s="27" t="n"/>
      <c r="C14" s="27" t="n"/>
      <c r="D14" s="27" t="n"/>
      <c r="E14" s="27" t="n"/>
      <c r="F14" s="27" t="n"/>
      <c r="G14" s="27" t="n"/>
      <c r="H14" s="27" t="n"/>
      <c r="I14" s="27" t="n"/>
      <c r="J14" s="27" t="n"/>
      <c r="K14" s="27" t="n"/>
      <c r="L14" s="27" t="n"/>
    </row>
    <row r="15" ht="68" customHeight="1">
      <c r="A15" s="27" t="n"/>
      <c r="B15" s="27" t="n"/>
      <c r="C15" s="27" t="n"/>
      <c r="D15" s="27" t="n"/>
      <c r="E15" s="27" t="n"/>
      <c r="F15" s="27" t="n"/>
      <c r="G15" s="27" t="n"/>
      <c r="H15" s="27" t="n"/>
      <c r="I15" s="27" t="n"/>
      <c r="J15" s="27" t="n"/>
      <c r="K15" s="27" t="n"/>
      <c r="L15" s="27" t="n"/>
    </row>
    <row r="16" ht="68" customHeight="1">
      <c r="A16" s="27" t="n"/>
      <c r="B16" s="27" t="n"/>
      <c r="C16" s="27" t="n"/>
      <c r="D16" s="27" t="n"/>
      <c r="E16" s="27" t="n"/>
      <c r="F16" s="27" t="n"/>
      <c r="G16" s="27" t="n"/>
      <c r="H16" s="27" t="n"/>
      <c r="I16" s="27" t="n"/>
      <c r="J16" s="27" t="n"/>
      <c r="K16" s="27" t="n"/>
      <c r="L16" s="27" t="n"/>
    </row>
    <row r="17" ht="68" customHeight="1">
      <c r="A17" s="27" t="n"/>
      <c r="B17" s="27" t="n"/>
      <c r="C17" s="27" t="n"/>
      <c r="D17" s="27" t="n"/>
      <c r="E17" s="27" t="n"/>
      <c r="F17" s="27" t="n"/>
      <c r="G17" s="27" t="n"/>
      <c r="H17" s="27" t="n"/>
      <c r="I17" s="27" t="n"/>
      <c r="J17" s="27" t="n"/>
      <c r="K17" s="27" t="n"/>
      <c r="L17" s="27" t="n"/>
    </row>
    <row r="18" ht="68" customHeight="1">
      <c r="A18" s="27" t="n"/>
      <c r="B18" s="27" t="n"/>
      <c r="C18" s="27" t="n"/>
      <c r="D18" s="27" t="n"/>
      <c r="E18" s="27" t="n"/>
      <c r="F18" s="27" t="n"/>
      <c r="G18" s="27" t="n"/>
      <c r="H18" s="27" t="n"/>
      <c r="I18" s="27" t="n"/>
      <c r="J18" s="27" t="n"/>
      <c r="K18" s="27" t="n"/>
      <c r="L18" s="27" t="n"/>
    </row>
  </sheetData>
  <mergeCells count="2">
    <mergeCell ref="A2:L2"/>
    <mergeCell ref="A1:L1"/>
  </mergeCells>
  <dataValidations count="2">
    <dataValidation sqref="G5:G18" showDropDown="0" showInputMessage="0" showErrorMessage="0" allowBlank="0" type="list">
      <formula1>"Critical,High,Medium,Low"</formula1>
    </dataValidation>
    <dataValidation sqref="K5:K18" showDropDown="0" showInputMessage="0" showErrorMessage="0" allowBlank="0" type="list">
      <formula1>"Open,Waiting,In analysis,Draft,Complete,Blocked,Parked"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10" defaultColWidth="8.83203125" defaultRowHeight="14"/>
  <cols>
    <col width="30" customWidth="1" min="1" max="1"/>
    <col width="46" customWidth="1" min="2" max="2"/>
    <col width="18" customWidth="1" min="3" max="3"/>
    <col width="25" customWidth="1" min="4" max="4"/>
    <col width="14" customWidth="1" min="5" max="5"/>
    <col width="44" customWidth="1" min="6" max="6"/>
    <col width="48" customWidth="1" min="7" max="7"/>
    <col width="18" customWidth="1" min="8" max="8"/>
  </cols>
  <sheetData>
    <row r="1" ht="28" customHeight="1">
      <c r="A1" s="11" t="inlineStr">
        <is>
          <t>DEL TACO — COMMERCIAL MODEL</t>
        </is>
      </c>
    </row>
    <row r="2" ht="22" customHeight="1">
      <c r="A2" s="12" t="inlineStr">
        <is>
          <t>Working economics, pricing hypotheses and gates before customer commitment.</t>
        </is>
      </c>
    </row>
    <row r="4" ht="16" customHeight="1">
      <c r="A4" s="28" t="inlineStr">
        <is>
          <t>Item</t>
        </is>
      </c>
      <c r="B4" s="28" t="inlineStr">
        <is>
          <t>Current read</t>
        </is>
      </c>
      <c r="C4" s="28" t="inlineStr">
        <is>
          <t>Value</t>
        </is>
      </c>
      <c r="D4" s="28" t="inlineStr">
        <is>
          <t>Unit</t>
        </is>
      </c>
      <c r="E4" s="28" t="inlineStr">
        <is>
          <t>Confidence</t>
        </is>
      </c>
      <c r="F4" s="28" t="inlineStr">
        <is>
          <t>Commercial implication</t>
        </is>
      </c>
      <c r="G4" s="28" t="inlineStr">
        <is>
          <t>Required validation</t>
        </is>
      </c>
      <c r="H4" s="28" t="inlineStr">
        <is>
          <t>Status</t>
        </is>
      </c>
    </row>
    <row r="5" ht="54" customHeight="1">
      <c r="A5" s="27" t="n"/>
      <c r="B5" s="27" t="n"/>
      <c r="C5" s="7" t="n"/>
      <c r="D5" s="27" t="n"/>
      <c r="E5" s="27" t="n"/>
      <c r="F5" s="27" t="n"/>
      <c r="G5" s="27" t="n"/>
      <c r="H5" s="27" t="n"/>
    </row>
    <row r="6" ht="54" customHeight="1">
      <c r="A6" s="27" t="n"/>
      <c r="B6" s="27" t="n"/>
      <c r="C6" s="8" t="n"/>
      <c r="D6" s="27" t="n"/>
      <c r="E6" s="27" t="n"/>
      <c r="F6" s="27" t="n"/>
      <c r="G6" s="27" t="n"/>
      <c r="H6" s="27" t="n"/>
    </row>
    <row r="7" ht="54" customHeight="1">
      <c r="A7" s="27" t="n"/>
      <c r="B7" s="27" t="n"/>
      <c r="C7" s="7" t="n"/>
      <c r="D7" s="27" t="n"/>
      <c r="E7" s="27" t="n"/>
      <c r="F7" s="27" t="n"/>
      <c r="G7" s="27" t="n"/>
      <c r="H7" s="27" t="n"/>
    </row>
    <row r="8" ht="54" customHeight="1">
      <c r="A8" s="27" t="n"/>
      <c r="B8" s="27" t="n"/>
      <c r="C8" s="7" t="n"/>
      <c r="D8" s="27" t="n"/>
      <c r="E8" s="27" t="n"/>
      <c r="F8" s="27" t="n"/>
      <c r="G8" s="27" t="n"/>
      <c r="H8" s="27" t="n"/>
    </row>
    <row r="9" ht="54" customHeight="1">
      <c r="A9" s="27" t="n"/>
      <c r="B9" s="27" t="n"/>
      <c r="C9" s="7" t="n"/>
      <c r="D9" s="27" t="n"/>
      <c r="E9" s="27" t="n"/>
      <c r="F9" s="27" t="n"/>
      <c r="G9" s="27" t="n"/>
      <c r="H9" s="27" t="n"/>
    </row>
    <row r="10" ht="54" customHeight="1">
      <c r="A10" s="27" t="n"/>
      <c r="B10" s="27" t="n"/>
      <c r="C10" s="7" t="n"/>
      <c r="D10" s="27" t="n"/>
      <c r="E10" s="27" t="n"/>
      <c r="F10" s="27" t="n"/>
      <c r="G10" s="27" t="n"/>
      <c r="H10" s="27" t="n"/>
    </row>
    <row r="11" ht="54" customHeight="1">
      <c r="A11" s="27" t="n"/>
      <c r="B11" s="27" t="n"/>
      <c r="C11" s="7" t="n"/>
      <c r="D11" s="27" t="n"/>
      <c r="E11" s="27" t="n"/>
      <c r="F11" s="27" t="n"/>
      <c r="G11" s="27" t="n"/>
      <c r="H11" s="27" t="n"/>
    </row>
    <row r="12" ht="54" customHeight="1">
      <c r="A12" s="27" t="inlineStr">
        <is>
          <t>Illustrative monthly standalone</t>
        </is>
      </c>
      <c r="B12" s="27" t="inlineStr">
        <is>
          <t>Formula: archetype x standalone price</t>
        </is>
      </c>
      <c r="C12" s="7">
        <f>C11*C8</f>
        <v/>
      </c>
      <c r="D12" s="27" t="inlineStr">
        <is>
          <t>USD / store / month</t>
        </is>
      </c>
      <c r="E12" s="27" t="inlineStr">
        <is>
          <t>N/A</t>
        </is>
      </c>
      <c r="F12" s="27" t="inlineStr">
        <is>
          <t>Simple planning illustration.</t>
        </is>
      </c>
      <c r="G12" s="27" t="inlineStr">
        <is>
          <t>Replace with archetype mix and approved price.</t>
        </is>
      </c>
      <c r="H12" s="27" t="inlineStr">
        <is>
          <t>Calculated</t>
        </is>
      </c>
    </row>
    <row r="13" ht="54" customHeight="1">
      <c r="A13" s="27" t="inlineStr">
        <is>
          <t>Illustrative monthly participation</t>
        </is>
      </c>
      <c r="B13" s="27" t="inlineStr">
        <is>
          <t>Formula: archetype x participation price</t>
        </is>
      </c>
      <c r="C13" s="7">
        <f>C11*C9</f>
        <v/>
      </c>
      <c r="D13" s="27" t="inlineStr">
        <is>
          <t>USD / store / month</t>
        </is>
      </c>
      <c r="E13" s="27" t="inlineStr">
        <is>
          <t>N/A</t>
        </is>
      </c>
      <c r="F13" s="27" t="inlineStr">
        <is>
          <t>Requires qualifying payments participation.</t>
        </is>
      </c>
      <c r="G13" s="27" t="inlineStr">
        <is>
          <t>Replace with approved commercial rules.</t>
        </is>
      </c>
      <c r="H13" s="27" t="inlineStr">
        <is>
          <t>Calculated</t>
        </is>
      </c>
    </row>
  </sheetData>
  <mergeCells count="2">
    <mergeCell ref="A2:H2"/>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26"/>
  <sheetViews>
    <sheetView showGridLines="0" workbookViewId="0">
      <selection activeCell="A1" sqref="A1"/>
    </sheetView>
  </sheetViews>
  <sheetFormatPr baseColWidth="10" defaultColWidth="8.83203125" defaultRowHeight="14"/>
  <cols>
    <col width="30" customWidth="1" min="1" max="1"/>
    <col width="12" customWidth="1" min="2" max="2"/>
    <col width="14" customWidth="1" min="3" max="3"/>
    <col width="15" customWidth="1" min="4" max="4"/>
    <col width="20" customWidth="1" min="5" max="5"/>
    <col width="12" customWidth="1" min="6" max="7"/>
    <col width="20" customWidth="1" min="8" max="8"/>
    <col width="12" customWidth="1" min="9" max="10"/>
    <col width="23" customWidth="1" min="11" max="11"/>
    <col width="36" customWidth="1" min="12" max="12"/>
  </cols>
  <sheetData>
    <row r="1" ht="28" customHeight="1">
      <c r="A1" s="11" t="inlineStr">
        <is>
          <t>DEL TACO — PRESENTATION VIEW 1</t>
        </is>
      </c>
    </row>
    <row r="2" ht="22" customHeight="1">
      <c r="A2" s="12" t="inlineStr">
        <is>
          <t>Regenerated automatically from the Blue Sheet tab by the workbook renderer - do not hand-edit.</t>
        </is>
      </c>
    </row>
    <row r="4" ht="15" customHeight="1">
      <c r="A4" s="13" t="inlineStr">
        <is>
          <t>SINGLE SALES OBJECTIVE</t>
        </is>
      </c>
      <c r="G4" s="13" t="inlineStr">
        <is>
          <t>CUSTOMER'S STATED OBJECTIVE</t>
        </is>
      </c>
    </row>
    <row r="5">
      <c r="A5" s="27" t="n"/>
      <c r="B5" s="45" t="n"/>
      <c r="C5" s="45" t="n"/>
      <c r="D5" s="45" t="n"/>
      <c r="E5" s="45" t="n"/>
      <c r="F5" s="46" t="n"/>
      <c r="G5" s="27" t="n"/>
      <c r="H5" s="45" t="n"/>
      <c r="I5" s="45" t="n"/>
      <c r="J5" s="45" t="n"/>
      <c r="K5" s="45" t="n"/>
      <c r="L5" s="46" t="n"/>
    </row>
    <row r="6">
      <c r="A6" s="47" t="n"/>
      <c r="F6" s="48" t="n"/>
      <c r="G6" s="47" t="n"/>
      <c r="L6" s="48" t="n"/>
    </row>
    <row r="7">
      <c r="A7" s="49" t="n"/>
      <c r="B7" s="50" t="n"/>
      <c r="C7" s="50" t="n"/>
      <c r="D7" s="50" t="n"/>
      <c r="E7" s="50" t="n"/>
      <c r="F7" s="51" t="n"/>
      <c r="G7" s="49" t="n"/>
      <c r="H7" s="50" t="n"/>
      <c r="I7" s="50" t="n"/>
      <c r="J7" s="50" t="n"/>
      <c r="K7" s="50" t="n"/>
      <c r="L7" s="51" t="n"/>
    </row>
    <row r="9" ht="16" customHeight="1">
      <c r="A9" s="28" t="inlineStr">
        <is>
          <t>Buying influence</t>
        </is>
      </c>
      <c r="B9" s="28" t="inlineStr">
        <is>
          <t>Role</t>
        </is>
      </c>
      <c r="C9" s="28" t="inlineStr">
        <is>
          <t>Influence</t>
        </is>
      </c>
      <c r="D9" s="28" t="inlineStr">
        <is>
          <t>Mode</t>
        </is>
      </c>
      <c r="E9" s="28" t="inlineStr">
        <is>
          <t>Personal win</t>
        </is>
      </c>
      <c r="F9" s="38" t="n"/>
      <c r="G9" s="39" t="n"/>
      <c r="H9" s="28" t="inlineStr">
        <is>
          <t>Business result</t>
        </is>
      </c>
      <c r="I9" s="38" t="n"/>
      <c r="J9" s="39" t="n"/>
      <c r="K9" s="28" t="inlineStr">
        <is>
          <t>Access / relationship</t>
        </is>
      </c>
      <c r="L9" s="28" t="inlineStr">
        <is>
          <t>Next step</t>
        </is>
      </c>
    </row>
    <row r="10" ht="62" customHeight="1">
      <c r="A10" s="27" t="inlineStr">
        <is>
          <t>Daniel Mears — Reported IT director within the Del Taco technology organization</t>
        </is>
      </c>
      <c r="B10" s="27" t="inlineStr">
        <is>
          <t>U? / T?</t>
        </is>
      </c>
      <c r="C10" s="27" t="inlineStr">
        <is>
          <t>Unknown</t>
        </is>
      </c>
      <c r="D10" s="27" t="inlineStr">
        <is>
          <t>Unknown</t>
        </is>
      </c>
      <c r="E10" s="27" t="inlineStr">
        <is>
          <t>Unknown</t>
        </is>
      </c>
      <c r="F10" s="43" t="n"/>
      <c r="G10" s="44" t="n"/>
      <c r="H10" s="27" t="inlineStr">
        <is>
          <t>Unknown</t>
        </is>
      </c>
      <c r="I10" s="43" t="n"/>
      <c r="J10" s="44" t="n"/>
      <c r="K10" s="27" t="inlineStr">
        <is>
          <t>Direct relationship through Nick Hulayew; access also attempted through Maggie</t>
        </is>
      </c>
      <c r="L10" s="27" t="inlineStr">
        <is>
          <t>Confirm exact title, reporting line, budget authority, and role in the comprehensive technology review.</t>
        </is>
      </c>
    </row>
    <row r="11" ht="62" customHeight="1">
      <c r="A11" s="27" t="inlineStr">
        <is>
          <t>Dean — Reported Yadav CTO and Daniel Mears' manager</t>
        </is>
      </c>
      <c r="B11" s="27" t="inlineStr">
        <is>
          <t>E?</t>
        </is>
      </c>
      <c r="C11" s="27" t="inlineStr">
        <is>
          <t>Unknown</t>
        </is>
      </c>
      <c r="D11" s="27" t="inlineStr">
        <is>
          <t>Unknown</t>
        </is>
      </c>
      <c r="E11" s="27" t="inlineStr">
        <is>
          <t>Unknown</t>
        </is>
      </c>
      <c r="F11" s="43" t="n"/>
      <c r="G11" s="44" t="n"/>
      <c r="H11" s="27" t="inlineStr">
        <is>
          <t>Unknown</t>
        </is>
      </c>
      <c r="I11" s="43" t="n"/>
      <c r="J11" s="44" t="n"/>
      <c r="K11" s="27" t="inlineStr">
        <is>
          <t>Indirect, via Nick Hulayew</t>
        </is>
      </c>
      <c r="L11" s="27" t="inlineStr">
        <is>
          <t>Validate surname spelling, exact title, scope, and decision authority.</t>
        </is>
      </c>
    </row>
    <row r="12" ht="62" customHeight="1">
      <c r="A12" s="27" t="inlineStr">
        <is>
          <t>Nick Hulayew — Internal relationship path to Daniel Mears and Dean</t>
        </is>
      </c>
      <c r="B12" s="27" t="inlineStr">
        <is>
          <t>Internal referrer, not customer-side</t>
        </is>
      </c>
      <c r="C12" s="27" t="inlineStr">
        <is>
          <t>Not a customer buying influence (internal)</t>
        </is>
      </c>
      <c r="D12" s="27" t="inlineStr">
        <is>
          <t>Supportive</t>
        </is>
      </c>
      <c r="E12" s="27" t="inlineStr">
        <is>
          <t>Unknown</t>
        </is>
      </c>
      <c r="F12" s="43" t="n"/>
      <c r="G12" s="44" t="n"/>
      <c r="H12" s="27" t="inlineStr">
        <is>
          <t>Not applicable (internal referrer)</t>
        </is>
      </c>
      <c r="I12" s="43" t="n"/>
      <c r="J12" s="44" t="n"/>
      <c r="K12" s="27" t="inlineStr">
        <is>
          <t>Internal; not a customer decision-maker</t>
        </is>
      </c>
      <c r="L12" s="27" t="inlineStr">
        <is>
          <t>Confirm he has followed through on reconnecting with Daniel Mears.</t>
        </is>
      </c>
    </row>
    <row r="13" ht="62" customHeight="1">
      <c r="A13" s="27" t="inlineStr">
        <is>
          <t>Maggie Lenhart — Worldpay relationship owner</t>
        </is>
      </c>
      <c r="B13" s="27" t="inlineStr">
        <is>
          <t>Internal referrer, not customer-side</t>
        </is>
      </c>
      <c r="C13" s="27" t="inlineStr">
        <is>
          <t>Not a customer buying influence (internal)</t>
        </is>
      </c>
      <c r="D13" s="27" t="inlineStr">
        <is>
          <t>Supportive</t>
        </is>
      </c>
      <c r="E13" s="27" t="inlineStr">
        <is>
          <t>Strengthen the broader Global Payments relationship and support future cross-sell opportunities.</t>
        </is>
      </c>
      <c r="F13" s="43" t="n"/>
      <c r="G13" s="44" t="n"/>
      <c r="H13" s="27" t="inlineStr">
        <is>
          <t>Not applicable (internal referrer)</t>
        </is>
      </c>
      <c r="I13" s="43" t="n"/>
      <c r="J13" s="44" t="n"/>
      <c r="K13" s="27" t="inlineStr">
        <is>
          <t>Direct email / formal Worldpay relationship channel</t>
        </is>
      </c>
      <c r="L13" s="27" t="inlineStr">
        <is>
          <t>Coordinate next outreach step with Nick and Todd; track Nova integration status.</t>
        </is>
      </c>
    </row>
    <row r="14" ht="62" customHeight="1">
      <c r="A14" s="27" t="inlineStr">
        <is>
          <t>David OCallaghan — Vice President, Company Operations</t>
        </is>
      </c>
      <c r="B14" s="27" t="inlineStr">
        <is>
          <t>U?</t>
        </is>
      </c>
      <c r="C14" s="27" t="inlineStr">
        <is>
          <t>Unknown</t>
        </is>
      </c>
      <c r="D14" s="27" t="inlineStr">
        <is>
          <t>Unknown</t>
        </is>
      </c>
      <c r="E14" s="27" t="inlineStr">
        <is>
          <t>Unknown</t>
        </is>
      </c>
      <c r="F14" s="43" t="n"/>
      <c r="G14" s="44" t="n"/>
      <c r="H14" s="27" t="inlineStr">
        <is>
          <t>Unknown</t>
        </is>
      </c>
      <c r="I14" s="43" t="n"/>
      <c r="J14" s="44" t="n"/>
      <c r="K14" s="27" t="inlineStr">
        <is>
          <t>Weak; prior LinkedIn contact did not convert to a meeting</t>
        </is>
      </c>
      <c r="L14" s="27" t="inlineStr">
        <is>
          <t>Follow up on the pending informal operations conversation request.</t>
        </is>
      </c>
    </row>
    <row r="15" ht="62" customHeight="1">
      <c r="A15" s="27" t="n"/>
      <c r="B15" s="27" t="n"/>
      <c r="C15" s="27" t="n"/>
      <c r="D15" s="27" t="n"/>
      <c r="E15" s="27" t="n"/>
      <c r="F15" s="43" t="n"/>
      <c r="G15" s="44" t="n"/>
      <c r="H15" s="27" t="n"/>
      <c r="I15" s="43" t="n"/>
      <c r="J15" s="44" t="n"/>
      <c r="K15" s="27" t="n"/>
      <c r="L15" s="27" t="n"/>
    </row>
    <row r="16" ht="62" customHeight="1">
      <c r="A16" s="27" t="n"/>
      <c r="B16" s="27" t="n"/>
      <c r="C16" s="27" t="n"/>
      <c r="D16" s="27" t="n"/>
      <c r="E16" s="27" t="n"/>
      <c r="F16" s="43" t="n"/>
      <c r="G16" s="44" t="n"/>
      <c r="H16" s="27" t="n"/>
      <c r="I16" s="43" t="n"/>
      <c r="J16" s="44" t="n"/>
      <c r="K16" s="27" t="n"/>
      <c r="L16" s="27" t="n"/>
    </row>
    <row r="17" ht="62" customHeight="1">
      <c r="A17" s="27" t="n"/>
      <c r="B17" s="27" t="n"/>
      <c r="C17" s="27" t="n"/>
      <c r="D17" s="27" t="n"/>
      <c r="E17" s="27" t="n"/>
      <c r="F17" s="43" t="n"/>
      <c r="G17" s="44" t="n"/>
      <c r="H17" s="27" t="n"/>
      <c r="I17" s="43" t="n"/>
      <c r="J17" s="44" t="n"/>
      <c r="K17" s="27" t="n"/>
      <c r="L17" s="27" t="n"/>
    </row>
    <row r="18" ht="62" customHeight="1">
      <c r="A18" s="27" t="n"/>
      <c r="B18" s="27" t="n"/>
      <c r="C18" s="27" t="n"/>
      <c r="D18" s="27" t="n"/>
      <c r="E18" s="27" t="n"/>
      <c r="F18" s="43" t="n"/>
      <c r="G18" s="44" t="n"/>
      <c r="H18" s="27" t="n"/>
      <c r="I18" s="43" t="n"/>
      <c r="J18" s="44" t="n"/>
      <c r="K18" s="27" t="n"/>
      <c r="L18" s="27" t="n"/>
    </row>
    <row r="19" ht="62" customHeight="1">
      <c r="A19" s="27" t="n"/>
      <c r="B19" s="27" t="n"/>
      <c r="C19" s="27" t="n"/>
      <c r="D19" s="27" t="n"/>
      <c r="E19" s="27" t="n"/>
      <c r="F19" s="43" t="n"/>
      <c r="G19" s="44" t="n"/>
      <c r="H19" s="27" t="n"/>
      <c r="I19" s="43" t="n"/>
      <c r="J19" s="44" t="n"/>
      <c r="K19" s="27" t="n"/>
      <c r="L19" s="27" t="n"/>
    </row>
    <row r="21" ht="15" customHeight="1">
      <c r="A21" s="13" t="n"/>
      <c r="G21" s="13" t="n"/>
    </row>
    <row r="22" ht="38" customHeight="1">
      <c r="A22" s="27" t="n"/>
      <c r="B22" s="43" t="n"/>
      <c r="C22" s="43" t="n"/>
      <c r="D22" s="43" t="n"/>
      <c r="E22" s="43" t="n"/>
      <c r="F22" s="44" t="n"/>
      <c r="G22" s="27" t="n"/>
      <c r="H22" s="43" t="n"/>
      <c r="I22" s="43" t="n"/>
      <c r="J22" s="43" t="n"/>
      <c r="K22" s="43" t="n"/>
      <c r="L22" s="44" t="n"/>
    </row>
    <row r="23" ht="38" customHeight="1">
      <c r="A23" s="27" t="n"/>
      <c r="B23" s="43" t="n"/>
      <c r="C23" s="43" t="n"/>
      <c r="D23" s="43" t="n"/>
      <c r="E23" s="43" t="n"/>
      <c r="F23" s="44" t="n"/>
      <c r="G23" s="27" t="n"/>
      <c r="H23" s="43" t="n"/>
      <c r="I23" s="43" t="n"/>
      <c r="J23" s="43" t="n"/>
      <c r="K23" s="43" t="n"/>
      <c r="L23" s="44" t="n"/>
    </row>
    <row r="24" ht="38" customHeight="1">
      <c r="A24" s="27" t="n"/>
      <c r="B24" s="43" t="n"/>
      <c r="C24" s="43" t="n"/>
      <c r="D24" s="43" t="n"/>
      <c r="E24" s="43" t="n"/>
      <c r="F24" s="44" t="n"/>
      <c r="G24" s="27" t="n"/>
      <c r="H24" s="43" t="n"/>
      <c r="I24" s="43" t="n"/>
      <c r="J24" s="43" t="n"/>
      <c r="K24" s="43" t="n"/>
      <c r="L24" s="44" t="n"/>
    </row>
    <row r="25" ht="38" customHeight="1">
      <c r="A25" s="27" t="n"/>
      <c r="B25" s="43" t="n"/>
      <c r="C25" s="43" t="n"/>
      <c r="D25" s="43" t="n"/>
      <c r="E25" s="43" t="n"/>
      <c r="F25" s="44" t="n"/>
      <c r="G25" s="27" t="n"/>
      <c r="H25" s="43" t="n"/>
      <c r="I25" s="43" t="n"/>
      <c r="J25" s="43" t="n"/>
      <c r="K25" s="43" t="n"/>
      <c r="L25" s="44" t="n"/>
    </row>
    <row r="26" ht="38" customHeight="1">
      <c r="A26" s="27" t="n"/>
      <c r="B26" s="27" t="n"/>
      <c r="C26" s="27" t="n"/>
      <c r="D26" s="27" t="n"/>
      <c r="E26" s="27" t="n"/>
      <c r="F26" s="27" t="n"/>
      <c r="G26" s="27" t="n"/>
      <c r="H26" s="43" t="n"/>
      <c r="I26" s="43" t="n"/>
      <c r="J26" s="43" t="n"/>
      <c r="K26" s="43" t="n"/>
      <c r="L26" s="44" t="n"/>
    </row>
  </sheetData>
  <mergeCells count="39">
    <mergeCell ref="E10:G10"/>
    <mergeCell ref="E19:G19"/>
    <mergeCell ref="E13:G13"/>
    <mergeCell ref="E9:G9"/>
    <mergeCell ref="H17:J17"/>
    <mergeCell ref="A21:F21"/>
    <mergeCell ref="E15:G15"/>
    <mergeCell ref="H11:J11"/>
    <mergeCell ref="H16:J16"/>
    <mergeCell ref="A2:L2"/>
    <mergeCell ref="G24:L24"/>
    <mergeCell ref="E11:G11"/>
    <mergeCell ref="H19:J19"/>
    <mergeCell ref="A23:F23"/>
    <mergeCell ref="H13:J13"/>
    <mergeCell ref="A22:F22"/>
    <mergeCell ref="H12:J12"/>
    <mergeCell ref="A4:F4"/>
    <mergeCell ref="G4:L4"/>
    <mergeCell ref="G26:L26"/>
    <mergeCell ref="E16:G16"/>
    <mergeCell ref="H15:J15"/>
    <mergeCell ref="G25:L25"/>
    <mergeCell ref="A5:F7"/>
    <mergeCell ref="G5:L7"/>
    <mergeCell ref="H18:J18"/>
    <mergeCell ref="H14:J14"/>
    <mergeCell ref="G22:L22"/>
    <mergeCell ref="E18:G18"/>
    <mergeCell ref="E12:G12"/>
    <mergeCell ref="G21:L21"/>
    <mergeCell ref="A24:F24"/>
    <mergeCell ref="H10:J10"/>
    <mergeCell ref="E14:G14"/>
    <mergeCell ref="A1:L1"/>
    <mergeCell ref="G23:L23"/>
    <mergeCell ref="E17:G17"/>
    <mergeCell ref="H9:J9"/>
    <mergeCell ref="A25:F2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24"/>
  <sheetViews>
    <sheetView showGridLines="0" workbookViewId="0">
      <selection activeCell="A1" sqref="A1"/>
    </sheetView>
  </sheetViews>
  <sheetFormatPr baseColWidth="10" defaultColWidth="8.83203125" defaultRowHeight="14"/>
  <cols>
    <col width="30" customWidth="1" min="1" max="1"/>
    <col width="12" customWidth="1" min="2" max="2"/>
    <col width="14" customWidth="1" min="3" max="3"/>
    <col width="15" customWidth="1" min="4" max="4"/>
    <col width="21" customWidth="1" min="5" max="5"/>
    <col width="10" customWidth="1" min="6" max="7"/>
    <col width="22" customWidth="1" min="8" max="8"/>
    <col width="12" customWidth="1" min="9" max="10"/>
    <col width="25" customWidth="1" min="11" max="12"/>
  </cols>
  <sheetData>
    <row r="1" ht="28" customHeight="1">
      <c r="A1" s="11" t="inlineStr">
        <is>
          <t>DEL TACO — PRESENTATION VIEW 2</t>
        </is>
      </c>
    </row>
    <row r="2" ht="22" customHeight="1">
      <c r="A2" s="12" t="inlineStr">
        <is>
          <t>Regenerated automatically from the Blue Sheet tab by the workbook renderer - do not hand-edit.</t>
        </is>
      </c>
    </row>
    <row r="4" ht="15" customHeight="1">
      <c r="A4" s="13" t="inlineStr">
        <is>
          <t>SINGLE SALES OBJECTIVE</t>
        </is>
      </c>
      <c r="G4" s="13" t="inlineStr">
        <is>
          <t>COMPETITIVE POSITION</t>
        </is>
      </c>
    </row>
    <row r="5">
      <c r="A5" s="27" t="n"/>
      <c r="B5" s="45" t="n"/>
      <c r="C5" s="45" t="n"/>
      <c r="D5" s="45" t="n"/>
      <c r="E5" s="45" t="n"/>
      <c r="F5" s="46" t="n"/>
      <c r="G5" s="27" t="inlineStr">
        <is>
          <t>Qu won the prior Jack in the Box RFP for POS, but Del Taco's actual adoption was never confirmed and current Yadav intent is unknown; legacy NCR Aloha/MenuLink is reported as the historical back-office/menu layer; Maggie Lenhart separately reports Del Taco is now evaluating Nova as a new POS, and Worldpay does not yet have a Nova card-present integration for enterprise merchants. Nick Hulayew's unconfirmed belief that Anil Yadav is a silent investor in Qu is reported intelligence only, not established fact.</t>
        </is>
      </c>
      <c r="H5" s="45" t="n"/>
      <c r="I5" s="45" t="n"/>
      <c r="J5" s="45" t="n"/>
      <c r="K5" s="45" t="n"/>
      <c r="L5" s="46" t="n"/>
    </row>
    <row r="6">
      <c r="A6" s="47" t="n"/>
      <c r="F6" s="48" t="n"/>
      <c r="G6" s="47" t="n"/>
      <c r="L6" s="48" t="n"/>
    </row>
    <row r="7">
      <c r="A7" s="49" t="n"/>
      <c r="B7" s="50" t="n"/>
      <c r="C7" s="50" t="n"/>
      <c r="D7" s="50" t="n"/>
      <c r="E7" s="50" t="n"/>
      <c r="F7" s="51" t="n"/>
      <c r="G7" s="49" t="n"/>
      <c r="H7" s="50" t="n"/>
      <c r="I7" s="50" t="n"/>
      <c r="J7" s="50" t="n"/>
      <c r="K7" s="50" t="n"/>
      <c r="L7" s="51" t="n"/>
    </row>
    <row r="9" ht="16" customHeight="1">
      <c r="A9" s="28" t="inlineStr">
        <is>
          <t>Buying influence</t>
        </is>
      </c>
      <c r="B9" s="28" t="inlineStr">
        <is>
          <t>Role</t>
        </is>
      </c>
      <c r="C9" s="28" t="inlineStr">
        <is>
          <t>Influence</t>
        </is>
      </c>
      <c r="D9" s="28" t="inlineStr">
        <is>
          <t>Mode</t>
        </is>
      </c>
      <c r="E9" s="28" t="inlineStr">
        <is>
          <t>Competitive preference</t>
        </is>
      </c>
      <c r="F9" s="39" t="n"/>
      <c r="G9" s="28" t="inlineStr">
        <is>
          <t>Rating</t>
        </is>
      </c>
      <c r="H9" s="28" t="inlineStr">
        <is>
          <t>Current read</t>
        </is>
      </c>
      <c r="I9" s="38" t="n"/>
      <c r="J9" s="39" t="n"/>
      <c r="K9" s="28" t="inlineStr">
        <is>
          <t>Next step</t>
        </is>
      </c>
      <c r="L9" s="39" t="n"/>
    </row>
    <row r="10" ht="62" customHeight="1">
      <c r="A10" s="27" t="inlineStr">
        <is>
          <t>Daniel Mears — Reported IT director within the Del Taco technology organization</t>
        </is>
      </c>
      <c r="B10" s="27" t="inlineStr">
        <is>
          <t>U? / T?</t>
        </is>
      </c>
      <c r="C10" s="27" t="inlineStr">
        <is>
          <t>Unknown</t>
        </is>
      </c>
      <c r="D10" s="27" t="inlineStr">
        <is>
          <t>Unknown</t>
        </is>
      </c>
      <c r="E10" s="27" t="inlineStr">
        <is>
          <t>Unknown</t>
        </is>
      </c>
      <c r="F10" s="44" t="n"/>
      <c r="G10" s="27" t="n">
        <v>0</v>
      </c>
      <c r="H10" s="27" t="inlineStr">
        <is>
          <t>Reported IT director; attended Genius World and met Nick Hulayew there. Maggie Lenhart emailed him directly on 2026-09-15 to introduce Todd. No reply or meeting confirmed yet.</t>
        </is>
      </c>
      <c r="I10" s="43" t="n"/>
      <c r="J10" s="44" t="n"/>
      <c r="K10" s="27" t="inlineStr">
        <is>
          <t>Confirm exact title, reporting line, budget authority, and role in the comprehensive technology review.</t>
        </is>
      </c>
      <c r="L10" s="44" t="n"/>
    </row>
    <row r="11" ht="62" customHeight="1">
      <c r="A11" s="27" t="inlineStr">
        <is>
          <t>Dean — Reported Yadav CTO and Daniel Mears' manager</t>
        </is>
      </c>
      <c r="B11" s="27" t="inlineStr">
        <is>
          <t>E?</t>
        </is>
      </c>
      <c r="C11" s="27" t="inlineStr">
        <is>
          <t>Unknown</t>
        </is>
      </c>
      <c r="D11" s="27" t="inlineStr">
        <is>
          <t>Unknown</t>
        </is>
      </c>
      <c r="E11" s="27" t="inlineStr">
        <is>
          <t>Potentially favorable</t>
        </is>
      </c>
      <c r="F11" s="44" t="n"/>
      <c r="G11" s="27" t="n">
        <v>0</v>
      </c>
      <c r="H11" s="27" t="inlineStr">
        <is>
          <t>Reported by Nick Hulayew as Yadav's CTO, a strong Genius advocate, and a Genius customer advisory-board member. Surname spelling, exact title, and decision authority require validation.</t>
        </is>
      </c>
      <c r="I11" s="43" t="n"/>
      <c r="J11" s="44" t="n"/>
      <c r="K11" s="27" t="inlineStr">
        <is>
          <t>Validate surname spelling, exact title, scope, and decision authority.</t>
        </is>
      </c>
      <c r="L11" s="44" t="n"/>
    </row>
    <row r="12" ht="62" customHeight="1">
      <c r="A12" s="27" t="inlineStr">
        <is>
          <t>Nick Hulayew — Internal relationship path to Daniel Mears and Dean</t>
        </is>
      </c>
      <c r="B12" s="27" t="inlineStr">
        <is>
          <t>Internal referrer, not customer-side</t>
        </is>
      </c>
      <c r="C12" s="27" t="inlineStr">
        <is>
          <t>Not a customer buying influence (internal)</t>
        </is>
      </c>
      <c r="D12" s="27" t="inlineStr">
        <is>
          <t>Supportive</t>
        </is>
      </c>
      <c r="E12" s="27" t="inlineStr">
        <is>
          <t>Not applicable (internal)</t>
        </is>
      </c>
      <c r="F12" s="44" t="n"/>
      <c r="G12" s="27" t="n">
        <v>0</v>
      </c>
      <c r="H12" s="27" t="inlineStr">
        <is>
          <t>Agreed to reconnect with Daniel Mears, continue the Genius World conversation, introduce Todd, and support future calls.</t>
        </is>
      </c>
      <c r="I12" s="43" t="n"/>
      <c r="J12" s="44" t="n"/>
      <c r="K12" s="27" t="inlineStr">
        <is>
          <t>Confirm he has followed through on reconnecting with Daniel Mears.</t>
        </is>
      </c>
      <c r="L12" s="44" t="n"/>
    </row>
    <row r="13" ht="62" customHeight="1">
      <c r="A13" s="27" t="inlineStr">
        <is>
          <t>Maggie Lenhart — Worldpay relationship owner</t>
        </is>
      </c>
      <c r="B13" s="27" t="inlineStr">
        <is>
          <t>Internal referrer, not customer-side</t>
        </is>
      </c>
      <c r="C13" s="27" t="inlineStr">
        <is>
          <t>Not a customer buying influence (internal)</t>
        </is>
      </c>
      <c r="D13" s="27" t="inlineStr">
        <is>
          <t>Supportive</t>
        </is>
      </c>
      <c r="E13" s="27" t="inlineStr">
        <is>
          <t>Not applicable (internal)</t>
        </is>
      </c>
      <c r="F13" s="44" t="n"/>
      <c r="G13" s="27" t="n">
        <v>0</v>
      </c>
      <c r="H13" s="27" t="inlineStr">
        <is>
          <t>Manages the Del Taco relationship on the Worldpay side; signed the contract extension 2026-09-03; emailed Daniel Mears directly on 2026-09-15 to introduce Todd; reported on 2026-09-29 that Del Taco is evaluating Nova as a new POS.</t>
        </is>
      </c>
      <c r="I13" s="43" t="n"/>
      <c r="J13" s="44" t="n"/>
      <c r="K13" s="27" t="inlineStr">
        <is>
          <t>Coordinate next outreach step with Nick and Todd; track Nova integration status.</t>
        </is>
      </c>
      <c r="L13" s="44" t="n"/>
    </row>
    <row r="14" ht="62" customHeight="1">
      <c r="A14" s="27" t="inlineStr">
        <is>
          <t>David OCallaghan — Vice President, Company Operations</t>
        </is>
      </c>
      <c r="B14" s="27" t="inlineStr">
        <is>
          <t>U?</t>
        </is>
      </c>
      <c r="C14" s="27" t="inlineStr">
        <is>
          <t>Unknown</t>
        </is>
      </c>
      <c r="D14" s="27" t="inlineStr">
        <is>
          <t>Unknown</t>
        </is>
      </c>
      <c r="E14" s="27" t="inlineStr">
        <is>
          <t>Unknown</t>
        </is>
      </c>
      <c r="F14" s="44" t="n"/>
      <c r="G14" s="27" t="n">
        <v>0</v>
      </c>
      <c r="H14" s="27" t="inlineStr">
        <is>
          <t>Connected with Todd on LinkedIn and agreed to a meeting, then redirected to Del Taco's Innovation/IT team; that introduction did not produce a scheduled meeting. Todd later followed up directly, copying AE Nicole Payne.</t>
        </is>
      </c>
      <c r="I14" s="43" t="n"/>
      <c r="J14" s="44" t="n"/>
      <c r="K14" s="27" t="inlineStr">
        <is>
          <t>Follow up on the pending informal operations conversation request.</t>
        </is>
      </c>
      <c r="L14" s="44" t="n"/>
    </row>
    <row r="15" ht="62" customHeight="1">
      <c r="A15" s="27" t="n"/>
      <c r="B15" s="27" t="n"/>
      <c r="C15" s="27" t="n"/>
      <c r="D15" s="27" t="n"/>
      <c r="E15" s="27" t="n"/>
      <c r="F15" s="44" t="n"/>
      <c r="G15" s="27" t="n"/>
      <c r="H15" s="27" t="n"/>
      <c r="I15" s="43" t="n"/>
      <c r="J15" s="44" t="n"/>
      <c r="K15" s="27" t="n"/>
      <c r="L15" s="44" t="n"/>
    </row>
    <row r="16" ht="62" customHeight="1">
      <c r="A16" s="27" t="n"/>
      <c r="B16" s="27" t="n"/>
      <c r="C16" s="27" t="n"/>
      <c r="D16" s="27" t="n"/>
      <c r="E16" s="27" t="n"/>
      <c r="F16" s="44" t="n"/>
      <c r="G16" s="27" t="n"/>
      <c r="H16" s="27" t="n"/>
      <c r="I16" s="43" t="n"/>
      <c r="J16" s="44" t="n"/>
      <c r="K16" s="27" t="n"/>
      <c r="L16" s="44" t="n"/>
    </row>
    <row r="17" ht="62" customHeight="1">
      <c r="A17" s="27" t="n"/>
      <c r="B17" s="27" t="n"/>
      <c r="C17" s="27" t="n"/>
      <c r="D17" s="27" t="n"/>
      <c r="E17" s="27" t="n"/>
      <c r="F17" s="44" t="n"/>
      <c r="G17" s="27" t="n"/>
      <c r="H17" s="27" t="n"/>
      <c r="I17" s="43" t="n"/>
      <c r="J17" s="44" t="n"/>
      <c r="K17" s="27" t="n"/>
      <c r="L17" s="44" t="n"/>
    </row>
    <row r="18" ht="62" customHeight="1">
      <c r="A18" s="27" t="n"/>
      <c r="B18" s="27" t="n"/>
      <c r="C18" s="27" t="n"/>
      <c r="D18" s="27" t="n"/>
      <c r="E18" s="27" t="n"/>
      <c r="F18" s="44" t="n"/>
      <c r="G18" s="27" t="n"/>
      <c r="H18" s="27" t="n"/>
      <c r="I18" s="43" t="n"/>
      <c r="J18" s="44" t="n"/>
      <c r="K18" s="27" t="n"/>
      <c r="L18" s="44" t="n"/>
    </row>
    <row r="19" ht="62" customHeight="1">
      <c r="A19" s="27" t="n"/>
      <c r="B19" s="27" t="n"/>
      <c r="C19" s="27" t="n"/>
      <c r="D19" s="27" t="n"/>
      <c r="E19" s="27" t="n"/>
      <c r="F19" s="44" t="n"/>
      <c r="G19" s="27" t="n"/>
      <c r="H19" s="27" t="n"/>
      <c r="I19" s="43" t="n"/>
      <c r="J19" s="44" t="n"/>
      <c r="K19" s="27" t="n"/>
      <c r="L19" s="44" t="n"/>
    </row>
    <row r="21" ht="15" customHeight="1">
      <c r="A21" s="13" t="n"/>
      <c r="E21" s="13" t="n"/>
      <c r="I21" s="13" t="n"/>
    </row>
    <row r="22">
      <c r="A22" s="27" t="n"/>
      <c r="B22" s="45" t="n"/>
      <c r="C22" s="45" t="n"/>
      <c r="D22" s="46" t="n"/>
      <c r="E22" s="27" t="n"/>
      <c r="F22" s="45" t="n"/>
      <c r="G22" s="45" t="n"/>
      <c r="H22" s="46" t="n"/>
      <c r="I22" s="27" t="n"/>
      <c r="J22" s="45" t="n"/>
      <c r="K22" s="45" t="n"/>
      <c r="L22" s="46" t="n"/>
    </row>
    <row r="23">
      <c r="A23" s="47" t="n"/>
      <c r="D23" s="48" t="n"/>
      <c r="E23" s="47" t="n"/>
      <c r="H23" s="48" t="n"/>
      <c r="I23" s="47" t="n"/>
      <c r="L23" s="48" t="n"/>
    </row>
    <row r="24">
      <c r="A24" s="49" t="n"/>
      <c r="B24" s="50" t="n"/>
      <c r="C24" s="50" t="n"/>
      <c r="D24" s="51" t="n"/>
      <c r="E24" s="49" t="n"/>
      <c r="F24" s="50" t="n"/>
      <c r="G24" s="50" t="n"/>
      <c r="H24" s="51" t="n"/>
      <c r="I24" s="49" t="n"/>
      <c r="J24" s="50" t="n"/>
      <c r="K24" s="50" t="n"/>
      <c r="L24" s="51" t="n"/>
    </row>
  </sheetData>
  <mergeCells count="45">
    <mergeCell ref="K16:L16"/>
    <mergeCell ref="E12:F12"/>
    <mergeCell ref="K15:L15"/>
    <mergeCell ref="K9:L9"/>
    <mergeCell ref="E14:F14"/>
    <mergeCell ref="H17:J17"/>
    <mergeCell ref="E17:F17"/>
    <mergeCell ref="H11:J11"/>
    <mergeCell ref="A22:D24"/>
    <mergeCell ref="H16:J16"/>
    <mergeCell ref="A2:L2"/>
    <mergeCell ref="E22:H24"/>
    <mergeCell ref="K11:L11"/>
    <mergeCell ref="E10:F10"/>
    <mergeCell ref="H19:J19"/>
    <mergeCell ref="E19:F19"/>
    <mergeCell ref="H13:J13"/>
    <mergeCell ref="E21:H21"/>
    <mergeCell ref="E13:F13"/>
    <mergeCell ref="H12:J12"/>
    <mergeCell ref="A4:F4"/>
    <mergeCell ref="G4:L4"/>
    <mergeCell ref="E9:F9"/>
    <mergeCell ref="H15:J15"/>
    <mergeCell ref="A5:F7"/>
    <mergeCell ref="G5:L7"/>
    <mergeCell ref="K12:L12"/>
    <mergeCell ref="H18:J18"/>
    <mergeCell ref="E15:F15"/>
    <mergeCell ref="H14:J14"/>
    <mergeCell ref="E11:F11"/>
    <mergeCell ref="K14:L14"/>
    <mergeCell ref="K17:L17"/>
    <mergeCell ref="H10:J10"/>
    <mergeCell ref="I22:L24"/>
    <mergeCell ref="E16:F16"/>
    <mergeCell ref="I21:L21"/>
    <mergeCell ref="A1:L1"/>
    <mergeCell ref="A21:D21"/>
    <mergeCell ref="K10:L10"/>
    <mergeCell ref="K19:L19"/>
    <mergeCell ref="H9:J9"/>
    <mergeCell ref="K13:L13"/>
    <mergeCell ref="E18:F18"/>
    <mergeCell ref="K18:L18"/>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20"/>
  <sheetViews>
    <sheetView showGridLines="0" workbookViewId="0">
      <selection activeCell="A1" sqref="A1"/>
    </sheetView>
  </sheetViews>
  <sheetFormatPr baseColWidth="10" defaultColWidth="8.83203125" defaultRowHeight="14"/>
  <cols>
    <col width="22" customWidth="1" min="1" max="1"/>
    <col width="20" customWidth="1" min="2" max="2"/>
    <col width="15" customWidth="1" min="3" max="3"/>
    <col width="16" customWidth="1" min="4" max="4"/>
    <col width="18" customWidth="1" min="5" max="5"/>
    <col width="15" customWidth="1" min="6" max="6"/>
    <col width="24" customWidth="1" min="7" max="8"/>
    <col width="20" customWidth="1" min="9" max="10"/>
  </cols>
  <sheetData>
    <row r="1" ht="28" customHeight="1">
      <c r="A1" s="11" t="inlineStr">
        <is>
          <t>BLUE SHEET METHOD &amp; GOVERNANCE</t>
        </is>
      </c>
    </row>
    <row r="2" ht="22" customHeight="1">
      <c r="A2" s="12" t="inlineStr">
        <is>
          <t>Internal operating standard for disciplined opportunity strategy and review.</t>
        </is>
      </c>
    </row>
    <row r="4" ht="16" customHeight="1">
      <c r="A4" s="28" t="inlineStr">
        <is>
          <t>Area</t>
        </is>
      </c>
      <c r="B4" s="28" t="inlineStr">
        <is>
          <t>Standard</t>
        </is>
      </c>
      <c r="C4" s="38" t="n"/>
      <c r="D4" s="38" t="n"/>
      <c r="E4" s="38" t="n"/>
      <c r="F4" s="39" t="n"/>
      <c r="G4" s="28" t="inlineStr">
        <is>
          <t>Minimum evidence / output</t>
        </is>
      </c>
      <c r="H4" s="38" t="n"/>
      <c r="I4" s="38" t="n"/>
      <c r="J4" s="39" t="n"/>
    </row>
    <row r="5" ht="54" customHeight="1">
      <c r="A5" s="9" t="inlineStr">
        <is>
          <t>Purpose</t>
        </is>
      </c>
      <c r="B5" s="27" t="inlineStr">
        <is>
          <t>A living strategy document for one specific sales objective—not a general account-information repository.</t>
        </is>
      </c>
      <c r="C5" s="43" t="n"/>
      <c r="D5" s="43" t="n"/>
      <c r="E5" s="43" t="n"/>
      <c r="F5" s="44" t="n"/>
      <c r="G5" s="27" t="inlineStr">
        <is>
          <t>A clear, measurable Single Sales Objective tied to a company/area, solution, commercial outcome and customer timing.</t>
        </is>
      </c>
      <c r="H5" s="43" t="n"/>
      <c r="I5" s="43" t="n"/>
      <c r="J5" s="44" t="n"/>
    </row>
    <row r="6" ht="54" customHeight="1">
      <c r="A6" s="9" t="inlineStr">
        <is>
          <t>Core methodology</t>
        </is>
      </c>
      <c r="B6" s="27" t="inlineStr">
        <is>
          <t>Use Buying Influences, Win–Results, Modes, Ratings, Strengths, Red Flags, competition, perspective and the Best Action Plan as one connected strategy system.</t>
        </is>
      </c>
      <c r="C6" s="43" t="n"/>
      <c r="D6" s="43" t="n"/>
      <c r="E6" s="43" t="n"/>
      <c r="F6" s="44" t="n"/>
      <c r="G6" s="27" t="inlineStr">
        <is>
          <t>Each material strategy assertion is reflected in the appropriate field and converted into an implication or action.</t>
        </is>
      </c>
      <c r="H6" s="43" t="n"/>
      <c r="I6" s="43" t="n"/>
      <c r="J6" s="44" t="n"/>
    </row>
    <row r="7" ht="54" customHeight="1">
      <c r="A7" s="9" t="inlineStr">
        <is>
          <t>Evidence discipline</t>
        </is>
      </c>
      <c r="B7" s="27" t="inlineStr">
        <is>
          <t>Unknown stays unknown. Do not infer an Economic Buyer, Coach, influence level, mode, preference, rating, budget or decision authority.</t>
        </is>
      </c>
      <c r="C7" s="43" t="n"/>
      <c r="D7" s="43" t="n"/>
      <c r="E7" s="43" t="n"/>
      <c r="F7" s="44" t="n"/>
      <c r="G7" s="27" t="inlineStr">
        <is>
          <t>Observed customer behavior, direct customer statements, documented process evidence or a clearly labeled working hypothesis.</t>
        </is>
      </c>
      <c r="H7" s="43" t="n"/>
      <c r="I7" s="43" t="n"/>
      <c r="J7" s="44" t="n"/>
    </row>
    <row r="8" ht="54" customHeight="1">
      <c r="A8" s="9" t="inlineStr">
        <is>
          <t>Coach standard</t>
        </is>
      </c>
      <c r="B8" s="27" t="inlineStr">
        <is>
          <t>A responsive or friendly contact is not automatically a Coach. A Coach must satisfy all three Miller Heiman tests.</t>
        </is>
      </c>
      <c r="C8" s="43" t="n"/>
      <c r="D8" s="43" t="n"/>
      <c r="E8" s="43" t="n"/>
      <c r="F8" s="44" t="n"/>
      <c r="G8" s="27" t="inlineStr">
        <is>
          <t>We have credibility with the person; the person has credibility with the Buying Influences; the person wants our solution above all others and will advocate for it.</t>
        </is>
      </c>
      <c r="H8" s="43" t="n"/>
      <c r="I8" s="43" t="n"/>
      <c r="J8" s="44" t="n"/>
    </row>
    <row r="9" ht="54" customHeight="1">
      <c r="A9" s="9" t="inlineStr">
        <is>
          <t>Qualification score</t>
        </is>
      </c>
      <c r="B9" s="27" t="inlineStr">
        <is>
          <t>The five criteria are qualification tests—not optimism scores. Use Y only when the complete statement is supported.</t>
        </is>
      </c>
      <c r="C9" s="43" t="n"/>
      <c r="D9" s="43" t="n"/>
      <c r="E9" s="43" t="n"/>
      <c r="F9" s="44" t="n"/>
      <c r="G9" s="27" t="inlineStr">
        <is>
          <t>Evidence for budget, access, buying process, supportive Economic Buying Influence and at least one qualified Coach. Otherwise use N or U.</t>
        </is>
      </c>
      <c r="H9" s="43" t="n"/>
      <c r="I9" s="43" t="n"/>
      <c r="J9" s="44" t="n"/>
    </row>
    <row r="10" ht="54" customHeight="1">
      <c r="A10" s="9" t="inlineStr">
        <is>
          <t>Review triggers</t>
        </is>
      </c>
      <c r="B10" s="27" t="inlineStr">
        <is>
          <t>Review after meaningful calls, emails, RFI/RFP changes, new stakeholders, competitive intelligence, commercial decisions or material changes in access and timing.</t>
        </is>
      </c>
      <c r="C10" s="43" t="n"/>
      <c r="D10" s="43" t="n"/>
      <c r="E10" s="43" t="n"/>
      <c r="F10" s="44" t="n"/>
      <c r="G10" s="27" t="inlineStr">
        <is>
          <t>Updated fields, Strengths, Red Flags and Best Action Plan; material changes recorded in Actions &amp; Decisions or the Change Log where applicable.</t>
        </is>
      </c>
      <c r="H10" s="43" t="n"/>
      <c r="I10" s="43" t="n"/>
      <c r="J10" s="44" t="n"/>
    </row>
    <row r="11" ht="54" customHeight="1">
      <c r="A11" s="9" t="inlineStr">
        <is>
          <t>Structured review</t>
        </is>
      </c>
      <c r="B11" s="27" t="inlineStr">
        <is>
          <t>Owner tells the story; team uncovers Red Flags; team identifies Strengths; team develops perspective; team proposes actions; owner selects the Best Action Plan.</t>
        </is>
      </c>
      <c r="C11" s="43" t="n"/>
      <c r="D11" s="43" t="n"/>
      <c r="E11" s="43" t="n"/>
      <c r="F11" s="44" t="n"/>
      <c r="G11" s="27" t="inlineStr">
        <is>
          <t>Use the timing and prompts on Concept Card — Perspective &amp; Review.</t>
        </is>
      </c>
      <c r="H11" s="43" t="n"/>
      <c r="I11" s="43" t="n"/>
      <c r="J11" s="44" t="n"/>
    </row>
    <row r="12" ht="54" customHeight="1">
      <c r="A12" s="9" t="inlineStr">
        <is>
          <t>Action quality</t>
        </is>
      </c>
      <c r="B12" s="27" t="inlineStr">
        <is>
          <t>Every Best Action must be specific and executable, not a general intention.</t>
        </is>
      </c>
      <c r="C12" s="43" t="n"/>
      <c r="D12" s="43" t="n"/>
      <c r="E12" s="43" t="n"/>
      <c r="F12" s="44" t="n"/>
      <c r="G12" s="27" t="inlineStr">
        <is>
          <t>Named owner, target date, intended Buying Influence, expected outcome and the Red Flag reduced or Strength leveraged.</t>
        </is>
      </c>
      <c r="H12" s="43" t="n"/>
      <c r="I12" s="43" t="n"/>
      <c r="J12" s="44" t="n"/>
    </row>
    <row r="13" ht="54" customHeight="1">
      <c r="A13" s="9" t="inlineStr">
        <is>
          <t>Automation behavior</t>
        </is>
      </c>
      <c r="B13" s="27" t="inlineStr">
        <is>
          <t>New intelligence updates the Brand and Technology Stack when relevant and triggers a Blue Sheet review without creating duplicate sources of truth.</t>
        </is>
      </c>
      <c r="C13" s="43" t="n"/>
      <c r="D13" s="43" t="n"/>
      <c r="E13" s="43" t="n"/>
      <c r="F13" s="44" t="n"/>
      <c r="G13" s="27" t="inlineStr">
        <is>
          <t>Update existing records, preserve unresolved items, and surface changed assumptions or implications for human review.</t>
        </is>
      </c>
      <c r="H13" s="43" t="n"/>
      <c r="I13" s="43" t="n"/>
      <c r="J13" s="44" t="n"/>
    </row>
    <row r="14" ht="54" customHeight="1">
      <c r="A14" s="9" t="inlineStr">
        <is>
          <t>Ownership</t>
        </is>
      </c>
      <c r="B14" s="27" t="inlineStr">
        <is>
          <t>One named Blue Sheet owner is accountable for strategy quality; contributors provide functional evidence and execute assigned actions.</t>
        </is>
      </c>
      <c r="C14" s="43" t="n"/>
      <c r="D14" s="43" t="n"/>
      <c r="E14" s="43" t="n"/>
      <c r="F14" s="44" t="n"/>
      <c r="G14" s="27" t="inlineStr">
        <is>
          <t>Owner, contributors, last-reviewed date and next formal review are visible and current.</t>
        </is>
      </c>
      <c r="H14" s="43" t="n"/>
      <c r="I14" s="43" t="n"/>
      <c r="J14" s="44" t="n"/>
    </row>
    <row r="15" ht="54" customHeight="1">
      <c r="A15" s="9" t="inlineStr">
        <is>
          <t>Internal-use notice</t>
        </is>
      </c>
      <c r="B15" s="27" t="inlineStr">
        <is>
          <t>Miller Heiman terminology and supplied reference materials are proprietary and are included for internal use under the organization’s applicable rights.</t>
        </is>
      </c>
      <c r="C15" s="43" t="n"/>
      <c r="D15" s="43" t="n"/>
      <c r="E15" s="43" t="n"/>
      <c r="F15" s="44" t="n"/>
      <c r="G15" s="27" t="inlineStr">
        <is>
          <t>Do not redistribute the concept cards or represent this workbook as an official Miller Heiman publication.</t>
        </is>
      </c>
      <c r="H15" s="43" t="n"/>
      <c r="I15" s="43" t="n"/>
      <c r="J15" s="44" t="n"/>
    </row>
    <row r="17" ht="15" customHeight="1">
      <c r="A17" s="13" t="inlineStr">
        <is>
          <t>BLUE SHEET OWNER &amp; REVIEW CONTROL</t>
        </is>
      </c>
    </row>
    <row r="18" ht="48" customHeight="1">
      <c r="A18" s="6" t="inlineStr">
        <is>
          <t>Blue Sheet owner</t>
        </is>
      </c>
      <c r="B18" s="27" t="inlineStr">
        <is>
          <t>Todd Vahlsing</t>
        </is>
      </c>
      <c r="C18" s="44" t="n"/>
      <c r="D18" s="6" t="inlineStr">
        <is>
          <t>Last reviewed</t>
        </is>
      </c>
      <c r="E18" s="31" t="n">
        <v>46303</v>
      </c>
      <c r="F18" s="44" t="n"/>
      <c r="G18" s="6" t="inlineStr">
        <is>
          <t>Next formal review</t>
        </is>
      </c>
      <c r="H18" s="27" t="inlineStr">
        <is>
          <t>After the first direct discovery conversation with Daniel Mears</t>
        </is>
      </c>
      <c r="I18" s="43" t="n"/>
      <c r="J18" s="44" t="n"/>
    </row>
    <row r="19" ht="48" customHeight="1">
      <c r="A19" s="6" t="inlineStr">
        <is>
          <t>Core contributors</t>
        </is>
      </c>
      <c r="B19" s="27" t="inlineStr">
        <is>
          <t>Maggie Lenhart (Worldpay relationship owner); Nick Hulayew (internal relationship path)</t>
        </is>
      </c>
      <c r="C19" s="44" t="n"/>
      <c r="D19" s="6" t="inlineStr">
        <is>
          <t>Review status</t>
        </is>
      </c>
      <c r="E19" s="27" t="inlineStr">
        <is>
          <t>Blue Sheet activated from the existing research shell; pre-discovery, no RFP or confirmed buyer yet.</t>
        </is>
      </c>
      <c r="F19" s="44" t="n"/>
      <c r="G19" s="6" t="inlineStr">
        <is>
          <t>Current critical test</t>
        </is>
      </c>
      <c r="H19" s="27" t="inlineStr">
        <is>
          <t>Does direct customer discovery confirm a real, funded modernization event with a credible Genius wedge and an accountable buyer?</t>
        </is>
      </c>
      <c r="I19" s="43" t="n"/>
      <c r="J19" s="44" t="n"/>
    </row>
    <row r="20" ht="48" customHeight="1">
      <c r="A20" s="6" t="inlineStr">
        <is>
          <t>Review expectation</t>
        </is>
      </c>
      <c r="B20" s="27" t="inlineStr">
        <is>
          <t>Update within the normal account workflow after a material input; conduct a structured team review at major pursuit gates.</t>
        </is>
      </c>
      <c r="C20" s="43" t="n"/>
      <c r="D20" s="43" t="n"/>
      <c r="E20" s="43" t="n"/>
      <c r="F20" s="43" t="n"/>
      <c r="G20" s="43" t="n"/>
      <c r="H20" s="43" t="n"/>
      <c r="I20" s="43" t="n"/>
      <c r="J20" s="44" t="n"/>
    </row>
  </sheetData>
  <mergeCells count="34">
    <mergeCell ref="B4:F4"/>
    <mergeCell ref="B7:F7"/>
    <mergeCell ref="A17:J17"/>
    <mergeCell ref="G4:J4"/>
    <mergeCell ref="B18:C18"/>
    <mergeCell ref="B12:F12"/>
    <mergeCell ref="G9:J9"/>
    <mergeCell ref="H19:J19"/>
    <mergeCell ref="E19:F19"/>
    <mergeCell ref="B11:F11"/>
    <mergeCell ref="G12:J12"/>
    <mergeCell ref="B14:F14"/>
    <mergeCell ref="G11:J11"/>
    <mergeCell ref="B8:F8"/>
    <mergeCell ref="B13:F13"/>
    <mergeCell ref="A1:J1"/>
    <mergeCell ref="B20:J20"/>
    <mergeCell ref="H18:J18"/>
    <mergeCell ref="G8:J8"/>
    <mergeCell ref="B19:C19"/>
    <mergeCell ref="B10:F10"/>
    <mergeCell ref="G7:J7"/>
    <mergeCell ref="B9:F9"/>
    <mergeCell ref="G10:J10"/>
    <mergeCell ref="G6:J6"/>
    <mergeCell ref="G13:J13"/>
    <mergeCell ref="B6:F6"/>
    <mergeCell ref="B15:F15"/>
    <mergeCell ref="B5:F5"/>
    <mergeCell ref="G15:J15"/>
    <mergeCell ref="A2:J2"/>
    <mergeCell ref="E18:F18"/>
    <mergeCell ref="G5:J5"/>
    <mergeCell ref="G14:J14"/>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10" defaultColWidth="8.83203125" defaultRowHeight="14"/>
  <cols>
    <col width="18" customWidth="1" min="1" max="1"/>
    <col width="22" customWidth="1" min="2" max="2"/>
    <col width="16" customWidth="1" min="3" max="4"/>
    <col width="22" customWidth="1" min="5" max="8"/>
  </cols>
  <sheetData>
    <row r="1" ht="28" customHeight="1">
      <c r="A1" s="11" t="inlineStr">
        <is>
          <t>CRITERIA STATEMENTS</t>
        </is>
      </c>
    </row>
    <row r="2" ht="22" customHeight="1">
      <c r="A2" s="12" t="inlineStr">
        <is>
          <t>Reference definitions for the five opportunity scorecard criteria.</t>
        </is>
      </c>
    </row>
    <row r="4" ht="16" customHeight="1">
      <c r="A4" s="28" t="inlineStr">
        <is>
          <t>Criterion</t>
        </is>
      </c>
      <c r="B4" s="28" t="inlineStr">
        <is>
          <t>Statement</t>
        </is>
      </c>
      <c r="C4" s="38" t="n"/>
      <c r="D4" s="39" t="n"/>
      <c r="E4" s="28" t="inlineStr">
        <is>
          <t>Qualification standard</t>
        </is>
      </c>
      <c r="F4" s="38" t="n"/>
      <c r="G4" s="38" t="n"/>
      <c r="H4" s="39" t="n"/>
    </row>
    <row r="5" ht="72" customHeight="1">
      <c r="A5" s="10" t="inlineStr">
        <is>
          <t>CRITERIA 1</t>
        </is>
      </c>
      <c r="B5" s="27" t="inlineStr">
        <is>
          <t>Sufficient budget exists.</t>
        </is>
      </c>
      <c r="C5" s="43" t="n"/>
      <c r="D5" s="44" t="n"/>
      <c r="E5" s="27" t="inlineStr">
        <is>
          <t>At least one High Degree of Influence Buying Influence has shared that sufficient budget exists for this buying decision.</t>
        </is>
      </c>
      <c r="F5" s="43" t="n"/>
      <c r="G5" s="43" t="n"/>
      <c r="H5" s="44" t="n"/>
    </row>
    <row r="6" ht="72" customHeight="1">
      <c r="A6" s="10" t="inlineStr">
        <is>
          <t>CRITERIA 2</t>
        </is>
      </c>
      <c r="B6" s="27" t="inlineStr">
        <is>
          <t>We have the access we need.</t>
        </is>
      </c>
      <c r="C6" s="43" t="n"/>
      <c r="D6" s="44" t="n"/>
      <c r="E6" s="27" t="inlineStr">
        <is>
          <t>We have met with, or are being provided the opportunity to meet with, the High Degree of Influence Buying Influences.</t>
        </is>
      </c>
      <c r="F6" s="43" t="n"/>
      <c r="G6" s="43" t="n"/>
      <c r="H6" s="44" t="n"/>
    </row>
    <row r="7" ht="72" customHeight="1">
      <c r="A7" s="10" t="inlineStr">
        <is>
          <t>CRITERIA 3</t>
        </is>
      </c>
      <c r="B7" s="27" t="inlineStr">
        <is>
          <t>We have a clear understanding of the customer’s buying process.</t>
        </is>
      </c>
      <c r="C7" s="43" t="n"/>
      <c r="D7" s="44" t="n"/>
      <c r="E7" s="27" t="inlineStr">
        <is>
          <t>We understand the cultural, financial or strategic drivers for change and have identified the approval steps, how decisions are made and the customer’s timing and priorities.</t>
        </is>
      </c>
      <c r="F7" s="43" t="n"/>
      <c r="G7" s="43" t="n"/>
      <c r="H7" s="44" t="n"/>
    </row>
    <row r="8" ht="72" customHeight="1">
      <c r="A8" s="10" t="inlineStr">
        <is>
          <t>CRITERIA 4</t>
        </is>
      </c>
      <c r="B8" s="27" t="inlineStr">
        <is>
          <t>We have a strong relationship with a supportive Economic Buying Influence.</t>
        </is>
      </c>
      <c r="C8" s="43" t="n"/>
      <c r="D8" s="44" t="n"/>
      <c r="E8" s="27" t="inlineStr">
        <is>
          <t>We have direct access to the Economic Buying Influence, who has a +3 rating or higher.</t>
        </is>
      </c>
      <c r="F8" s="43" t="n"/>
      <c r="G8" s="43" t="n"/>
      <c r="H8" s="44" t="n"/>
    </row>
    <row r="9" ht="72" customHeight="1">
      <c r="A9" s="10" t="inlineStr">
        <is>
          <t>CRITERIA 5</t>
        </is>
      </c>
      <c r="B9" s="27" t="inlineStr">
        <is>
          <t>We have at least one Coach.</t>
        </is>
      </c>
      <c r="C9" s="43" t="n"/>
      <c r="D9" s="44" t="n"/>
      <c r="E9" s="27" t="inlineStr">
        <is>
          <t>We have at least one Coach with High Degree of Influence. Every Coach must meet all three tests: we have credibility with the person; the person has credibility with the Buying Influences for this Single Sales Objective; and the person wants our solution above all others and will advocate for it.</t>
        </is>
      </c>
      <c r="F9" s="43" t="n"/>
      <c r="G9" s="43" t="n"/>
      <c r="H9" s="44" t="n"/>
    </row>
  </sheetData>
  <mergeCells count="14">
    <mergeCell ref="B5:D5"/>
    <mergeCell ref="E9:H9"/>
    <mergeCell ref="E8:H8"/>
    <mergeCell ref="B8:D8"/>
    <mergeCell ref="A2:H2"/>
    <mergeCell ref="B4:D4"/>
    <mergeCell ref="E6:H6"/>
    <mergeCell ref="E4:H4"/>
    <mergeCell ref="B9:D9"/>
    <mergeCell ref="E7:H7"/>
    <mergeCell ref="A1:H1"/>
    <mergeCell ref="B7:D7"/>
    <mergeCell ref="B6:D6"/>
    <mergeCell ref="E5:H5"/>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10" defaultColWidth="8.83203125" defaultRowHeight="14"/>
  <cols>
    <col width="13" customWidth="1" min="1" max="14"/>
  </cols>
  <sheetData>
    <row r="1" ht="28" customHeight="1">
      <c r="A1" s="11" t="inlineStr">
        <is>
          <t>CONCEPT CARD — STRATEGIC SELLING</t>
        </is>
      </c>
    </row>
    <row r="2" ht="22" customHeight="1">
      <c r="A2" s="12" t="inlineStr">
        <is>
          <t>Buying influences, wins/results, ratings, modes, strengths and red flags.</t>
        </is>
      </c>
    </row>
    <row r="4" ht="15" customHeight="1">
      <c r="A4" s="28" t="inlineStr">
        <is>
          <t>Concept</t>
        </is>
      </c>
      <c r="B4" s="39" t="n"/>
      <c r="C4" s="28" t="inlineStr">
        <is>
          <t>Definition / use</t>
        </is>
      </c>
      <c r="D4" s="38" t="n"/>
      <c r="E4" s="38" t="n"/>
      <c r="F4" s="38" t="n"/>
      <c r="G4" s="39" t="n"/>
      <c r="H4" s="28" t="inlineStr">
        <is>
          <t>Concept</t>
        </is>
      </c>
      <c r="I4" s="39" t="n"/>
      <c r="J4" s="28" t="inlineStr">
        <is>
          <t>Definition / use</t>
        </is>
      </c>
      <c r="K4" s="38" t="n"/>
      <c r="L4" s="38" t="n"/>
      <c r="M4" s="38" t="n"/>
      <c r="N4" s="39" t="n"/>
    </row>
    <row r="5" ht="66" customHeight="1">
      <c r="A5" s="32" t="inlineStr">
        <is>
          <t>STRENGTHS</t>
        </is>
      </c>
      <c r="B5" s="44" t="n"/>
      <c r="C5" s="27" t="inlineStr">
        <is>
          <t>Areas of differentiation; opportunities used to improve position; relevant to the current Single Sales Objective; can lessen price sensitivity.</t>
        </is>
      </c>
      <c r="D5" s="43" t="n"/>
      <c r="E5" s="43" t="n"/>
      <c r="F5" s="43" t="n"/>
      <c r="G5" s="44" t="n"/>
      <c r="H5" s="32" t="inlineStr">
        <is>
          <t>RED FLAGS</t>
        </is>
      </c>
      <c r="I5" s="44" t="n"/>
      <c r="J5" s="27" t="inlineStr">
        <is>
          <t>Critical information missing or unclear; new or uncontacted Buying Influences; reorganization; uncertainty about any information.</t>
        </is>
      </c>
      <c r="K5" s="43" t="n"/>
      <c r="L5" s="43" t="n"/>
      <c r="M5" s="43" t="n"/>
      <c r="N5" s="44" t="n"/>
    </row>
    <row r="6" ht="66" customHeight="1">
      <c r="A6" s="32" t="inlineStr">
        <is>
          <t>BUYING INFLUENCES</t>
        </is>
      </c>
      <c r="B6" s="44" t="n"/>
      <c r="C6" s="27" t="inlineStr">
        <is>
          <t>Economic (E): final approval and organizational impact. Technical (T): screens against specifications. User (U): judges impact on the job to be done. Coach (C): guides the sale and focuses on our success.</t>
        </is>
      </c>
      <c r="D6" s="43" t="n"/>
      <c r="E6" s="43" t="n"/>
      <c r="F6" s="43" t="n"/>
      <c r="G6" s="44" t="n"/>
      <c r="H6" s="32" t="inlineStr">
        <is>
          <t>COACH TEST</t>
        </is>
      </c>
      <c r="I6" s="44" t="n"/>
      <c r="J6" s="27" t="inlineStr">
        <is>
          <t>We have credibility; the person has credibility with Buying Influences; the person wants our solution above all others and will advocate for it.</t>
        </is>
      </c>
      <c r="K6" s="43" t="n"/>
      <c r="L6" s="43" t="n"/>
      <c r="M6" s="43" t="n"/>
      <c r="N6" s="44" t="n"/>
    </row>
    <row r="7" ht="66" customHeight="1">
      <c r="A7" s="32" t="inlineStr">
        <is>
          <t>WIN–RESULTS</t>
        </is>
      </c>
      <c r="B7" s="44" t="n"/>
      <c r="C7" s="27" t="inlineStr">
        <is>
          <t>Wins are personal and describe how a Buying Influence’s self-interest is served. Results describe the product/service impact on the Buying Influence’s business process.</t>
        </is>
      </c>
      <c r="D7" s="43" t="n"/>
      <c r="E7" s="43" t="n"/>
      <c r="F7" s="43" t="n"/>
      <c r="G7" s="44" t="n"/>
      <c r="H7" s="32" t="inlineStr">
        <is>
          <t>COMPETITIVE PREFERENCES</t>
        </is>
      </c>
      <c r="I7" s="44" t="n"/>
      <c r="J7" s="27" t="inlineStr">
        <is>
          <t>Buy from us; buy elsewhere; reuse funds; internal alternative; do nothing.</t>
        </is>
      </c>
      <c r="K7" s="43" t="n"/>
      <c r="L7" s="43" t="n"/>
      <c r="M7" s="43" t="n"/>
      <c r="N7" s="44" t="n"/>
    </row>
    <row r="8" ht="66" customHeight="1">
      <c r="A8" s="32" t="inlineStr">
        <is>
          <t>DEGREE OF INFLUENCE</t>
        </is>
      </c>
      <c r="B8" s="44" t="n"/>
      <c r="C8" s="27" t="inlineStr">
        <is>
          <t>High: dominant influence. Medium: some influence. Low: little influence.</t>
        </is>
      </c>
      <c r="D8" s="43" t="n"/>
      <c r="E8" s="43" t="n"/>
      <c r="F8" s="43" t="n"/>
      <c r="G8" s="44" t="n"/>
      <c r="H8" s="32" t="inlineStr">
        <is>
          <t>MODES</t>
        </is>
      </c>
      <c r="I8" s="44" t="n"/>
      <c r="J8" s="27" t="inlineStr">
        <is>
          <t>Growth (G); Trouble (T); Even Keel (EK); Overconfident (OC).</t>
        </is>
      </c>
      <c r="K8" s="43" t="n"/>
      <c r="L8" s="43" t="n"/>
      <c r="M8" s="43" t="n"/>
      <c r="N8" s="44" t="n"/>
    </row>
    <row r="9" ht="66" customHeight="1">
      <c r="A9" s="32" t="inlineStr">
        <is>
          <t>RATINGS +5 TO +1</t>
        </is>
      </c>
      <c r="B9" s="44" t="n"/>
      <c r="C9" s="27" t="inlineStr">
        <is>
          <t>+5 proactively acts for us; +4 strongly supportive; +3 supportive and acts if asked; +2 interested; +1 no preference / follows others.</t>
        </is>
      </c>
      <c r="D9" s="43" t="n"/>
      <c r="E9" s="43" t="n"/>
      <c r="F9" s="43" t="n"/>
      <c r="G9" s="44" t="n"/>
      <c r="H9" s="32" t="inlineStr">
        <is>
          <t>RATINGS –1 TO –5</t>
        </is>
      </c>
      <c r="I9" s="44" t="n"/>
      <c r="J9" s="27" t="inlineStr">
        <is>
          <t>–1 low interest; –2 resists; –3 negative and helps competitor if asked; –4 very negative; –5 proactively acts against us.</t>
        </is>
      </c>
      <c r="K9" s="43" t="n"/>
      <c r="L9" s="43" t="n"/>
      <c r="M9" s="43" t="n"/>
      <c r="N9" s="44" t="n"/>
    </row>
    <row r="10" ht="66" customHeight="1">
      <c r="A10" s="32" t="inlineStr">
        <is>
          <t>WIN–WIN</t>
        </is>
      </c>
      <c r="B10" s="44" t="n"/>
      <c r="C10" s="27" t="inlineStr">
        <is>
          <t>Create a strong strategy that leverages Strengths and minimizes or eliminates Red Flags.</t>
        </is>
      </c>
      <c r="D10" s="43" t="n"/>
      <c r="E10" s="43" t="n"/>
      <c r="F10" s="43" t="n"/>
      <c r="G10" s="44" t="n"/>
      <c r="H10" s="32" t="inlineStr">
        <is>
          <t>ACTION USE</t>
        </is>
      </c>
      <c r="I10" s="44" t="n"/>
      <c r="J10" s="27" t="inlineStr">
        <is>
          <t>For each key Buying Influence, record role, influence, mode, personal win, business result, preference, rating, access and next action.</t>
        </is>
      </c>
      <c r="K10" s="43" t="n"/>
      <c r="L10" s="43" t="n"/>
      <c r="M10" s="43" t="n"/>
      <c r="N10" s="44" t="n"/>
    </row>
  </sheetData>
  <mergeCells count="30">
    <mergeCell ref="C6:G6"/>
    <mergeCell ref="H10:I10"/>
    <mergeCell ref="J5:N5"/>
    <mergeCell ref="J10:N10"/>
    <mergeCell ref="C5:G5"/>
    <mergeCell ref="H4:I4"/>
    <mergeCell ref="A6:B6"/>
    <mergeCell ref="H9:I9"/>
    <mergeCell ref="A1:N1"/>
    <mergeCell ref="J9:N9"/>
    <mergeCell ref="C4:G4"/>
    <mergeCell ref="H6:I6"/>
    <mergeCell ref="A7:B7"/>
    <mergeCell ref="C10:G10"/>
    <mergeCell ref="J6:N6"/>
    <mergeCell ref="C9:G9"/>
    <mergeCell ref="J4:N4"/>
    <mergeCell ref="H7:I7"/>
    <mergeCell ref="J7:N7"/>
    <mergeCell ref="A2:N2"/>
    <mergeCell ref="A5:B5"/>
    <mergeCell ref="C8:G8"/>
    <mergeCell ref="A8:B8"/>
    <mergeCell ref="A4:B4"/>
    <mergeCell ref="C7:G7"/>
    <mergeCell ref="A10:B10"/>
    <mergeCell ref="H5:I5"/>
    <mergeCell ref="H8:I8"/>
    <mergeCell ref="A9:B9"/>
    <mergeCell ref="J8:N8"/>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10" defaultColWidth="8.83203125" defaultRowHeight="14"/>
  <cols>
    <col width="13" customWidth="1" min="1" max="14"/>
  </cols>
  <sheetData>
    <row r="1" ht="28" customHeight="1">
      <c r="A1" s="11" t="inlineStr">
        <is>
          <t>CONCEPT CARD — PERSPECTIVE &amp; REVIEW</t>
        </is>
      </c>
    </row>
    <row r="2" ht="22" customHeight="1">
      <c r="A2" s="12" t="inlineStr">
        <is>
          <t>Perspective, objectives, action development and Blue Sheet review cadence.</t>
        </is>
      </c>
    </row>
    <row r="4" ht="15" customHeight="1">
      <c r="A4" s="28" t="inlineStr">
        <is>
          <t>Topic / time</t>
        </is>
      </c>
      <c r="B4" s="39" t="n"/>
      <c r="C4" s="28" t="inlineStr">
        <is>
          <t>Guidance</t>
        </is>
      </c>
      <c r="D4" s="38" t="n"/>
      <c r="E4" s="38" t="n"/>
      <c r="F4" s="38" t="n"/>
      <c r="G4" s="39" t="n"/>
      <c r="H4" s="28" t="inlineStr">
        <is>
          <t>Topic / time</t>
        </is>
      </c>
      <c r="I4" s="39" t="n"/>
      <c r="J4" s="28" t="inlineStr">
        <is>
          <t>Guidance</t>
        </is>
      </c>
      <c r="K4" s="38" t="n"/>
      <c r="L4" s="38" t="n"/>
      <c r="M4" s="38" t="n"/>
      <c r="N4" s="39" t="n"/>
    </row>
    <row r="5" ht="66" customHeight="1">
      <c r="A5" s="32" t="inlineStr">
        <is>
          <t>What is Perspective?</t>
        </is>
      </c>
      <c r="B5" s="44" t="n"/>
      <c r="C5" s="27" t="inlineStr">
        <is>
          <t>Knowledge or insight that expands a customer’s understanding of one or more business issues.</t>
        </is>
      </c>
      <c r="D5" s="43" t="n"/>
      <c r="E5" s="43" t="n"/>
      <c r="F5" s="43" t="n"/>
      <c r="G5" s="44" t="n"/>
      <c r="H5" s="32" t="inlineStr">
        <is>
          <t>Providing Perspective</t>
        </is>
      </c>
      <c r="I5" s="44" t="n"/>
      <c r="J5" s="27" t="inlineStr">
        <is>
          <t>Adopt an expansive mindset; use insight and expertise to benefit both the customer and seller.</t>
        </is>
      </c>
      <c r="K5" s="43" t="n"/>
      <c r="L5" s="43" t="n"/>
      <c r="M5" s="43" t="n"/>
      <c r="N5" s="44" t="n"/>
    </row>
    <row r="6" ht="66" customHeight="1">
      <c r="A6" s="32" t="inlineStr">
        <is>
          <t>Customer’s Stated Objective</t>
        </is>
      </c>
      <c r="B6" s="44" t="n"/>
      <c r="C6" s="27" t="inlineStr">
        <is>
          <t>A threat the customer wants to resolve or an opportunity the customer wants to capitalize on.</t>
        </is>
      </c>
      <c r="D6" s="43" t="n"/>
      <c r="E6" s="43" t="n"/>
      <c r="F6" s="43" t="n"/>
      <c r="G6" s="44" t="n"/>
      <c r="H6" s="32" t="inlineStr">
        <is>
          <t>Evaluation of Objective</t>
        </is>
      </c>
      <c r="I6" s="44" t="n"/>
      <c r="J6" s="27" t="inlineStr">
        <is>
          <t>Examine the stated objective for ways to add value and insight beyond the customer’s expectations.</t>
        </is>
      </c>
      <c r="K6" s="43" t="n"/>
      <c r="L6" s="43" t="n"/>
      <c r="M6" s="43" t="n"/>
      <c r="N6" s="44" t="n"/>
    </row>
    <row r="7" ht="66" customHeight="1">
      <c r="A7" s="32" t="inlineStr">
        <is>
          <t>Single Sales Objective</t>
        </is>
      </c>
      <c r="B7" s="44" t="n"/>
      <c r="C7" s="27" t="inlineStr">
        <is>
          <t>Company/specific area + product/service/solution + sales revenue/other units + close date. It should be specific, clear, concise, measurable and tied to time.</t>
        </is>
      </c>
      <c r="D7" s="43" t="n"/>
      <c r="E7" s="43" t="n"/>
      <c r="F7" s="43" t="n"/>
      <c r="G7" s="44" t="n"/>
      <c r="H7" s="32" t="inlineStr">
        <is>
          <t>Four Perspective Strategies</t>
        </is>
      </c>
      <c r="I7" s="44" t="n"/>
      <c r="J7" s="27" t="inlineStr">
        <is>
          <t>Unrecognized Problem; Unanticipated Solution; Unseen Opportunity; Broker of Capabilities.</t>
        </is>
      </c>
      <c r="K7" s="43" t="n"/>
      <c r="L7" s="43" t="n"/>
      <c r="M7" s="43" t="n"/>
      <c r="N7" s="44" t="n"/>
    </row>
    <row r="8" ht="66" customHeight="1">
      <c r="A8" s="32" t="inlineStr">
        <is>
          <t>5 minutes</t>
        </is>
      </c>
      <c r="B8" s="44" t="n"/>
      <c r="C8" s="27" t="inlineStr">
        <is>
          <t>Blue Sheet Owner tells the story without interruption.</t>
        </is>
      </c>
      <c r="D8" s="43" t="n"/>
      <c r="E8" s="43" t="n"/>
      <c r="F8" s="43" t="n"/>
      <c r="G8" s="44" t="n"/>
      <c r="H8" s="32" t="inlineStr">
        <is>
          <t>15 minutes</t>
        </is>
      </c>
      <c r="I8" s="44" t="n"/>
      <c r="J8" s="27" t="inlineStr">
        <is>
          <t>Team asks questions to uncover additional Red Flags.</t>
        </is>
      </c>
      <c r="K8" s="43" t="n"/>
      <c r="L8" s="43" t="n"/>
      <c r="M8" s="43" t="n"/>
      <c r="N8" s="44" t="n"/>
    </row>
    <row r="9" ht="66" customHeight="1">
      <c r="A9" s="32" t="inlineStr">
        <is>
          <t>10 minutes</t>
        </is>
      </c>
      <c r="B9" s="44" t="n"/>
      <c r="C9" s="27" t="inlineStr">
        <is>
          <t>Team asks questions to uncover additional Strengths.</t>
        </is>
      </c>
      <c r="D9" s="43" t="n"/>
      <c r="E9" s="43" t="n"/>
      <c r="F9" s="43" t="n"/>
      <c r="G9" s="44" t="n"/>
      <c r="H9" s="32" t="inlineStr">
        <is>
          <t>5 minutes</t>
        </is>
      </c>
      <c r="I9" s="44" t="n"/>
      <c r="J9" s="27" t="inlineStr">
        <is>
          <t>Team considers opportunities to provide perspective.</t>
        </is>
      </c>
      <c r="K9" s="43" t="n"/>
      <c r="L9" s="43" t="n"/>
      <c r="M9" s="43" t="n"/>
      <c r="N9" s="44" t="n"/>
    </row>
    <row r="10" ht="66" customHeight="1">
      <c r="A10" s="32" t="inlineStr">
        <is>
          <t>15 minutes</t>
        </is>
      </c>
      <c r="B10" s="44" t="n"/>
      <c r="C10" s="27" t="inlineStr">
        <is>
          <t>Team brainstorms possible actions and information needed.</t>
        </is>
      </c>
      <c r="D10" s="43" t="n"/>
      <c r="E10" s="43" t="n"/>
      <c r="F10" s="43" t="n"/>
      <c r="G10" s="44" t="n"/>
      <c r="H10" s="32" t="inlineStr">
        <is>
          <t>10 minutes</t>
        </is>
      </c>
      <c r="I10" s="44" t="n"/>
      <c r="J10" s="27" t="inlineStr">
        <is>
          <t>Team selects the Best Action Plan: highest priority, owner, recipient and timing.</t>
        </is>
      </c>
      <c r="K10" s="43" t="n"/>
      <c r="L10" s="43" t="n"/>
      <c r="M10" s="43" t="n"/>
      <c r="N10" s="44" t="n"/>
    </row>
  </sheetData>
  <mergeCells count="30">
    <mergeCell ref="C6:G6"/>
    <mergeCell ref="H10:I10"/>
    <mergeCell ref="J5:N5"/>
    <mergeCell ref="J10:N10"/>
    <mergeCell ref="C5:G5"/>
    <mergeCell ref="H4:I4"/>
    <mergeCell ref="A6:B6"/>
    <mergeCell ref="H9:I9"/>
    <mergeCell ref="A1:N1"/>
    <mergeCell ref="J9:N9"/>
    <mergeCell ref="C4:G4"/>
    <mergeCell ref="H6:I6"/>
    <mergeCell ref="A7:B7"/>
    <mergeCell ref="C10:G10"/>
    <mergeCell ref="J6:N6"/>
    <mergeCell ref="C9:G9"/>
    <mergeCell ref="J4:N4"/>
    <mergeCell ref="H7:I7"/>
    <mergeCell ref="J7:N7"/>
    <mergeCell ref="A2:N2"/>
    <mergeCell ref="A5:B5"/>
    <mergeCell ref="C8:G8"/>
    <mergeCell ref="A8:B8"/>
    <mergeCell ref="A4:B4"/>
    <mergeCell ref="C7:G7"/>
    <mergeCell ref="A10:B10"/>
    <mergeCell ref="H5:I5"/>
    <mergeCell ref="H8:I8"/>
    <mergeCell ref="A9:B9"/>
    <mergeCell ref="J8:N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2026-08-21T20:16:52Z</dcterms:created>
  <dcterms:modified xmlns:dcterms="http://purl.org/dc/terms/" xmlns:xsi="http://www.w3.org/2001/XMLSchema-instance" xsi:type="dcterms:W3CDTF">2026-10-08T14:36:31Z</dcterms:modified>
  <cp:lastModifiedBy>Vahlsing, Todd</cp:lastModifiedBy>
</cp:coreProperties>
</file>