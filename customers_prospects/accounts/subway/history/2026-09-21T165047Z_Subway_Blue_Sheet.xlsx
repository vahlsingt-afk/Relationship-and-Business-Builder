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SUBWAY — STRATEGIC ANALYSIS</t>
        </is>
      </c>
    </row>
    <row r="2" ht="22" customHeight="1">
      <c r="A2" s="12" t="inlineStr">
        <is>
          <t>Executive working account plan | updated 2026-09-15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2026-09-15</t>
        </is>
      </c>
      <c r="C5" s="15" t="inlineStr">
        <is>
          <t>Salesperson</t>
        </is>
      </c>
      <c r="D5" s="14" t="inlineStr">
        <is>
          <t>Nicholas Hulayew</t>
        </is>
      </c>
      <c r="E5" s="33" t="inlineStr">
        <is>
          <t>Select preferred vendor(s) meeting or exceeding the requirements for the scope(s) bid; support planned deployment across up to 5,000 U.S. restaurants.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Subway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RFP pricing requested; franchisee versus corporate funding unverified.</t>
        </is>
      </c>
      <c r="P6" s="27" t="inlineStr">
        <is>
          <t>Confirm payer and approved commercial ceiling through formal RFP process.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KDS-to-SPOS integration is stated; kiosk-to-SPOS integration not yet built in draft response.</t>
        </is>
      </c>
      <c r="P7" s="27" t="inlineStr">
        <is>
          <t>Validate kiosk, payment, MDM, Fresh Connect, ADA and network fit.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RFP cites up to 5,000 stores; 2026 phasing conflicts and installation capacity response is blank.</t>
        </is>
      </c>
      <c r="P8" s="27" t="inlineStr">
        <is>
          <t>Build quantified capacity and vendor/partner plan.</t>
        </is>
      </c>
    </row>
    <row r="9" ht="62" customHeight="1">
      <c r="A9" s="15" t="inlineStr">
        <is>
          <t>Single sales objective</t>
        </is>
      </c>
      <c r="B9" s="14" t="inlineStr">
        <is>
          <t>Win applicable kiosk/KDS, installation and managed services, and/or DMB scope through a compliant and economically credible response.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U</t>
        </is>
      </c>
      <c r="M9" s="27" t="n">
        <v>20</v>
      </c>
      <c r="N9" s="27">
        <f>IF(L9="Y",M9,0)</f>
        <v/>
      </c>
      <c r="O9" s="27" t="inlineStr">
        <is>
          <t>[Current read - evidence-based, not assumed]</t>
        </is>
      </c>
      <c r="P9" s="27" t="inlineStr">
        <is>
          <t>[Next validating step]</t>
        </is>
      </c>
    </row>
    <row r="10" ht="44" customHeight="1">
      <c r="A10" s="15" t="inlineStr">
        <is>
          <t>Commercial hypothesis</t>
        </is>
      </c>
      <c r="B10" s="14" t="inlineStr">
        <is>
          <t>Store-level pricing, rollout capacity, and integration proof will be pivotal; all response pricing grids are incomplete.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U</t>
        </is>
      </c>
      <c r="M10" s="27" t="n">
        <v>20</v>
      </c>
      <c r="N10" s="27">
        <f>IF(L10="Y",M10,0)</f>
        <v/>
      </c>
      <c r="O10" s="27" t="inlineStr">
        <is>
          <t>[Current read - evidence-based, not assumed]</t>
        </is>
      </c>
      <c r="P10" s="27" t="inlineStr">
        <is>
          <t>[Next validating step]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Current competitive field unverified; historical PAR and NCR reports do not establish RFP bidders.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Competitive RFP</t>
        </is>
      </c>
      <c r="M13" s="27" t="n"/>
      <c r="N13" s="6" t="inlineStr">
        <is>
          <t>Position vs. competition</t>
        </is>
      </c>
      <c r="O13" s="27" t="inlineStr">
        <is>
          <t>Current bidder field and relative position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Active buying event but draft responses and pricing are incomplete, and account teams have not aligned.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Program scope and evaluation weighting unknown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/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Compliant, priced and deployable response across selected scopes</t>
        </is>
      </c>
      <c r="M15" s="27" t="n"/>
      <c r="N15" s="6" t="inlineStr">
        <is>
          <t>Immediate move</t>
        </is>
      </c>
      <c r="O15" s="27" t="inlineStr">
        <is>
          <t>Complete response and align Worldpay relationship intelligence internally.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Brian Bancroft — Subway Procurement / primary RFP contact</t>
        </is>
      </c>
      <c r="B19" s="27" t="inlineStr">
        <is>
          <t>Decision role beyond procurement contact unverified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27" t="inlineStr">
        <is>
          <t>Unknown</t>
        </is>
      </c>
      <c r="G19" s="27" t="inlineStr">
        <is>
          <t>Unknown</t>
        </is>
      </c>
      <c r="H19" s="27" t="inlineStr">
        <is>
          <t>Unknown</t>
        </is>
      </c>
      <c r="I19" s="27" t="inlineStr">
        <is>
          <t>Formal RFP contact; decision authority and evaluation weight unverified.</t>
        </is>
      </c>
      <c r="J19" s="27" t="inlineStr">
        <is>
          <t>Formal RFP channel only</t>
        </is>
      </c>
      <c r="K19" s="27" t="inlineStr">
        <is>
          <t>Confirm evaluation role through permitted procurement Q&amp;A.</t>
        </is>
      </c>
      <c r="L19" s="43" t="n"/>
      <c r="M19" s="43" t="n"/>
      <c r="N19" s="44" t="n"/>
      <c r="O19" s="27" t="inlineStr">
        <is>
          <t>Bid lead Nicholas Hulayew</t>
        </is>
      </c>
      <c r="P19" s="44" t="n"/>
    </row>
    <row r="20" ht="66" customHeight="1">
      <c r="A20" s="27" t="inlineStr">
        <is>
          <t>Amanda Havens — Subway technical and Q&amp;A contact</t>
        </is>
      </c>
      <c r="B20" s="27" t="inlineStr">
        <is>
          <t>Technical evaluation role inferred from event contact designation; actual buying influence unverified</t>
        </is>
      </c>
      <c r="C20" s="27" t="inlineStr">
        <is>
          <t>Unknown</t>
        </is>
      </c>
      <c r="D20" s="27" t="inlineStr">
        <is>
          <t>Unknown</t>
        </is>
      </c>
      <c r="E20" s="27" t="inlineStr">
        <is>
          <t>Unknown</t>
        </is>
      </c>
      <c r="F20" s="27" t="inlineStr">
        <is>
          <t>Unknown</t>
        </is>
      </c>
      <c r="G20" s="27" t="inlineStr">
        <is>
          <t>Unknown</t>
        </is>
      </c>
      <c r="H20" s="27" t="inlineStr">
        <is>
          <t>Unknown</t>
        </is>
      </c>
      <c r="I20" s="27" t="inlineStr">
        <is>
          <t>Formal RFP contact; decision authority and evaluation weight unverified.</t>
        </is>
      </c>
      <c r="J20" s="27" t="inlineStr">
        <is>
          <t>Formal RFP channel only</t>
        </is>
      </c>
      <c r="K20" s="27" t="inlineStr">
        <is>
          <t>Confirm evaluation role through permitted procurement Q&amp;A.</t>
        </is>
      </c>
      <c r="L20" s="43" t="n"/>
      <c r="M20" s="43" t="n"/>
      <c r="N20" s="44" t="n"/>
      <c r="O20" s="27" t="inlineStr">
        <is>
          <t>Bid lead Nicholas Hulayew</t>
        </is>
      </c>
      <c r="P20" s="44" t="n"/>
    </row>
    <row r="21" ht="66" customHeight="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43" t="n"/>
      <c r="M21" s="43" t="n"/>
      <c r="N21" s="44" t="n"/>
      <c r="O21" s="27" t="n"/>
      <c r="P21" s="44" t="n"/>
    </row>
    <row r="22" ht="66" customHeight="1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43" t="n"/>
      <c r="M22" s="43" t="n"/>
      <c r="N22" s="44" t="n"/>
      <c r="O22" s="27" t="n"/>
      <c r="P22" s="44" t="n"/>
    </row>
    <row r="23" ht="66" customHeight="1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43" t="n"/>
      <c r="M23" s="43" t="n"/>
      <c r="N23" s="44" t="n"/>
      <c r="O23" s="27" t="n"/>
      <c r="P23" s="44" t="n"/>
    </row>
    <row r="24" ht="66" customHeight="1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43" t="n"/>
      <c r="M24" s="43" t="n"/>
      <c r="N24" s="44" t="n"/>
      <c r="O24" s="27" t="n"/>
      <c r="P24" s="44" t="n"/>
    </row>
    <row r="25" ht="66" customHeight="1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43" t="n"/>
      <c r="M25" s="43" t="n"/>
      <c r="N25" s="44" t="n"/>
      <c r="O25" s="27" t="n"/>
      <c r="P25" s="44" t="n"/>
    </row>
    <row r="26" ht="66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43" t="n"/>
      <c r="M26" s="43" t="n"/>
      <c r="N26" s="44" t="n"/>
      <c r="O26" s="27" t="n"/>
      <c r="P26" s="44" t="n"/>
    </row>
    <row r="27" ht="66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43" t="n"/>
      <c r="M27" s="43" t="n"/>
      <c r="N27" s="44" t="n"/>
      <c r="O27" s="27" t="n"/>
      <c r="P27" s="44" t="n"/>
    </row>
    <row r="28" ht="66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43" t="n"/>
      <c r="M28" s="43" t="n"/>
      <c r="N28" s="44" t="n"/>
      <c r="O28" s="27" t="n"/>
      <c r="P28" s="44" t="n"/>
    </row>
    <row r="31" ht="15" customHeight="1">
      <c r="A31" s="13" t="inlineStr">
        <is>
          <t>SUMMARY OF MY POSITION TODAY</t>
        </is>
      </c>
      <c r="E31" s="13" t="inlineStr">
        <is>
          <t>POSSIBLE ACTIONS</t>
        </is>
      </c>
      <c r="K31" s="13" t="inlineStr">
        <is>
          <t>BEST ACTION PLAN</t>
        </is>
      </c>
    </row>
    <row r="32" ht="15" customHeight="1">
      <c r="A32" s="29" t="inlineStr">
        <is>
          <t>STRENGTHS</t>
        </is>
      </c>
    </row>
    <row r="33" ht="44" customHeight="1">
      <c r="A33" s="27" t="inlineStr">
        <is>
          <t>Existing stated SPOS-to-Genius KDS API integration in draft response</t>
        </is>
      </c>
      <c r="B33" s="43" t="n"/>
      <c r="C33" s="43" t="n"/>
      <c r="D33" s="44" t="n"/>
      <c r="E33" s="27" t="inlineStr">
        <is>
          <t>Validate and document</t>
        </is>
      </c>
      <c r="F33" s="43" t="n"/>
      <c r="G33" s="43" t="n"/>
      <c r="H33" s="43" t="n"/>
      <c r="I33" s="43" t="n"/>
      <c r="J33" s="44" t="n"/>
      <c r="K33" s="27" t="inlineStr">
        <is>
          <t>Include sourced proof in applicable response</t>
        </is>
      </c>
      <c r="L33" s="43" t="n"/>
      <c r="M33" s="44" t="n"/>
      <c r="N33" s="27" t="inlineStr">
        <is>
          <t>Bid team</t>
        </is>
      </c>
      <c r="O33" s="44" t="n"/>
      <c r="P33" s="27" t="inlineStr">
        <is>
          <t>Before 2026-09-22</t>
        </is>
      </c>
    </row>
    <row r="34" ht="44" customHeight="1">
      <c r="A34" s="27" t="inlineStr">
        <is>
          <t>Global Payments/Genius product and service breadth, subject to requirement validation</t>
        </is>
      </c>
      <c r="B34" s="43" t="n"/>
      <c r="C34" s="43" t="n"/>
      <c r="D34" s="44" t="n"/>
      <c r="E34" s="27" t="inlineStr">
        <is>
          <t>Validate and document</t>
        </is>
      </c>
      <c r="F34" s="43" t="n"/>
      <c r="G34" s="43" t="n"/>
      <c r="H34" s="43" t="n"/>
      <c r="I34" s="43" t="n"/>
      <c r="J34" s="44" t="n"/>
      <c r="K34" s="27" t="inlineStr">
        <is>
          <t>Include sourced proof in applicable response</t>
        </is>
      </c>
      <c r="L34" s="43" t="n"/>
      <c r="M34" s="44" t="n"/>
      <c r="N34" s="27" t="inlineStr">
        <is>
          <t>Bid team</t>
        </is>
      </c>
      <c r="O34" s="44" t="n"/>
      <c r="P34" s="27" t="inlineStr">
        <is>
          <t>Before 2026-09-22</t>
        </is>
      </c>
    </row>
    <row r="35" ht="44" customHeight="1">
      <c r="A35" s="27" t="n"/>
      <c r="B35" s="43" t="n"/>
      <c r="C35" s="43" t="n"/>
      <c r="D35" s="44" t="n"/>
      <c r="E35" s="27" t="n"/>
      <c r="F35" s="43" t="n"/>
      <c r="G35" s="43" t="n"/>
      <c r="H35" s="43" t="n"/>
      <c r="I35" s="43" t="n"/>
      <c r="J35" s="44" t="n"/>
      <c r="K35" s="27" t="n"/>
      <c r="L35" s="43" t="n"/>
      <c r="M35" s="44" t="n"/>
      <c r="N35" s="27" t="n"/>
      <c r="O35" s="44" t="n"/>
      <c r="P35" s="27" t="n"/>
    </row>
    <row r="36" ht="44" customHeight="1">
      <c r="A36" s="27" t="n"/>
      <c r="B36" s="43" t="n"/>
      <c r="C36" s="43" t="n"/>
      <c r="D36" s="44" t="n"/>
      <c r="E36" s="27" t="n"/>
      <c r="F36" s="43" t="n"/>
      <c r="G36" s="43" t="n"/>
      <c r="H36" s="43" t="n"/>
      <c r="I36" s="43" t="n"/>
      <c r="J36" s="44" t="n"/>
      <c r="K36" s="27" t="n"/>
      <c r="L36" s="43" t="n"/>
      <c r="M36" s="44" t="n"/>
      <c r="N36" s="27" t="n"/>
      <c r="O36" s="44" t="n"/>
      <c r="P36" s="27" t="n"/>
    </row>
    <row r="38" ht="15" customHeight="1">
      <c r="A38" s="30" t="inlineStr">
        <is>
          <t>RED FLAGS</t>
        </is>
      </c>
    </row>
    <row r="39" ht="44" customHeight="1">
      <c r="A39" s="27" t="inlineStr">
        <is>
          <t>All three pricing grids incomplete</t>
        </is>
      </c>
      <c r="B39" s="43" t="n"/>
      <c r="C39" s="43" t="n"/>
      <c r="D39" s="44" t="n"/>
      <c r="E39" s="27" t="inlineStr">
        <is>
          <t>Resolve or disclose</t>
        </is>
      </c>
      <c r="F39" s="43" t="n"/>
      <c r="G39" s="43" t="n"/>
      <c r="H39" s="43" t="n"/>
      <c r="I39" s="43" t="n"/>
      <c r="J39" s="44" t="n"/>
      <c r="K39" s="27" t="inlineStr">
        <is>
          <t>Assign owner and close before bid submission</t>
        </is>
      </c>
      <c r="L39" s="43" t="n"/>
      <c r="M39" s="44" t="n"/>
      <c r="N39" s="27" t="inlineStr">
        <is>
          <t>Bid team</t>
        </is>
      </c>
      <c r="O39" s="44" t="n"/>
      <c r="P39" s="27" t="inlineStr">
        <is>
          <t>Before 2026-09-22</t>
        </is>
      </c>
    </row>
    <row r="40" ht="44" customHeight="1">
      <c r="A40" s="27" t="inlineStr">
        <is>
          <t>Kiosk-to-SPOS integration not currently available per draft response</t>
        </is>
      </c>
      <c r="B40" s="43" t="n"/>
      <c r="C40" s="43" t="n"/>
      <c r="D40" s="44" t="n"/>
      <c r="E40" s="27" t="inlineStr">
        <is>
          <t>Resolve or disclose</t>
        </is>
      </c>
      <c r="F40" s="43" t="n"/>
      <c r="G40" s="43" t="n"/>
      <c r="H40" s="43" t="n"/>
      <c r="I40" s="43" t="n"/>
      <c r="J40" s="44" t="n"/>
      <c r="K40" s="27" t="inlineStr">
        <is>
          <t>Assign owner and close before bid submission</t>
        </is>
      </c>
      <c r="L40" s="43" t="n"/>
      <c r="M40" s="44" t="n"/>
      <c r="N40" s="27" t="inlineStr">
        <is>
          <t>Bid team</t>
        </is>
      </c>
      <c r="O40" s="44" t="n"/>
      <c r="P40" s="27" t="inlineStr">
        <is>
          <t>Before 2026-09-22</t>
        </is>
      </c>
    </row>
    <row r="41" ht="44" customHeight="1">
      <c r="A41" s="27" t="inlineStr">
        <is>
          <t>Worldpay relationship not yet integrated into bid posture</t>
        </is>
      </c>
      <c r="B41" s="43" t="n"/>
      <c r="C41" s="43" t="n"/>
      <c r="D41" s="44" t="n"/>
      <c r="E41" s="27" t="inlineStr">
        <is>
          <t>Resolve or disclose</t>
        </is>
      </c>
      <c r="F41" s="43" t="n"/>
      <c r="G41" s="43" t="n"/>
      <c r="H41" s="43" t="n"/>
      <c r="I41" s="43" t="n"/>
      <c r="J41" s="44" t="n"/>
      <c r="K41" s="27" t="inlineStr">
        <is>
          <t>Assign owner and close before bid submission</t>
        </is>
      </c>
      <c r="L41" s="43" t="n"/>
      <c r="M41" s="44" t="n"/>
      <c r="N41" s="27" t="inlineStr">
        <is>
          <t>Bid team</t>
        </is>
      </c>
      <c r="O41" s="44" t="n"/>
      <c r="P41" s="27" t="inlineStr">
        <is>
          <t>Before 2026-09-22</t>
        </is>
      </c>
    </row>
    <row r="42" ht="44" customHeight="1">
      <c r="A42" s="27" t="inlineStr">
        <is>
          <t>2026 rollout planning discrepancy: 25 versus 200 stores</t>
        </is>
      </c>
      <c r="B42" s="43" t="n"/>
      <c r="C42" s="43" t="n"/>
      <c r="D42" s="44" t="n"/>
      <c r="E42" s="27" t="inlineStr">
        <is>
          <t>Resolve or disclose</t>
        </is>
      </c>
      <c r="F42" s="43" t="n"/>
      <c r="G42" s="43" t="n"/>
      <c r="H42" s="43" t="n"/>
      <c r="I42" s="43" t="n"/>
      <c r="J42" s="44" t="n"/>
      <c r="K42" s="27" t="inlineStr">
        <is>
          <t>Assign owner and close before bid submission</t>
        </is>
      </c>
      <c r="L42" s="43" t="n"/>
      <c r="M42" s="44" t="n"/>
      <c r="N42" s="27" t="inlineStr">
        <is>
          <t>Bid team</t>
        </is>
      </c>
      <c r="O42" s="44" t="n"/>
      <c r="P42" s="27" t="inlineStr">
        <is>
          <t>Before 2026-09-22</t>
        </is>
      </c>
    </row>
    <row r="43" ht="44" customHeight="1">
      <c r="A43" s="27" t="inlineStr">
        <is>
          <t>Subway event-contact restrictions create disqualification risk</t>
        </is>
      </c>
      <c r="B43" s="43" t="n"/>
      <c r="C43" s="43" t="n"/>
      <c r="D43" s="44" t="n"/>
      <c r="E43" s="27" t="inlineStr">
        <is>
          <t>Resolve or disclose</t>
        </is>
      </c>
      <c r="F43" s="43" t="n"/>
      <c r="G43" s="43" t="n"/>
      <c r="H43" s="43" t="n"/>
      <c r="I43" s="43" t="n"/>
      <c r="J43" s="44" t="n"/>
      <c r="K43" s="27" t="inlineStr">
        <is>
          <t>Assign owner and close before bid submission</t>
        </is>
      </c>
      <c r="L43" s="43" t="n"/>
      <c r="M43" s="44" t="n"/>
      <c r="N43" s="27" t="inlineStr">
        <is>
          <t>Bid team</t>
        </is>
      </c>
      <c r="O43" s="44" t="n"/>
      <c r="P43" s="27" t="inlineStr">
        <is>
          <t>Before 2026-09-22</t>
        </is>
      </c>
    </row>
  </sheetData>
  <mergeCells count="81">
    <mergeCell ref="A17:P17"/>
    <mergeCell ref="K40:M40"/>
    <mergeCell ref="K31:P31"/>
    <mergeCell ref="K12:P12"/>
    <mergeCell ref="A31:D31"/>
    <mergeCell ref="O26:P26"/>
    <mergeCell ref="K24:N24"/>
    <mergeCell ref="N39:O39"/>
    <mergeCell ref="O25:P25"/>
    <mergeCell ref="K26:N26"/>
    <mergeCell ref="E5:J10"/>
    <mergeCell ref="K4:P4"/>
    <mergeCell ref="A41:D41"/>
    <mergeCell ref="O27:P27"/>
    <mergeCell ref="K34:M34"/>
    <mergeCell ref="N40:O40"/>
    <mergeCell ref="O11:P11"/>
    <mergeCell ref="K36:M36"/>
    <mergeCell ref="A33:D33"/>
    <mergeCell ref="A42:D42"/>
    <mergeCell ref="K11:M11"/>
    <mergeCell ref="N35:O35"/>
    <mergeCell ref="A35:D35"/>
    <mergeCell ref="E34:J34"/>
    <mergeCell ref="B10:D10"/>
    <mergeCell ref="E36:J36"/>
    <mergeCell ref="N42:O42"/>
    <mergeCell ref="B9:D9"/>
    <mergeCell ref="O21:P21"/>
    <mergeCell ref="K21:N21"/>
    <mergeCell ref="A1:P1"/>
    <mergeCell ref="E12:J12"/>
    <mergeCell ref="K33:M33"/>
    <mergeCell ref="K35:M35"/>
    <mergeCell ref="E4:J4"/>
    <mergeCell ref="K27:N27"/>
    <mergeCell ref="B14:D14"/>
    <mergeCell ref="O19:P19"/>
    <mergeCell ref="O28:P28"/>
    <mergeCell ref="E40:J40"/>
    <mergeCell ref="E13:J15"/>
    <mergeCell ref="B13:D13"/>
    <mergeCell ref="N41:O41"/>
    <mergeCell ref="K19:N19"/>
    <mergeCell ref="K28:N28"/>
    <mergeCell ref="N43:O43"/>
    <mergeCell ref="A34:D34"/>
    <mergeCell ref="O20:P20"/>
    <mergeCell ref="A39:D39"/>
    <mergeCell ref="K25:N25"/>
    <mergeCell ref="K39:M39"/>
    <mergeCell ref="N33:O33"/>
    <mergeCell ref="A36:D36"/>
    <mergeCell ref="O22:P22"/>
    <mergeCell ref="A12:D12"/>
    <mergeCell ref="O23:P23"/>
    <mergeCell ref="E39:J39"/>
    <mergeCell ref="A32:D32"/>
    <mergeCell ref="K23:N23"/>
    <mergeCell ref="K41:M41"/>
    <mergeCell ref="A4:D4"/>
    <mergeCell ref="A38:D38"/>
    <mergeCell ref="O24:P24"/>
    <mergeCell ref="E31:J31"/>
    <mergeCell ref="O18:P18"/>
    <mergeCell ref="A43:D43"/>
    <mergeCell ref="K43:M43"/>
    <mergeCell ref="A40:D40"/>
    <mergeCell ref="K18:N18"/>
    <mergeCell ref="K42:M42"/>
    <mergeCell ref="B15:D15"/>
    <mergeCell ref="E41:J41"/>
    <mergeCell ref="K20:N20"/>
    <mergeCell ref="E43:J43"/>
    <mergeCell ref="E33:J33"/>
    <mergeCell ref="K22:N22"/>
    <mergeCell ref="E42:J42"/>
    <mergeCell ref="N34:O34"/>
    <mergeCell ref="E35:J35"/>
    <mergeCell ref="N36:O36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SUBWAY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footprint</t>
        </is>
      </c>
      <c r="B5" s="27" t="inlineStr">
        <is>
          <t>More than 35,000 locations worldwide; RFP planning ceiling up to 5,000 U.S. restaurants.</t>
        </is>
      </c>
      <c r="C5" s="27" t="inlineStr">
        <is>
          <t>Large potential program; rollout and operator economics must be tested.</t>
        </is>
      </c>
      <c r="D5" s="27" t="inlineStr">
        <is>
          <t>High</t>
        </is>
      </c>
      <c r="E5" s="27" t="inlineStr">
        <is>
          <t>2026-09-15</t>
        </is>
      </c>
      <c r="F5" s="27" t="inlineStr"/>
      <c r="G5" s="27" t="inlineStr"/>
      <c r="H5" s="27" t="inlineStr"/>
    </row>
    <row r="6" ht="66" customHeight="1">
      <c r="A6" s="27" t="inlineStr">
        <is>
          <t>worldpay_relationship</t>
        </is>
      </c>
      <c r="B6" s="27" t="inlineStr">
        <is>
          <t>September 15 internal Worldpay call identifies Stacey as Subway relationship manager; team had just learned of RFP and seeks joint alignment.</t>
        </is>
      </c>
      <c r="C6" s="27" t="inlineStr">
        <is>
          <t>Use one internal account posture while respecting RFP contact rules.</t>
        </is>
      </c>
      <c r="D6" s="27" t="inlineStr">
        <is>
          <t>Medium</t>
        </is>
      </c>
      <c r="E6" s="27" t="inlineStr">
        <is>
          <t>2026-09-15</t>
        </is>
      </c>
      <c r="F6" s="27" t="inlineStr"/>
      <c r="G6" s="27" t="inlineStr"/>
      <c r="H6" s="27" t="inlineStr"/>
    </row>
    <row r="7" ht="66" customHeight="1">
      <c r="A7" s="27" t="n"/>
      <c r="B7" s="27" t="n"/>
      <c r="C7" s="27" t="n"/>
      <c r="D7" s="27" t="n"/>
      <c r="E7" s="27" t="n"/>
      <c r="F7" s="27" t="n"/>
      <c r="G7" s="27" t="n"/>
      <c r="H7" s="27" t="n"/>
    </row>
    <row r="8" ht="66" customHeight="1">
      <c r="A8" s="27" t="n"/>
      <c r="B8" s="27" t="n"/>
      <c r="C8" s="27" t="n"/>
      <c r="D8" s="27" t="n"/>
      <c r="E8" s="27" t="n"/>
      <c r="F8" s="27" t="n"/>
      <c r="G8" s="27" t="n"/>
      <c r="H8" s="27" t="n"/>
    </row>
    <row r="9" ht="66" customHeight="1">
      <c r="A9" s="27" t="n"/>
      <c r="B9" s="27" t="n"/>
      <c r="C9" s="27" t="n"/>
      <c r="D9" s="27" t="n"/>
      <c r="E9" s="27" t="n"/>
      <c r="F9" s="27" t="n"/>
      <c r="G9" s="27" t="n"/>
      <c r="H9" s="27" t="n"/>
    </row>
    <row r="10" ht="66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</row>
    <row r="11" ht="66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66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 ht="66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</row>
    <row r="14" ht="66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 ht="66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 ht="66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 ht="66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 ht="66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SUBWAY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POS</t>
        </is>
      </c>
      <c r="B5" s="27" t="inlineStr">
        <is>
          <t>SubwayPOS</t>
        </is>
      </c>
      <c r="C5" s="27" t="inlineStr">
        <is>
          <t>RFP baseline requires SPOS 8.4.428.50 or higher.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Confirmed RFP baseline</t>
        </is>
      </c>
    </row>
    <row r="6" ht="68" customHeight="1">
      <c r="A6" s="27" t="inlineStr">
        <is>
          <t>Payment Manager</t>
        </is>
      </c>
      <c r="B6" s="27" t="inlineStr">
        <is>
          <t>Subway Payment Manager</t>
        </is>
      </c>
      <c r="C6" s="27" t="inlineStr">
        <is>
          <t>RFP baseline requires SPM v9.12.6 or higher.</t>
        </is>
      </c>
      <c r="D6" s="27" t="inlineStr">
        <is>
          <t>high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Confirmed RFP baseline</t>
        </is>
      </c>
    </row>
    <row r="7" ht="68" customHeight="1">
      <c r="A7" s="27" t="inlineStr">
        <is>
          <t>In-store payments</t>
        </is>
      </c>
      <c r="B7" s="27" t="inlineStr">
        <is>
          <t>FreedomPay / Ingenico Lane/3600</t>
        </is>
      </c>
      <c r="C7" s="27" t="inlineStr">
        <is>
          <t>RFP baseline specifies FreedomPay v5.3.8.13 or higher and Lane/3600 pairing.</t>
        </is>
      </c>
      <c r="D7" s="27" t="inlineStr">
        <is>
          <t>high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Confirmed RFP baseline</t>
        </is>
      </c>
    </row>
    <row r="8" ht="68" customHeight="1">
      <c r="A8" s="27" t="inlineStr">
        <is>
          <t>MDM / remote support</t>
        </is>
      </c>
      <c r="B8" s="27" t="inlineStr">
        <is>
          <t>Canopy / Splashtop</t>
        </is>
      </c>
      <c r="C8" s="27" t="inlineStr">
        <is>
          <t>RFP requires Canopy enrollment and Splashtop via Canopy.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 RFP baseline</t>
        </is>
      </c>
    </row>
    <row r="9" ht="68" customHeight="1">
      <c r="A9" s="27" t="inlineStr">
        <is>
          <t>KDS</t>
        </is>
      </c>
      <c r="B9" s="27" t="inlineStr">
        <is>
          <t>Genius</t>
        </is>
      </c>
      <c r="C9" s="27" t="inlineStr">
        <is>
          <t>Draft response states Subway maintains SPOS-to-Genius KDS API integration; deployed count not independently verified.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Reported internal relationship</t>
        </is>
      </c>
    </row>
    <row r="10" ht="68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 ht="68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</row>
    <row r="12" ht="68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</row>
    <row r="13" ht="68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SUBWAY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Internal</t>
        </is>
      </c>
      <c r="B5" s="27" t="inlineStr">
        <is>
          <t>Bid scope and owners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Align Genius and Worldpay bid/account teams, confirm scopes and owners.</t>
        </is>
      </c>
      <c r="I5" s="27" t="inlineStr">
        <is>
          <t>Nicholas Hulayew / Stacey (surname to confirm)</t>
        </is>
      </c>
      <c r="J5" s="27" t="inlineStr">
        <is>
          <t>Before internal draft target 2026-09-18</t>
        </is>
      </c>
      <c r="K5" s="27" t="inlineStr">
        <is>
          <t>Open</t>
        </is>
      </c>
      <c r="L5" s="27" t="inlineStr">
        <is>
          <t>Owner and completion evidence pending</t>
        </is>
      </c>
    </row>
    <row r="6" ht="68" customHeight="1">
      <c r="A6" s="27" t="inlineStr">
        <is>
          <t>Response</t>
        </is>
      </c>
      <c r="B6" s="27" t="inlineStr">
        <is>
          <t>Integration proof</t>
        </is>
      </c>
      <c r="C6" s="27" t="n"/>
      <c r="D6" s="27" t="n"/>
      <c r="E6" s="27" t="n"/>
      <c r="F6" s="27" t="n"/>
      <c r="G6" s="27" t="n"/>
      <c r="H6" s="27" t="inlineStr">
        <is>
          <t>Resolve SPOS kiosk integration, payment pairing, Canopy, Fresh Connect, network and ADA gaps.</t>
        </is>
      </c>
      <c r="I6" s="27" t="inlineStr">
        <is>
          <t>Andy Grindstaff / assigned integration owner</t>
        </is>
      </c>
      <c r="J6" s="27" t="inlineStr">
        <is>
          <t>Before submission 2026-09-22</t>
        </is>
      </c>
      <c r="K6" s="27" t="inlineStr">
        <is>
          <t>Open</t>
        </is>
      </c>
      <c r="L6" s="27" t="inlineStr">
        <is>
          <t>Owner and completion evidence pending</t>
        </is>
      </c>
    </row>
    <row r="7" ht="68" customHeight="1">
      <c r="A7" s="27" t="inlineStr">
        <is>
          <t>Response</t>
        </is>
      </c>
      <c r="B7" s="27" t="inlineStr">
        <is>
          <t>Pricing and capacity</t>
        </is>
      </c>
      <c r="C7" s="27" t="n"/>
      <c r="D7" s="27" t="n"/>
      <c r="E7" s="27" t="n"/>
      <c r="F7" s="27" t="n"/>
      <c r="G7" s="27" t="n"/>
      <c r="H7" s="27" t="inlineStr">
        <is>
          <t>Complete hardware, installation and DMB grids with quantified rollout capacity and per-store economics.</t>
        </is>
      </c>
      <c r="I7" s="27" t="inlineStr">
        <is>
          <t>Commercial lead to assign; pricing workbook owner Michael</t>
        </is>
      </c>
      <c r="J7" s="27" t="inlineStr">
        <is>
          <t>Before submission 2026-09-22</t>
        </is>
      </c>
      <c r="K7" s="27" t="inlineStr">
        <is>
          <t>Open</t>
        </is>
      </c>
      <c r="L7" s="27" t="inlineStr">
        <is>
          <t>Owner and completion evidence pending</t>
        </is>
      </c>
    </row>
    <row r="8" ht="68" customHeight="1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</row>
    <row r="9" ht="68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</row>
    <row r="10" ht="68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</row>
    <row r="11" ht="68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</row>
    <row r="12" ht="68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</row>
    <row r="13" ht="68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68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SUBWAY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RFP planning ceiling</t>
        </is>
      </c>
      <c r="B5" s="27" t="n"/>
      <c r="C5" s="7" t="n">
        <v>5000</v>
      </c>
      <c r="D5" s="27" t="inlineStr">
        <is>
          <t>U.S. restaurants, maximum planned scope</t>
        </is>
      </c>
      <c r="E5" s="27" t="inlineStr">
        <is>
          <t>high</t>
        </is>
      </c>
      <c r="F5" s="27" t="n"/>
      <c r="G5" s="27" t="n"/>
      <c r="H5" s="27" t="inlineStr">
        <is>
          <t>customer-stated planning parameter</t>
        </is>
      </c>
    </row>
    <row r="6" ht="54" customHeight="1">
      <c r="A6" s="27" t="inlineStr">
        <is>
          <t>Kiosk pricing assumption</t>
        </is>
      </c>
      <c r="B6" s="27" t="n"/>
      <c r="C6" s="8" t="n">
        <v>3</v>
      </c>
      <c r="D6" s="27" t="inlineStr">
        <is>
          <t>kiosks per restaurant</t>
        </is>
      </c>
      <c r="E6" s="27" t="inlineStr">
        <is>
          <t>high</t>
        </is>
      </c>
      <c r="F6" s="27" t="n"/>
      <c r="G6" s="27" t="n"/>
      <c r="H6" s="27" t="inlineStr">
        <is>
          <t>customer-stated planning assumption, not guaranteed</t>
        </is>
      </c>
    </row>
    <row r="7" ht="54" customHeight="1">
      <c r="A7" s="27" t="inlineStr">
        <is>
          <t>2025 U.S. average unit sales estimate</t>
        </is>
      </c>
      <c r="B7" s="27" t="n"/>
      <c r="C7" s="7" t="n">
        <v>490000</v>
      </c>
      <c r="D7" s="27" t="inlineStr">
        <is>
          <t>USD per restaurant</t>
        </is>
      </c>
      <c r="E7" s="27" t="inlineStr">
        <is>
          <t>medium</t>
        </is>
      </c>
      <c r="F7" s="27" t="n"/>
      <c r="G7" s="27" t="n"/>
      <c r="H7" s="27" t="inlineStr">
        <is>
          <t>industry estimate</t>
        </is>
      </c>
    </row>
    <row r="8" ht="54" customHeight="1">
      <c r="A8" s="27" t="n"/>
      <c r="B8" s="27" t="n"/>
      <c r="C8" s="7" t="n"/>
      <c r="D8" s="27" t="n"/>
      <c r="E8" s="27" t="n"/>
      <c r="F8" s="27" t="n"/>
      <c r="G8" s="27" t="n"/>
      <c r="H8" s="27" t="n"/>
    </row>
    <row r="9" ht="54" customHeight="1">
      <c r="A9" s="27" t="n"/>
      <c r="B9" s="27" t="n"/>
      <c r="C9" s="7" t="n"/>
      <c r="D9" s="27" t="n"/>
      <c r="E9" s="27" t="n"/>
      <c r="F9" s="27" t="n"/>
      <c r="G9" s="27" t="n"/>
      <c r="H9" s="27" t="n"/>
    </row>
    <row r="10" ht="54" customHeight="1">
      <c r="A10" s="27" t="n"/>
      <c r="B10" s="27" t="n"/>
      <c r="C10" s="7" t="n"/>
      <c r="D10" s="27" t="n"/>
      <c r="E10" s="27" t="n"/>
      <c r="F10" s="27" t="n"/>
      <c r="G10" s="27" t="n"/>
      <c r="H10" s="27" t="n"/>
    </row>
    <row r="11" ht="54" customHeight="1">
      <c r="A11" s="27" t="n"/>
      <c r="B11" s="27" t="n"/>
      <c r="C11" s="7" t="n"/>
      <c r="D11" s="27" t="n"/>
      <c r="E11" s="27" t="n"/>
      <c r="F11" s="27" t="n"/>
      <c r="G11" s="27" t="n"/>
      <c r="H11" s="27" t="n"/>
    </row>
    <row r="12" ht="54" customHeight="1">
      <c r="A12" s="27" t="inlineStr">
        <is>
          <t>Illustrative monthly standalone</t>
        </is>
      </c>
      <c r="B12" s="27" t="inlineStr">
        <is>
          <t>Formula: archetype x standalone price</t>
        </is>
      </c>
      <c r="C12" s="7">
        <f>C11*C8</f>
        <v/>
      </c>
      <c r="D12" s="27" t="inlineStr">
        <is>
          <t>USD / store / month</t>
        </is>
      </c>
      <c r="E12" s="27" t="inlineStr">
        <is>
          <t>N/A</t>
        </is>
      </c>
      <c r="F12" s="27" t="inlineStr">
        <is>
          <t>Simple planning illustration.</t>
        </is>
      </c>
      <c r="G12" s="27" t="inlineStr">
        <is>
          <t>Replace with archetype mix and approved price.</t>
        </is>
      </c>
      <c r="H12" s="27" t="inlineStr">
        <is>
          <t>Calculated</t>
        </is>
      </c>
    </row>
    <row r="13" ht="54" customHeight="1">
      <c r="A13" s="27" t="inlineStr">
        <is>
          <t>Illustrative monthly participation</t>
        </is>
      </c>
      <c r="B13" s="27" t="inlineStr">
        <is>
          <t>Formula: archetype x participation price</t>
        </is>
      </c>
      <c r="C13" s="7">
        <f>C11*C9</f>
        <v/>
      </c>
      <c r="D13" s="27" t="inlineStr">
        <is>
          <t>USD / store / month</t>
        </is>
      </c>
      <c r="E13" s="27" t="inlineStr">
        <is>
          <t>N/A</t>
        </is>
      </c>
      <c r="F13" s="27" t="inlineStr">
        <is>
          <t>Requires qualifying payments participation.</t>
        </is>
      </c>
      <c r="G13" s="27" t="inlineStr">
        <is>
          <t>Replace with approved commercial rules.</t>
        </is>
      </c>
      <c r="H13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SUBWAY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Brian Bancroft — Subway Procurement / primary RFP contact</t>
        </is>
      </c>
      <c r="B10" s="27" t="inlineStr">
        <is>
          <t>Decision role beyond procurement contact unverified</t>
        </is>
      </c>
      <c r="C10" s="27" t="inlineStr">
        <is>
          <t>Unknown</t>
        </is>
      </c>
      <c r="D10" s="27" t="inlineStr">
        <is>
          <t>Unknown</t>
        </is>
      </c>
      <c r="E10" s="27" t="inlineStr">
        <is>
          <t>Unknown</t>
        </is>
      </c>
      <c r="F10" s="43" t="n"/>
      <c r="G10" s="44" t="n"/>
      <c r="H10" s="27" t="inlineStr">
        <is>
          <t>Unknown</t>
        </is>
      </c>
      <c r="I10" s="43" t="n"/>
      <c r="J10" s="44" t="n"/>
      <c r="K10" s="27" t="inlineStr">
        <is>
          <t>Formal RFP channel only</t>
        </is>
      </c>
      <c r="L10" s="27" t="inlineStr">
        <is>
          <t>Confirm evaluation role through permitted procurement Q&amp;A.</t>
        </is>
      </c>
    </row>
    <row r="11" ht="62" customHeight="1">
      <c r="A11" s="27" t="inlineStr">
        <is>
          <t>Amanda Havens — Subway technical and Q&amp;A contact</t>
        </is>
      </c>
      <c r="B11" s="27" t="inlineStr">
        <is>
          <t>Technical evaluation role inferred from event contact designation; actual buying influence unverified</t>
        </is>
      </c>
      <c r="C11" s="27" t="inlineStr">
        <is>
          <t>Unknown</t>
        </is>
      </c>
      <c r="D11" s="27" t="inlineStr">
        <is>
          <t>Unknown</t>
        </is>
      </c>
      <c r="E11" s="27" t="inlineStr">
        <is>
          <t>Unknown</t>
        </is>
      </c>
      <c r="F11" s="43" t="n"/>
      <c r="G11" s="44" t="n"/>
      <c r="H11" s="27" t="inlineStr">
        <is>
          <t>Unknown</t>
        </is>
      </c>
      <c r="I11" s="43" t="n"/>
      <c r="J11" s="44" t="n"/>
      <c r="K11" s="27" t="inlineStr">
        <is>
          <t>Formal RFP channel only</t>
        </is>
      </c>
      <c r="L11" s="27" t="inlineStr">
        <is>
          <t>Confirm evaluation role through permitted procurement Q&amp;A.</t>
        </is>
      </c>
    </row>
    <row r="12" ht="62" customHeight="1">
      <c r="A12" s="27" t="n"/>
      <c r="B12" s="27" t="n"/>
      <c r="C12" s="27" t="n"/>
      <c r="D12" s="27" t="n"/>
      <c r="E12" s="27" t="n"/>
      <c r="F12" s="43" t="n"/>
      <c r="G12" s="44" t="n"/>
      <c r="H12" s="27" t="n"/>
      <c r="I12" s="43" t="n"/>
      <c r="J12" s="44" t="n"/>
      <c r="K12" s="27" t="n"/>
      <c r="L12" s="27" t="n"/>
    </row>
    <row r="13" ht="62" customHeight="1">
      <c r="A13" s="27" t="n"/>
      <c r="B13" s="27" t="n"/>
      <c r="C13" s="27" t="n"/>
      <c r="D13" s="27" t="n"/>
      <c r="E13" s="27" t="n"/>
      <c r="F13" s="43" t="n"/>
      <c r="G13" s="44" t="n"/>
      <c r="H13" s="27" t="n"/>
      <c r="I13" s="43" t="n"/>
      <c r="J13" s="44" t="n"/>
      <c r="K13" s="27" t="n"/>
      <c r="L13" s="27" t="n"/>
    </row>
    <row r="14" ht="62" customHeight="1">
      <c r="A14" s="27" t="n"/>
      <c r="B14" s="27" t="n"/>
      <c r="C14" s="27" t="n"/>
      <c r="D14" s="27" t="n"/>
      <c r="E14" s="27" t="n"/>
      <c r="F14" s="43" t="n"/>
      <c r="G14" s="44" t="n"/>
      <c r="H14" s="27" t="n"/>
      <c r="I14" s="43" t="n"/>
      <c r="J14" s="44" t="n"/>
      <c r="K14" s="27" t="n"/>
      <c r="L14" s="27" t="n"/>
    </row>
    <row r="15" ht="62" customHeight="1">
      <c r="A15" s="27" t="n"/>
      <c r="B15" s="27" t="n"/>
      <c r="C15" s="27" t="n"/>
      <c r="D15" s="27" t="n"/>
      <c r="E15" s="27" t="n"/>
      <c r="F15" s="43" t="n"/>
      <c r="G15" s="44" t="n"/>
      <c r="H15" s="27" t="n"/>
      <c r="I15" s="43" t="n"/>
      <c r="J15" s="44" t="n"/>
      <c r="K15" s="27" t="n"/>
      <c r="L15" s="27" t="n"/>
    </row>
    <row r="16" ht="62" customHeight="1">
      <c r="A16" s="27" t="n"/>
      <c r="B16" s="27" t="n"/>
      <c r="C16" s="27" t="n"/>
      <c r="D16" s="27" t="n"/>
      <c r="E16" s="27" t="n"/>
      <c r="F16" s="43" t="n"/>
      <c r="G16" s="44" t="n"/>
      <c r="H16" s="27" t="n"/>
      <c r="I16" s="43" t="n"/>
      <c r="J16" s="44" t="n"/>
      <c r="K16" s="27" t="n"/>
      <c r="L16" s="27" t="n"/>
    </row>
    <row r="17" ht="62" customHeight="1">
      <c r="A17" s="27" t="n"/>
      <c r="B17" s="27" t="n"/>
      <c r="C17" s="27" t="n"/>
      <c r="D17" s="27" t="n"/>
      <c r="E17" s="27" t="n"/>
      <c r="F17" s="43" t="n"/>
      <c r="G17" s="44" t="n"/>
      <c r="H17" s="27" t="n"/>
      <c r="I17" s="43" t="n"/>
      <c r="J17" s="44" t="n"/>
      <c r="K17" s="27" t="n"/>
      <c r="L17" s="27" t="n"/>
    </row>
    <row r="18" ht="62" customHeight="1">
      <c r="A18" s="27" t="n"/>
      <c r="B18" s="27" t="n"/>
      <c r="C18" s="27" t="n"/>
      <c r="D18" s="27" t="n"/>
      <c r="E18" s="27" t="n"/>
      <c r="F18" s="43" t="n"/>
      <c r="G18" s="44" t="n"/>
      <c r="H18" s="27" t="n"/>
      <c r="I18" s="43" t="n"/>
      <c r="J18" s="44" t="n"/>
      <c r="K18" s="27" t="n"/>
      <c r="L18" s="27" t="n"/>
    </row>
    <row r="19" ht="62" customHeight="1">
      <c r="A19" s="27" t="n"/>
      <c r="B19" s="27" t="n"/>
      <c r="C19" s="27" t="n"/>
      <c r="D19" s="27" t="n"/>
      <c r="E19" s="27" t="n"/>
      <c r="F19" s="43" t="n"/>
      <c r="G19" s="44" t="n"/>
      <c r="H19" s="27" t="n"/>
      <c r="I19" s="43" t="n"/>
      <c r="J19" s="44" t="n"/>
      <c r="K19" s="27" t="n"/>
      <c r="L19" s="27" t="n"/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SUBWAY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Current competitive field unverified; historical PAR and NCR reports do not establish RFP bidders.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Brian Bancroft — Subway Procurement / primary RFP contact</t>
        </is>
      </c>
      <c r="B10" s="27" t="inlineStr">
        <is>
          <t>Decision role beyond procurement contact unverified</t>
        </is>
      </c>
      <c r="C10" s="27" t="inlineStr">
        <is>
          <t>Unknown</t>
        </is>
      </c>
      <c r="D10" s="27" t="inlineStr">
        <is>
          <t>Unknown</t>
        </is>
      </c>
      <c r="E10" s="27" t="inlineStr">
        <is>
          <t>Unknown</t>
        </is>
      </c>
      <c r="F10" s="44" t="n"/>
      <c r="G10" s="27" t="inlineStr">
        <is>
          <t>Unknown</t>
        </is>
      </c>
      <c r="H10" s="27" t="inlineStr">
        <is>
          <t>Formal RFP contact; decision authority and evaluation weight unverified.</t>
        </is>
      </c>
      <c r="I10" s="43" t="n"/>
      <c r="J10" s="44" t="n"/>
      <c r="K10" s="27" t="inlineStr">
        <is>
          <t>Confirm evaluation role through permitted procurement Q&amp;A.</t>
        </is>
      </c>
      <c r="L10" s="44" t="n"/>
    </row>
    <row r="11" ht="62" customHeight="1">
      <c r="A11" s="27" t="inlineStr">
        <is>
          <t>Amanda Havens — Subway technical and Q&amp;A contact</t>
        </is>
      </c>
      <c r="B11" s="27" t="inlineStr">
        <is>
          <t>Technical evaluation role inferred from event contact designation; actual buying influence unverified</t>
        </is>
      </c>
      <c r="C11" s="27" t="inlineStr">
        <is>
          <t>Unknown</t>
        </is>
      </c>
      <c r="D11" s="27" t="inlineStr">
        <is>
          <t>Unknown</t>
        </is>
      </c>
      <c r="E11" s="27" t="inlineStr">
        <is>
          <t>Unknown</t>
        </is>
      </c>
      <c r="F11" s="44" t="n"/>
      <c r="G11" s="27" t="inlineStr">
        <is>
          <t>Unknown</t>
        </is>
      </c>
      <c r="H11" s="27" t="inlineStr">
        <is>
          <t>Formal RFP contact; decision authority and evaluation weight unverified.</t>
        </is>
      </c>
      <c r="I11" s="43" t="n"/>
      <c r="J11" s="44" t="n"/>
      <c r="K11" s="27" t="inlineStr">
        <is>
          <t>Confirm evaluation role through permitted procurement Q&amp;A.</t>
        </is>
      </c>
      <c r="L11" s="44" t="n"/>
    </row>
    <row r="12" ht="62" customHeight="1">
      <c r="A12" s="27" t="n"/>
      <c r="B12" s="27" t="n"/>
      <c r="C12" s="27" t="n"/>
      <c r="D12" s="27" t="n"/>
      <c r="E12" s="27" t="n"/>
      <c r="F12" s="44" t="n"/>
      <c r="G12" s="27" t="n"/>
      <c r="H12" s="27" t="n"/>
      <c r="I12" s="43" t="n"/>
      <c r="J12" s="44" t="n"/>
      <c r="K12" s="27" t="n"/>
      <c r="L12" s="44" t="n"/>
    </row>
    <row r="13" ht="62" customHeight="1">
      <c r="A13" s="27" t="n"/>
      <c r="B13" s="27" t="n"/>
      <c r="C13" s="27" t="n"/>
      <c r="D13" s="27" t="n"/>
      <c r="E13" s="27" t="n"/>
      <c r="F13" s="44" t="n"/>
      <c r="G13" s="27" t="n"/>
      <c r="H13" s="27" t="n"/>
      <c r="I13" s="43" t="n"/>
      <c r="J13" s="44" t="n"/>
      <c r="K13" s="27" t="n"/>
      <c r="L13" s="44" t="n"/>
    </row>
    <row r="14" ht="62" customHeight="1">
      <c r="A14" s="27" t="n"/>
      <c r="B14" s="27" t="n"/>
      <c r="C14" s="27" t="n"/>
      <c r="D14" s="27" t="n"/>
      <c r="E14" s="27" t="n"/>
      <c r="F14" s="44" t="n"/>
      <c r="G14" s="27" t="n"/>
      <c r="H14" s="27" t="n"/>
      <c r="I14" s="43" t="n"/>
      <c r="J14" s="44" t="n"/>
      <c r="K14" s="27" t="n"/>
      <c r="L14" s="44" t="n"/>
    </row>
    <row r="15" ht="62" customHeight="1">
      <c r="A15" s="27" t="n"/>
      <c r="B15" s="27" t="n"/>
      <c r="C15" s="27" t="n"/>
      <c r="D15" s="27" t="n"/>
      <c r="E15" s="27" t="n"/>
      <c r="F15" s="44" t="n"/>
      <c r="G15" s="27" t="n"/>
      <c r="H15" s="27" t="n"/>
      <c r="I15" s="43" t="n"/>
      <c r="J15" s="44" t="n"/>
      <c r="K15" s="27" t="n"/>
      <c r="L15" s="44" t="n"/>
    </row>
    <row r="16" ht="62" customHeight="1">
      <c r="A16" s="27" t="n"/>
      <c r="B16" s="27" t="n"/>
      <c r="C16" s="27" t="n"/>
      <c r="D16" s="27" t="n"/>
      <c r="E16" s="27" t="n"/>
      <c r="F16" s="44" t="n"/>
      <c r="G16" s="27" t="n"/>
      <c r="H16" s="27" t="n"/>
      <c r="I16" s="43" t="n"/>
      <c r="J16" s="44" t="n"/>
      <c r="K16" s="27" t="n"/>
      <c r="L16" s="44" t="n"/>
    </row>
    <row r="17" ht="62" customHeight="1">
      <c r="A17" s="27" t="n"/>
      <c r="B17" s="27" t="n"/>
      <c r="C17" s="27" t="n"/>
      <c r="D17" s="27" t="n"/>
      <c r="E17" s="27" t="n"/>
      <c r="F17" s="44" t="n"/>
      <c r="G17" s="27" t="n"/>
      <c r="H17" s="27" t="n"/>
      <c r="I17" s="43" t="n"/>
      <c r="J17" s="44" t="n"/>
      <c r="K17" s="27" t="n"/>
      <c r="L17" s="44" t="n"/>
    </row>
    <row r="18" ht="62" customHeight="1">
      <c r="A18" s="27" t="n"/>
      <c r="B18" s="27" t="n"/>
      <c r="C18" s="27" t="n"/>
      <c r="D18" s="27" t="n"/>
      <c r="E18" s="27" t="n"/>
      <c r="F18" s="44" t="n"/>
      <c r="G18" s="27" t="n"/>
      <c r="H18" s="27" t="n"/>
      <c r="I18" s="43" t="n"/>
      <c r="J18" s="44" t="n"/>
      <c r="K18" s="27" t="n"/>
      <c r="L18" s="44" t="n"/>
    </row>
    <row r="19" ht="62" customHeight="1">
      <c r="A19" s="27" t="n"/>
      <c r="B19" s="27" t="n"/>
      <c r="C19" s="27" t="n"/>
      <c r="D19" s="27" t="n"/>
      <c r="E19" s="27" t="n"/>
      <c r="F19" s="44" t="n"/>
      <c r="G19" s="27" t="n"/>
      <c r="H19" s="27" t="n"/>
      <c r="I19" s="43" t="n"/>
      <c r="J19" s="44" t="n"/>
      <c r="K19" s="27" t="n"/>
      <c r="L19" s="44" t="n"/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Bid lead Nicholas Hulayew; final account ownership to confirm</t>
        </is>
      </c>
      <c r="C18" s="44" t="n"/>
      <c r="D18" s="6" t="inlineStr">
        <is>
          <t>Last reviewed</t>
        </is>
      </c>
      <c r="E18" s="31" t="n">
        <v>46280</v>
      </c>
      <c r="F18" s="44" t="n"/>
      <c r="G18" s="6" t="inlineStr">
        <is>
          <t>Next formal review</t>
        </is>
      </c>
      <c r="H18" s="27" t="inlineStr">
        <is>
          <t>Before internal September 18 draft target and September 22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Genius RFP team and Worldpay relationship manager Stacey; named roles pending alignment</t>
        </is>
      </c>
      <c r="C19" s="44" t="n"/>
      <c r="D19" s="6" t="inlineStr">
        <is>
          <t>Review status</t>
        </is>
      </c>
      <c r="E19" s="27" t="inlineStr">
        <is>
          <t>RFP active / response build at risk</t>
        </is>
      </c>
      <c r="F19" s="44" t="n"/>
      <c r="G19" s="6" t="inlineStr">
        <is>
          <t>Current critical test</t>
        </is>
      </c>
      <c r="H19" s="27" t="inlineStr">
        <is>
          <t>Can the team deliver compliant, priced kiosk/KDS, installation, and DMB responses that integrate with Subway’s existing stack and can be deployed affordably at scale?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2026-09-15T16:22:47Z</dcterms:modified>
  <cp:lastModifiedBy>Vahlsing, Todd</cp:lastModifiedBy>
</cp:coreProperties>
</file>