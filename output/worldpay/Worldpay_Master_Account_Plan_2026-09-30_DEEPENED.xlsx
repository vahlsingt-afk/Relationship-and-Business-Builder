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toddvahlsing/Documents/Claude/Projects/Relationship &amp; Business Builder/output/worldpay/"/>
    </mc:Choice>
  </mc:AlternateContent>
  <xr:revisionPtr revIDLastSave="0" documentId="13_ncr:1_{183C335B-B931-FB4F-BC95-82D76F0C7488}" xr6:coauthVersionLast="47" xr6:coauthVersionMax="47" xr10:uidLastSave="{00000000-0000-0000-0000-000000000000}"/>
  <bookViews>
    <workbookView xWindow="0" yWindow="660" windowWidth="30240" windowHeight="18980" xr2:uid="{00000000-000D-0000-FFFF-FFFF00000000}"/>
  </bookViews>
  <sheets>
    <sheet name="Executive Summary" sheetId="1" r:id="rId1"/>
    <sheet name="Dashboard" sheetId="2" r:id="rId2"/>
    <sheet name="Added Accounts Overview" sheetId="3" r:id="rId3"/>
    <sheet name="Ranked Portfolio" sheetId="4" r:id="rId4"/>
    <sheet name="Stack Intelligence" sheetId="5" r:id="rId5"/>
    <sheet name="Evidence Ledger" sheetId="6" r:id="rId6"/>
    <sheet name="Conflict Register" sheetId="7" r:id="rId7"/>
    <sheet name="RM Portfolio" sheetId="8" r:id="rId8"/>
    <sheet name="Scoring Model" sheetId="9" r:id="rId9"/>
    <sheet name="Worldpay Source Snapshot" sheetId="10" r:id="rId10"/>
    <sheet name="2026-08-14 Change Log" sheetId="11" r:id="rId1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4" l="1"/>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C5" i="1" s="1"/>
  <c r="F19" i="2"/>
  <c r="F18" i="2"/>
  <c r="F17" i="2"/>
  <c r="F16" i="2"/>
  <c r="F15" i="2"/>
  <c r="F14" i="2"/>
  <c r="C14" i="2"/>
  <c r="F13" i="2"/>
  <c r="C13" i="2"/>
  <c r="F12" i="2"/>
  <c r="C12" i="2"/>
  <c r="K8" i="2"/>
  <c r="H8" i="2"/>
  <c r="E8" i="2"/>
  <c r="B8" i="2"/>
  <c r="K5" i="2"/>
  <c r="H5" i="2"/>
  <c r="B5" i="2"/>
  <c r="G5" i="1"/>
  <c r="E5" i="1"/>
  <c r="A5" i="1"/>
  <c r="E5" i="2" l="1"/>
  <c r="F2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A18" authorId="0" shapeId="0" xr:uid="{00000000-0006-0000-0000-000001000000}">
      <text>
        <r>
          <rPr>
            <sz val="11"/>
            <rFont val="Carlito"/>
          </rPr>
          <t>Sources: NCR Voyix July 2025 BWW renewal; RBB ecosystem intelligence 2026-09-30; GoTo Foods 2025 development materials; FAT Brands June 2025 Fazoli’s release.</t>
        </r>
      </text>
    </comment>
  </commentList>
</comments>
</file>

<file path=xl/sharedStrings.xml><?xml version="1.0" encoding="utf-8"?>
<sst xmlns="http://schemas.openxmlformats.org/spreadsheetml/2006/main" count="5219" uniqueCount="1376">
  <si>
    <t>Worldpay Master Account Plan — Executive Overview</t>
  </si>
  <si>
    <t>Updated 2026-09-30 | Prepared for the WP BackBook ICP Review</t>
  </si>
  <si>
    <t>Portfolio accounts</t>
  </si>
  <si>
    <t>Previously scored</t>
  </si>
  <si>
    <t>Supplemental additions</t>
  </si>
  <si>
    <t>Meeting-focus additions</t>
  </si>
  <si>
    <t>Meeting objective</t>
  </si>
  <si>
    <t>Agree which supplemental accounts belong in the enterprise ICP, assign an owner/RM path, and separate corporate chain opportunities from single-franchise or local merchant records.</t>
  </si>
  <si>
    <t>What changed</t>
  </si>
  <si>
    <t>The plan now accommodates 115 accounts: the original 30 scored opportunities plus 85 supplemental Worldpay backbook accounts. The supplemental rows now distinguish brand footprint from the exact WP merchant/entity footprint, use normalized operating segments, and explicitly flag Worldpay relationship ownership as unconfirmed until the WP team names an owner.</t>
  </si>
  <si>
    <t>Priority added-account themes</t>
  </si>
  <si>
    <t>1) Scale: Buffalo Wild Wings and Culver’s are the clearest large-system additions. 2) Portfolio leverage: McAlister’s, Moe’s, Jamba and Carvel sit within GoTo Foods. 3) Regional scale: Ruby Tuesday, Logan’s Roadhouse, Fazoli’s, Sarku Japan, Chuy’s and Tijuana Flats warrant qualification. 4) Long tail: many LLC/franchisee records require entity and buying-authority validation before pursuit.</t>
  </si>
  <si>
    <t>Competitive / technology read</t>
  </si>
  <si>
    <t>Buffalo Wild Wings renewed NCR Voyix for POS in July 2025, so near-term POS displacement should not be assumed. Culver’s is recorded in RBB with PAR Brink. Fazoli’s has a PAR/Olo/Punchh stack on file. GoTo Foods brands should be coordinated as a platform-level motion rather than four unrelated cold pursuits.</t>
  </si>
  <si>
    <t>Decisions needed today</t>
  </si>
  <si>
    <t>• For every supplemental row, name the Worldpay relationship owner—even if that person is not the formal RM.
• Confirm the merchant/legal entity and whether WP coverage is enterprise, franchisee, or single-site.
• Validate location scope before using brand-wide counts for legal entities or numbered stores.
• Select 5–10 accounts for full discovery; keep unresolved merchant records in qualification.
• Confirm how attrition and dyssynergy flags should affect pursuit.</t>
  </si>
  <si>
    <t>Research discipline</t>
  </si>
  <si>
    <t>“Meeting focus” is a research-priority label, not a forecast or approved opportunity score. Facts are sourced from the Worldpay workbook, RBB ecosystem intelligence and cited public sources. Unknown buying events, contract dates and account ownership remain explicit qualification gaps.</t>
  </si>
  <si>
    <t>Worldpay Portfolio Dashboard</t>
  </si>
  <si>
    <t>115-account portfolio | scored opportunities plus supplemental qualification targets</t>
  </si>
  <si>
    <t>Total accounts</t>
  </si>
  <si>
    <t>Scored portfolio</t>
  </si>
  <si>
    <t>Supplemental</t>
  </si>
  <si>
    <t>A-priority additions</t>
  </si>
  <si>
    <t>WP owner confirmed</t>
  </si>
  <si>
    <t>Public footprints refreshed</t>
  </si>
  <si>
    <t>Needs WP owner</t>
  </si>
  <si>
    <t>Entity/site records</t>
  </si>
  <si>
    <t>Added-account meeting priority</t>
  </si>
  <si>
    <t>Added accounts by segment</t>
  </si>
  <si>
    <t>A — Meeting focus</t>
  </si>
  <si>
    <t>Coffee</t>
  </si>
  <si>
    <t>B — Qualify</t>
  </si>
  <si>
    <t>Burger</t>
  </si>
  <si>
    <t>C — Validate / deprioritize</t>
  </si>
  <si>
    <t>Mexican</t>
  </si>
  <si>
    <t>Sandwich</t>
  </si>
  <si>
    <t>Family Dining</t>
  </si>
  <si>
    <t>Full-Service Dining</t>
  </si>
  <si>
    <t>Pizza</t>
  </si>
  <si>
    <t>Dessert</t>
  </si>
  <si>
    <t>Other</t>
  </si>
  <si>
    <t>Brand footprint and WP merchant footprint are separate fields. No supplemental account should be treated as owned until Worldpay names the relationship owner and confirms enterprise vs. franchisee/site scope.</t>
  </si>
  <si>
    <t>Worldpay Supplemental Accounts — Meeting Overview</t>
  </si>
  <si>
    <t>Prepared 2026-09-30 for WP BackBook ICP Review. Priority is research/meeting triage, not an approved sales score.</t>
  </si>
  <si>
    <t>Meeting Priority</t>
  </si>
  <si>
    <t>Account</t>
  </si>
  <si>
    <t>Source Relevance</t>
  </si>
  <si>
    <t>Sub-segment</t>
  </si>
  <si>
    <t>Technomic Rank</t>
  </si>
  <si>
    <t>Approx. Units</t>
  </si>
  <si>
    <t>Parent / Platform</t>
  </si>
  <si>
    <t>Research Summary</t>
  </si>
  <si>
    <t>Known Technology</t>
  </si>
  <si>
    <t>Worldpay Posture</t>
  </si>
  <si>
    <t>Recommended Next Action</t>
  </si>
  <si>
    <t>Research Status</t>
  </si>
  <si>
    <t>Source References</t>
  </si>
  <si>
    <t>Account Type</t>
  </si>
  <si>
    <t>Location Scope</t>
  </si>
  <si>
    <t>Location Confidence</t>
  </si>
  <si>
    <t>WP Relationship Owner</t>
  </si>
  <si>
    <t>Internal Clarification Needed</t>
  </si>
  <si>
    <t>Buffalo Wild Wings</t>
  </si>
  <si>
    <t>Yes</t>
  </si>
  <si>
    <t>Inspire Brands</t>
  </si>
  <si>
    <t>Technomic rank 28; ~1,323 units. Family Dining account from Worldpay backbook. Platform/owner: Inspire Brands.</t>
  </si>
  <si>
    <t>POS: NCR Voyix partnership renewed July 2025; kds_kitchen_ops: Jolt</t>
  </si>
  <si>
    <t>Source-marked synergy fit</t>
  </si>
  <si>
    <t>Confirm Worldpay RM, processing scope and renewal dates; map enterprise technology owner and POS/payments decision window.</t>
  </si>
  <si>
    <t>Meeting-ready</t>
  </si>
  <si>
    <t>RBB ecosystem intelligence, 2026-09-30 | https://www.ncrvoyix.com/newsroom/buffalo-wild-wings-renews-partnership-with-ncr-voyix-as-partner-for-pos-platform</t>
  </si>
  <si>
    <t>Brand / chain</t>
  </si>
  <si>
    <t>Brand/system footprint from existing RBB research</t>
  </si>
  <si>
    <t>Medium</t>
  </si>
  <si>
    <t>Unconfirmed — ask Worldpay</t>
  </si>
  <si>
    <t>Who at Worldpay owns this relationship, what merchant IDs/legal entities are in scope, and is coverage enterprise, franchisee, or a single site?</t>
  </si>
  <si>
    <t>Culver'S</t>
  </si>
  <si>
    <t>Culver Franchising System</t>
  </si>
  <si>
    <t>Technomic rank 29; ~997 units. Burger account from Worldpay backbook. Platform/owner: Culver Franchising System.</t>
  </si>
  <si>
    <t>POS: PAR Technology (Brink); POS Hardware: PAR; kds_kitchen_ops: Jolt</t>
  </si>
  <si>
    <t>Source-marked synergy fit; WP dyssynergy flag present</t>
  </si>
  <si>
    <t>RBB ecosystem intelligence, 2026-09-30 | https://www.culvers.com/stories/signature-stories/culvers-locations-by-state</t>
  </si>
  <si>
    <t>Mcalisters Deli</t>
  </si>
  <si>
    <t>GoTo Foods</t>
  </si>
  <si>
    <t>Technomic rank 59; ~560 units. Sandwich account from Worldpay backbook. Platform/owner: GoTo Foods.</t>
  </si>
  <si>
    <t>Loyalty: PAR Technology (Punchh)</t>
  </si>
  <si>
    <t>RBB ecosystem intelligence, 2026-09-30 | https://development.gotofoods.com/wp-content/uploads/2025/03/GTF_Digital_IncentiveBrochure2025.pdf</t>
  </si>
  <si>
    <t>Moes Southwest Grill</t>
  </si>
  <si>
    <t>Technomic rank 78; ~596 units. Mexican account from Worldpay backbook. Platform/owner: GoTo Foods.</t>
  </si>
  <si>
    <t>Loyalty: PAR Technology (Punchh); kiosks: Nextep Systems</t>
  </si>
  <si>
    <t>Chuy'S</t>
  </si>
  <si>
    <t>Casual Dining — Mexican</t>
  </si>
  <si>
    <t>Technomic rank 110; ~104 units. Mexican account from Worldpay backbook.</t>
  </si>
  <si>
    <t>Back Office: PAR Technology (Data Central)</t>
  </si>
  <si>
    <t>RBB ecosystem intelligence, 2026-09-30</t>
  </si>
  <si>
    <t>Ruby Tuesday</t>
  </si>
  <si>
    <t>Casual Dining</t>
  </si>
  <si>
    <t>Technomic rank 159; ~212 units. Full-Service Dining account from Worldpay backbook.</t>
  </si>
  <si>
    <t>No non-Worldpay technology verified</t>
  </si>
  <si>
    <t>RBB ecosystem intelligence, 2026-09-30 | https://www.rubytuesday.com/locations/</t>
  </si>
  <si>
    <t>Fazolis</t>
  </si>
  <si>
    <t>Fast Casual — Italian</t>
  </si>
  <si>
    <t>FAT Brands</t>
  </si>
  <si>
    <t>Technomic rank 165; ~196 units. Family Dining account from Worldpay backbook. Platform/owner: FAT Brands.</t>
  </si>
  <si>
    <t>Online Ordering: Olo — Olo (historical scoped evidence); POS: PAR Technology (Brink); POS Hardware: PAR Technology (Hardware / Break Fix); Loyalty: PAR Technology (Punchh); drive_thru_ai: ConverseNow</t>
  </si>
  <si>
    <t>RBB ecosystem intelligence, 2026-09-30 | https://ir.fatbrands.com/news/news-details/2025/Fazolis-Debuts-First-International-Location-in-Canada/default.aspx</t>
  </si>
  <si>
    <t>La Madeleine</t>
  </si>
  <si>
    <t>Fast Casual — Bakery Café</t>
  </si>
  <si>
    <t>Technomic rank 213; ~91 units. Full-Service Dining account from Worldpay backbook.</t>
  </si>
  <si>
    <t>Online Ordering: Olo</t>
  </si>
  <si>
    <t>Sarku Japan</t>
  </si>
  <si>
    <t>Fast Casual — Asian</t>
  </si>
  <si>
    <t>Technomic rank 261; ~137 units. Asian account from Worldpay backbook.</t>
  </si>
  <si>
    <t>Ben &amp; Jerry'S</t>
  </si>
  <si>
    <t>Technomic rank 363; ~148 units. Dessert account from Worldpay backbook.</t>
  </si>
  <si>
    <t>Honey Dew Donuts</t>
  </si>
  <si>
    <t>Coffee / Bakery</t>
  </si>
  <si>
    <t>Technomic rank 577; ~108 units. Coffee account from Worldpay backbook.</t>
  </si>
  <si>
    <t>American Blue Ribbon Holdings</t>
  </si>
  <si>
    <t>Restaurant Group / Platform</t>
  </si>
  <si>
    <t>Multi-brand operator</t>
  </si>
  <si>
    <t>Scale not yet verified. Family Dining account from Worldpay backbook. Platform/owner: Multi-brand operator.</t>
  </si>
  <si>
    <t>Partial</t>
  </si>
  <si>
    <t>Restaurant group / platform</t>
  </si>
  <si>
    <t>WP merchant/entity footprint—not safe to infer from brand</t>
  </si>
  <si>
    <t>Needs WP confirmation</t>
  </si>
  <si>
    <t>Aurify Brands, Llc</t>
  </si>
  <si>
    <t>Scale not yet verified. Foodservice account from Worldpay backbook. Platform/owner: Multi-brand operator.</t>
  </si>
  <si>
    <t>Caribou Coffee #1243</t>
  </si>
  <si>
    <t>Coffee &amp; Beverage</t>
  </si>
  <si>
    <t>JAB beverage platform</t>
  </si>
  <si>
    <t>Public footprint refreshed 2026-09-30; distinguish brand footprint from the exact WP merchant/entity scope.</t>
  </si>
  <si>
    <t>Public footprint refreshed; WP ownership open</t>
  </si>
  <si>
    <t>RBB ecosystem intelligence, 2026-09-30 | https://www.cariboucoffee.com/about-us/</t>
  </si>
  <si>
    <t>Legal entity / franchisee / site record</t>
  </si>
  <si>
    <t>Global brand footprint; WP row may be one merchant/site</t>
  </si>
  <si>
    <t>Carvel</t>
  </si>
  <si>
    <t>Dessert / Ice Cream</t>
  </si>
  <si>
    <t>RBB ecosystem intelligence, 2026-09-30 | https://development.gotofoods.com/wp-content/uploads/2025/03/GTF_Digital_IncentiveBrochure2025.pdf | https://locations.carvel.com/</t>
  </si>
  <si>
    <t>U.S. brand footprint</t>
  </si>
  <si>
    <t>High</t>
  </si>
  <si>
    <t>Coffee Bean &amp; Tea Leaf Ma</t>
  </si>
  <si>
    <t>Jollibee Foods Corporation</t>
  </si>
  <si>
    <t>RBB ecosystem intelligence, 2026-09-30 | https://www.coffeebean.com/store/index.html</t>
  </si>
  <si>
    <t>Jamba Juice</t>
  </si>
  <si>
    <t>Juice / Smoothie</t>
  </si>
  <si>
    <t>RBB ecosystem intelligence, 2026-09-30 | https://development.gotofoods.com/wp-content/uploads/2025/03/GTF_Digital_IncentiveBrochure2025.pdf | https://locations.jamba.com/</t>
  </si>
  <si>
    <t>Peet'S Coffee &amp; Tea</t>
  </si>
  <si>
    <t>JDE Peet's / JAB</t>
  </si>
  <si>
    <t>Scale not yet verified. Coffee account from Worldpay backbook. Platform/owner: JDE Peet's / JAB.</t>
  </si>
  <si>
    <t>Brand footprint not yet verified</t>
  </si>
  <si>
    <t>Needs research</t>
  </si>
  <si>
    <t>Shoneys</t>
  </si>
  <si>
    <t>Technomic rank 383; ~57 units. Family Dining account from Worldpay backbook.</t>
  </si>
  <si>
    <t>Validate corporate scale, buying authority, current POS/payments stack and whether the Worldpay relationship is enterprise or franchise-level.</t>
  </si>
  <si>
    <t>Fuddruckers</t>
  </si>
  <si>
    <t>Fast Casual — Burger</t>
  </si>
  <si>
    <t>Technomic rank 505; ~52 units. Burger account from Worldpay backbook.</t>
  </si>
  <si>
    <t>back_office_operations: Crunchtime</t>
  </si>
  <si>
    <t>Gold Star Chili</t>
  </si>
  <si>
    <t>QSR — Chili / Sandwich</t>
  </si>
  <si>
    <t>Technomic rank 517; ~59 units. Burger account from Worldpay backbook.</t>
  </si>
  <si>
    <t>POS: PAR Technology (Brink); pos: PAR Technology</t>
  </si>
  <si>
    <t>Scramblers</t>
  </si>
  <si>
    <t>Family Dining / Breakfast</t>
  </si>
  <si>
    <t>Technomic rank 985; ~28 units. Family Dining account from Worldpay backbook.</t>
  </si>
  <si>
    <t>Bennigan'S</t>
  </si>
  <si>
    <t>Technomic rank 1399; ~6 units. Full-Service Dining account from Worldpay backbook.</t>
  </si>
  <si>
    <t>Tom &amp; Chee</t>
  </si>
  <si>
    <t>Fast Casual — Sandwich</t>
  </si>
  <si>
    <t>Technomic rank 1499; ~7 units. Sandwich account from Worldpay backbook.</t>
  </si>
  <si>
    <t>Avi Foodsystems</t>
  </si>
  <si>
    <t>Contract Foodservice</t>
  </si>
  <si>
    <t>Scale not yet verified. Foodservice account from Worldpay backbook.</t>
  </si>
  <si>
    <t>Chateau Restaurant</t>
  </si>
  <si>
    <t>Casual Dining — Italian</t>
  </si>
  <si>
    <t>Scale not yet verified. Full-Service Dining account from Worldpay backbook.</t>
  </si>
  <si>
    <t>Cocula Restaurant</t>
  </si>
  <si>
    <t>Scale not yet verified. Mexican account from Worldpay backbook.</t>
  </si>
  <si>
    <t>Creole Cuisine Restaurant</t>
  </si>
  <si>
    <t>Cyclone Anaya</t>
  </si>
  <si>
    <t>David'S Pizza</t>
  </si>
  <si>
    <t>Scale not yet verified. Pizza account from Worldpay backbook.</t>
  </si>
  <si>
    <t>Dibella'S</t>
  </si>
  <si>
    <t>Scale not yet verified. Sandwich account from Worldpay backbook.</t>
  </si>
  <si>
    <t>Entity validation needed</t>
  </si>
  <si>
    <t>Famous Dave'S Bbq</t>
  </si>
  <si>
    <t>Casual Dining — Barbecue</t>
  </si>
  <si>
    <t>Scale not yet verified. Barbecue account from Worldpay backbook.</t>
  </si>
  <si>
    <t>Frischs</t>
  </si>
  <si>
    <t>Family Dining / Burger</t>
  </si>
  <si>
    <t>Scale not yet verified. Family Dining account from Worldpay backbook.</t>
  </si>
  <si>
    <t>Hungry Howies</t>
  </si>
  <si>
    <t>RBB ecosystem intelligence, 2026-09-30 | https://hungryhowies.com/about-us</t>
  </si>
  <si>
    <t>Approximate U.S. brand footprint</t>
  </si>
  <si>
    <t>Hwy 55 Burgers Shakes &amp; F</t>
  </si>
  <si>
    <t>Scale not yet verified. Burger account from Worldpay backbook.</t>
  </si>
  <si>
    <t>Jake N Joes</t>
  </si>
  <si>
    <t>Casual Dining — Sports Bar</t>
  </si>
  <si>
    <t>Jeff Ruby</t>
  </si>
  <si>
    <t>Fine Dining — Steakhouse</t>
  </si>
  <si>
    <t>Scale not yet verified. Steakhouse account from Worldpay backbook.</t>
  </si>
  <si>
    <t>Latrelle'S Galley Lp</t>
  </si>
  <si>
    <t>Airport / Contract Foodservice</t>
  </si>
  <si>
    <t>Luby'S Restaurants</t>
  </si>
  <si>
    <t>Cafeteria / Family Dining</t>
  </si>
  <si>
    <t>Lunchdrop</t>
  </si>
  <si>
    <t>Corporate Catering / Marketplace</t>
  </si>
  <si>
    <t>Mark'S Feed Store</t>
  </si>
  <si>
    <t>Orange Leaf</t>
  </si>
  <si>
    <t>Dessert / Frozen Yogurt</t>
  </si>
  <si>
    <t>Scale not yet verified. Dessert account from Worldpay backbook.</t>
  </si>
  <si>
    <t>Sam Choy'S</t>
  </si>
  <si>
    <t>Casual Dining — Hawaiian</t>
  </si>
  <si>
    <t>Siren Retail Corporation</t>
  </si>
  <si>
    <t>Scale not yet verified. Coffee account from Worldpay backbook.</t>
  </si>
  <si>
    <t>Tibby New Orleans Kitchen</t>
  </si>
  <si>
    <t>Casual Dining — Cajun / Creole</t>
  </si>
  <si>
    <t>Uno'S</t>
  </si>
  <si>
    <t>Casual Dining — Pizza</t>
  </si>
  <si>
    <t>RBB ecosystem intelligence, 2026-09-30 | https://unos.com/about/</t>
  </si>
  <si>
    <t>Global brand footprint</t>
  </si>
  <si>
    <t>Yum Yum Donuts</t>
  </si>
  <si>
    <t>Bakery / Dessert</t>
  </si>
  <si>
    <t>Logan'S Roadhouse</t>
  </si>
  <si>
    <t>No</t>
  </si>
  <si>
    <t>Casual Dining — Steakhouse</t>
  </si>
  <si>
    <t>Technomic rank 132; ~125 units. Family Dining account from Worldpay backbook.</t>
  </si>
  <si>
    <t>Source marked not relevant</t>
  </si>
  <si>
    <t>Confirm entity identity and central buying authority before investing pursuit time; park if this is a single-location merchant.</t>
  </si>
  <si>
    <t>RBB ecosystem intelligence, 2026-09-30 | https://logansroadhouse.com/locations/us/</t>
  </si>
  <si>
    <t>Tijuana Flats</t>
  </si>
  <si>
    <t>Fast Casual — Mexican</t>
  </si>
  <si>
    <t>Technomic rank 311; ~91 units. Mexican account from Worldpay backbook.</t>
  </si>
  <si>
    <t>Source marked not relevant; WP attrition: Attrition; WP dyssynergy flag present</t>
  </si>
  <si>
    <t>Boston Market</t>
  </si>
  <si>
    <t>QSR — Chicken</t>
  </si>
  <si>
    <t>Technomic rank 758; ~16 units. Chicken account from Worldpay backbook.</t>
  </si>
  <si>
    <t>Oyster House</t>
  </si>
  <si>
    <t>Technomic rank 1328; ~6 units. Full-Service Dining account from Worldpay backbook.</t>
  </si>
  <si>
    <t>Amanda'S Fonda</t>
  </si>
  <si>
    <t>Broadway On Deck Llc</t>
  </si>
  <si>
    <t>Merchant / Legal Entity</t>
  </si>
  <si>
    <t>Bruegger'S Enterprises In</t>
  </si>
  <si>
    <t>Bakery / Breakfast</t>
  </si>
  <si>
    <t>RBB ecosystem intelligence, 2026-09-30 | https://www.brueggers.com/wp-content/uploads/2024/06/BB-ESG-Report-2023.pdf</t>
  </si>
  <si>
    <t>Brand footprint; reported Oct. 2023</t>
  </si>
  <si>
    <t>Bun Two Llc / Cinnabon</t>
  </si>
  <si>
    <t>Franchisee — Bakery / Dessert</t>
  </si>
  <si>
    <t>D&amp;C Foods Inc #5</t>
  </si>
  <si>
    <t>Merchant / Franchisee Entity</t>
  </si>
  <si>
    <t>Down The Hatch</t>
  </si>
  <si>
    <t>Casual Dining / Bar</t>
  </si>
  <si>
    <t>Fontana Subway Sandwiches</t>
  </si>
  <si>
    <t>Franchisee — Sandwich</t>
  </si>
  <si>
    <t>Forward Subway</t>
  </si>
  <si>
    <t>Friendly Ice Cream #7776</t>
  </si>
  <si>
    <t>Family Dining / Dessert</t>
  </si>
  <si>
    <t>Gibsons Llc</t>
  </si>
  <si>
    <t>Houlihan'S Restaurants Inc</t>
  </si>
  <si>
    <t>International Coffee &amp; Tea Llc</t>
  </si>
  <si>
    <t>J&amp;B Restaurant Partner Of</t>
  </si>
  <si>
    <t>Jb'S On The Beach</t>
  </si>
  <si>
    <t>Jy5, Inc</t>
  </si>
  <si>
    <t>Kj Endeavors, Llc</t>
  </si>
  <si>
    <t>La Carreta Group Inc</t>
  </si>
  <si>
    <t>Restaurant Group / Franchisee</t>
  </si>
  <si>
    <t>Langhorne, Pa #727, Llc</t>
  </si>
  <si>
    <t>Logan Dining Llc</t>
  </si>
  <si>
    <t>Marlton Restaurant, Llc</t>
  </si>
  <si>
    <t>Michael Nelson Enterprise</t>
  </si>
  <si>
    <t>Ms Roosevelt Field, Llc</t>
  </si>
  <si>
    <t>Mall / Licensed Location</t>
  </si>
  <si>
    <t>Scale not yet verified. Shopping Mall account from Worldpay backbook.</t>
  </si>
  <si>
    <t>Norsan Restaurants Inc</t>
  </si>
  <si>
    <t>Source marked not relevant; WP attrition: Attrition</t>
  </si>
  <si>
    <t>Off The Wagon</t>
  </si>
  <si>
    <t>Robek S #289</t>
  </si>
  <si>
    <t>Franchisee — Juice / Smoothie</t>
  </si>
  <si>
    <t>Sc 10024, Llc</t>
  </si>
  <si>
    <t>Smashburger #1567</t>
  </si>
  <si>
    <t>Franchisee — Burger</t>
  </si>
  <si>
    <t>Subway Tryan</t>
  </si>
  <si>
    <t>Ted'S Montana Grill, Inc.</t>
  </si>
  <si>
    <t>Ten Star Enterprises #9</t>
  </si>
  <si>
    <t>The Gin Mill</t>
  </si>
  <si>
    <t>The Stumble Inn</t>
  </si>
  <si>
    <t>Winghouse</t>
  </si>
  <si>
    <t>Scale not yet verified. Chicken account from Worldpay backbook.</t>
  </si>
  <si>
    <t>Source-marked synergy fit; WP attrition: SMB</t>
  </si>
  <si>
    <t>Wow Bao Llc</t>
  </si>
  <si>
    <t>Scale not yet verified. Asian account from Worldpay backbook.</t>
  </si>
  <si>
    <t>Ranked Worldpay Opportunity Portfolio — 2026-09-04 Master Plan</t>
  </si>
  <si>
    <t>Existing scored accounts preserved. 85 supplemental Worldpay ABM targets appended unranked on 2026-09-28 pending qualification.</t>
  </si>
  <si>
    <t>Rank</t>
  </si>
  <si>
    <t>Priority</t>
  </si>
  <si>
    <t>RM</t>
  </si>
  <si>
    <t>Tier</t>
  </si>
  <si>
    <t>Locations</t>
  </si>
  <si>
    <t>Score</t>
  </si>
  <si>
    <t>Strategic Value</t>
  </si>
  <si>
    <t>Active Trigger</t>
  </si>
  <si>
    <t>Access</t>
  </si>
  <si>
    <t>Lifecycle</t>
  </si>
  <si>
    <t>Deployment Health</t>
  </si>
  <si>
    <t>Whitespace</t>
  </si>
  <si>
    <t>Coordination</t>
  </si>
  <si>
    <t>Trigger / Current State</t>
  </si>
  <si>
    <t>Lifecycle Posture</t>
  </si>
  <si>
    <t>Health</t>
  </si>
  <si>
    <t>Opportunity Type</t>
  </si>
  <si>
    <t>Immediate Next Action</t>
  </si>
  <si>
    <t>Key Vendors</t>
  </si>
  <si>
    <t>Field Intelligence</t>
  </si>
  <si>
    <t>Evidence Confidence</t>
  </si>
  <si>
    <t>Region</t>
  </si>
  <si>
    <t>Geo</t>
  </si>
  <si>
    <t>Relevant to synergy</t>
  </si>
  <si>
    <t>Dyssynergy with WP</t>
  </si>
  <si>
    <t>WP Attrition</t>
  </si>
  <si>
    <t>WP Rep</t>
  </si>
  <si>
    <t>WP Products Used</t>
  </si>
  <si>
    <t>Genius Rep</t>
  </si>
  <si>
    <t>GP Products Used</t>
  </si>
  <si>
    <t>Supplemental Source</t>
  </si>
  <si>
    <t>P1</t>
  </si>
  <si>
    <t>DEL TACO LLC</t>
  </si>
  <si>
    <t>Maggie Lenhart</t>
  </si>
  <si>
    <t>Tier 2</t>
  </si>
  <si>
    <t>Worldpay extension active; Yadav acquisition creates a verified ownership-change window; sourcing event unconfirmed</t>
  </si>
  <si>
    <t>Aging NCR estate; post-acquisition multi-brand governance</t>
  </si>
  <si>
    <t>Active relationship; technology and synergy timing to verify</t>
  </si>
  <si>
    <t>POS/payments + multi-brand consolidation</t>
  </si>
  <si>
    <t>Complete the extension, consolidate all GP leads, map Yadav technology governance and confirm any sourcing or vendor-consolidation event.</t>
  </si>
  <si>
    <t>NCR; NCR Connected Payments; Olo; Olo Pay; Bite</t>
  </si>
  <si>
    <t>Yadav Enterprises completed the acquisition in Dec. 2025. Direct CIO access and the extension remain strong; cost/stack review is a hypothesis pending customer confirmation.</t>
  </si>
  <si>
    <t>High RM intelligence + verified ownership event</t>
  </si>
  <si>
    <t>FIVE GUYS</t>
  </si>
  <si>
    <t>Avery Churchwell</t>
  </si>
  <si>
    <t>Tier 1</t>
  </si>
  <si>
    <t>MJ Worsham remains the key influential contact. Multiple uncoordinated Genius outreach attempts have created account-ownership friction; MJ and Zerick were invited to the FSTEC happy hour but had not responded as of the September 4 Avery call. No formal RFI/RFP is confirmed.</t>
  </si>
  <si>
    <t>Mature U.S. PAR estate; global support gaps and modularity hypothesis</t>
  </si>
  <si>
    <t>No verified failure; renewal dates and evaluation type require confirmation</t>
  </si>
  <si>
    <t>Pre-RFP shaping + transaction-metered POS feasibility</t>
  </si>
  <si>
    <t>Centralize all Five Guys outreach through Todd and Avery; avoid generic prospecting. Use FSTEC only for a relationship-first conversation, validate whether MJ still engages former PAR account manager Chad Kaisel, and confirm PAR term, evaluation type, sponsor, scope and global gaps before presenting any commercial model.</t>
  </si>
  <si>
    <t>PAR Brink; NCR (EMEA); CrunchTime; Olo; Worldpay/Global Payments; Verifone; LineTen</t>
  </si>
  <si>
    <t>Avery reported that her merchant questioned why multiple Genius people were contacting Five Guys without her knowledge. She emphasized that introductions should flow through the relationship owner. MJ is resistant to consolidating multiple lines of business with one vendor and will require a compelling reason to engage. Todd is internally exploring a capped per-card-swipe technology funding model, but it is not approved or customer-presented.</t>
  </si>
  <si>
    <t>High RM intelligence dated 2026-09-04 / buying event, dates and commercial model remain unconfirmed</t>
  </si>
  <si>
    <t>Focus Brands (GoTo Foods)</t>
  </si>
  <si>
    <t>Brian Wood</t>
  </si>
  <si>
    <t>Qu established; DMB relationship development and defense against Qu Pay/platform expansion</t>
  </si>
  <si>
    <t>Deploying since 2024</t>
  </si>
  <si>
    <t>Schedule risk reported</t>
  </si>
  <si>
    <t>DMB-led adjacency + payments defense</t>
  </si>
  <si>
    <t>Map DMB/CMS and buying center; quantify uncovered adjacencies and defend payments without positioning a near-term POS displacement.</t>
  </si>
  <si>
    <t>Qu; FreedomPay; Olo; Monkey Media</t>
  </si>
  <si>
    <t>Qu remains established. Treat PAR/Qu-style platform consolidation and native-payments attachment as the competitive pattern to counter.</t>
  </si>
  <si>
    <t>High RM intelligence + public evidence</t>
  </si>
  <si>
    <t>SUBWAY</t>
  </si>
  <si>
    <t>Stacie Davis</t>
  </si>
  <si>
    <t>Proprietary POS; internal report indicates a global Genius KDS deployment, replacing the prior DMB assumption</t>
  </si>
  <si>
    <t>Fragmented global/franchise estate; existing Genius relationship requires verification</t>
  </si>
  <si>
    <t>Product, site coverage, ownership and commitments unresolved</t>
  </si>
  <si>
    <t>Existing Genius KDS scope verification + relationship map</t>
  </si>
  <si>
    <t>Confirm the Genius product owner, KDS sites, deployment status, commitments and customer sponsor before proposing any additional adjacency.</t>
  </si>
  <si>
    <t>Proprietary; FreedomPay; Ingenico; Genius KDS (reported internally, unverified)</t>
  </si>
  <si>
    <t>Ryan Hildebrand described proprietary POS plus a global Genius KDS deployment. Reconcile that internal view with prior DMB reporting.</t>
  </si>
  <si>
    <t>High internal intelligence / exact scope unresolved</t>
  </si>
  <si>
    <t>P2</t>
  </si>
  <si>
    <t>THE STEAK N SHAKE CO</t>
  </si>
  <si>
    <t>Kiosk transition and NCR reporting integration problems</t>
  </si>
  <si>
    <t>Transitioning adjacent stack</t>
  </si>
  <si>
    <t>Current implementation pain</t>
  </si>
  <si>
    <t>Kiosk integration recovery + digital adjacency</t>
  </si>
  <si>
    <t>Name the kiosk vendor and owners; document certification, NCR reporting and mobile-app issues with dated remediation milestones.</t>
  </si>
  <si>
    <t>NCR; NCR Connected Payments; QikServe; Olo; NovaDine</t>
  </si>
  <si>
    <t>Maggie reports a difficult kiosk-vendor transition and integration/reporting issues with NCR.</t>
  </si>
  <si>
    <t>High RM intelligence</t>
  </si>
  <si>
    <t>CHOICE HOTELS</t>
  </si>
  <si>
    <t>Gateway/acquiring RFP was active in July; current stage and deadlines now require refresh</t>
  </si>
  <si>
    <t>Deconverting</t>
  </si>
  <si>
    <t>Shift4 performance concern reported</t>
  </si>
  <si>
    <t>Payments win-back + hospitality adjacency</t>
  </si>
  <si>
    <t>Confirm whether the RFP remains active, current stage, decision dates, retained Worldpay estate, sponsor and restaurant/DMB scope.</t>
  </si>
  <si>
    <t>Shift4</t>
  </si>
  <si>
    <t>Brian and Brendan report an active RFP, remaining Worldpay locations and a possible full win-back.</t>
  </si>
  <si>
    <t>High RM intelligence / status aging</t>
  </si>
  <si>
    <t>RDS FIVE-UNIT REBRAND PILOT</t>
  </si>
  <si>
    <t>RDS / Darren Heinze</t>
  </si>
  <si>
    <t>Channel pilot</t>
  </si>
  <si>
    <t>Five former Taco Cabana locations are rebranding and evaluating a clean-slate stack and digital menu boards</t>
  </si>
  <si>
    <t>Clean-slate conversion; opening and conversion dates unconfirmed</t>
  </si>
  <si>
    <t>High channel access; commercial, support and account-protection model not yet defined</t>
  </si>
  <si>
    <t>RDS-led Genius pilot and reseller proof</t>
  </si>
  <si>
    <t>Confirm entity/concept, authority, dates, budget and incumbent contracts; define scope, economics, support, success metrics and case-study rights before Genius World.</t>
  </si>
  <si>
    <t>To be determined: Genius POS/payments; DMB; drive-thru; loyalty; back office; hardware</t>
  </si>
  <si>
    <t>RDS is authorized to resell Genius but lacks implementation experience. The pilot can create channel proof before any larger protected-account motion.</t>
  </si>
  <si>
    <t>High field confidence / customer facts require documentation</t>
  </si>
  <si>
    <t>POLLO CAMPERO</t>
  </si>
  <si>
    <t>Unassigned / Worldpay</t>
  </si>
  <si>
    <t>Emerging strategic</t>
  </si>
  <si>
    <t>Potential RFI and DMB dissatisfaction; Oracle migration and referral status require immediate qualification</t>
  </si>
  <si>
    <t>Mixed NCR/Oracle estate; international platform decision may be underway</t>
  </si>
  <si>
    <t>Decision openness, scope, deadlines and sponsor unconfirmed</t>
  </si>
  <si>
    <t>RFI qualification + international platform/payments/DMB</t>
  </si>
  <si>
    <t>Obtain NDA/RFI, confirm sponsor and deadlines, separate the stalled referral from the procurement stream, and apply country-by-country bid/no-bid gates.</t>
  </si>
  <si>
    <t>Oracle Simphony; NCR Aloha; Fiserv; Olo Pay/Stripe; Valutec; DMB incumbent unverified</t>
  </si>
  <si>
    <t>Split estate, reported $200M+ card volume and international footprint create strategic fit, but the Oracle decision may already be advanced.</t>
  </si>
  <si>
    <t>Strong internal brief / customer procurement not confirmed</t>
  </si>
  <si>
    <t>P3</t>
  </si>
  <si>
    <t>EAT'N PARK HOSPITALITY GRP INC</t>
  </si>
  <si>
    <t>Multi-concept conversion noted by Worldpay</t>
  </si>
  <si>
    <t>Mixed / transitioning</t>
  </si>
  <si>
    <t>Unknown</t>
  </si>
  <si>
    <t>Consolidation and payments</t>
  </si>
  <si>
    <t>Separate stacks by concept and validate Oracle/FreedomPay/Tillster/Olo/Nextep ownership.</t>
  </si>
  <si>
    <t>Oracle Simphony; FreedomPay; Tillster; Olo; Nextep</t>
  </si>
  <si>
    <t>Internal baseline only</t>
  </si>
  <si>
    <t>FREDDY'S FROZEN CUSTARD LLC</t>
  </si>
  <si>
    <t>Protected RDS account with no verified displacement event. Avery invited Freddy's contacts to the FSTEC happy hour but had received no response as of September 4.</t>
  </si>
  <si>
    <t>Established PAR via RDS; protected channel relationship</t>
  </si>
  <si>
    <t>No verified displacement event; RDS has deep operational and CFO access</t>
  </si>
  <si>
    <t>RDS-led value review and modular watchlist</t>
  </si>
  <si>
    <t>Keep all activity RDS-led. Confirm whether RDS connected with Ryan after Genius World, identify any FSTEC attendance, and wait for a customer-defined business problem before advancing a value case.</t>
  </si>
  <si>
    <t>PAR Brink via RDS; Olo Pay; Creative Realities DMB; Neon entry reported, unverified</t>
  </si>
  <si>
    <t>Avery and Todd agreed that RDS is the strongest coordinated route into Freddy's. Todd had previously discussed Genius with RDS at the Freddy's show; an RDS contact attended Genius World, but follow-through with Ryan still needed confirmation.</t>
  </si>
  <si>
    <t>High RM/channel intelligence dated 2026-09-04 / no active customer buying trigger verified</t>
  </si>
  <si>
    <t>PAPA JOHN'S USA, INC.</t>
  </si>
  <si>
    <t>PAR POS + OPS implementation begins in 2026; rollout through 2027; Linux-build dependency reported but unverified</t>
  </si>
  <si>
    <t>Newly selected / deploying</t>
  </si>
  <si>
    <t>PAR reports milestones on track; watch implementation and technical dependencies</t>
  </si>
  <si>
    <t>DMB adjacency + implementation-risk watch</t>
  </si>
  <si>
    <t>Map DMB and adjacent owners; monitor implementation milestones and validate the reported Linux-build dependency without positioning POS displacement.</t>
  </si>
  <si>
    <t>PAR POS; PAR OPS; legacy Mainstreet Monetra; Ingenico</t>
  </si>
  <si>
    <t>PAR publicly reports development progress and implementation later in 2026. The Linux requirement is confidential field intelligence requiring technical validation.</t>
  </si>
  <si>
    <t>High public evidence + unverified technical-risk lead</t>
  </si>
  <si>
    <t>CRACKER BARREL OLD COUNTRY STORE, INC.</t>
  </si>
  <si>
    <t>Oracle Simphony rollout continuing in 2026</t>
  </si>
  <si>
    <t>Deploying / transition</t>
  </si>
  <si>
    <t>Early field adoption signals; verify</t>
  </si>
  <si>
    <t>Adjacent stack and deployment support</t>
  </si>
  <si>
    <t>Confirm rollout completion, FreedomPay scope, operational issues and remaining adjacent gaps.</t>
  </si>
  <si>
    <t>Oracle Simphony; FreedomPay; Olo</t>
  </si>
  <si>
    <t>Mixed / see ledger</t>
  </si>
  <si>
    <t>MILLLER'S ALE HOUSE</t>
  </si>
  <si>
    <t>Digital payments moved direct to Olo</t>
  </si>
  <si>
    <t>Established POS; recent digital payment change</t>
  </si>
  <si>
    <t>In-store POS/payments and guest experience</t>
  </si>
  <si>
    <t>Confirm lost scope, NCR renewal, Ziosk footprint and remaining payments opportunity.</t>
  </si>
  <si>
    <t>NCR; Ziosk; Olo Pay</t>
  </si>
  <si>
    <t>LAROSA'S INC</t>
  </si>
  <si>
    <t>Possible EMV modernization gap</t>
  </si>
  <si>
    <t>Mature / niche POS</t>
  </si>
  <si>
    <t>EMV, payments and enterprise modernization</t>
  </si>
  <si>
    <t>Validate POS.Cloud contract, non-EMV exposure, franchise scope and replacement appetite.</t>
  </si>
  <si>
    <t>Point of Sale.Cloud; Mainstreet Monetra; triPOS</t>
  </si>
  <si>
    <t>CHURCHS CHICKEN 558</t>
  </si>
  <si>
    <t>Qu vs Oracle decision not officially communicated to Worldpay</t>
  </si>
  <si>
    <t>Established</t>
  </si>
  <si>
    <t>Decision believed to favor Qu; verify</t>
  </si>
  <si>
    <t>DMB/drive-thru adjacency after POS verification</t>
  </si>
  <si>
    <t>Use Maggie to confirm the final POS decision and current payments integration before positioning an adjacency.</t>
  </si>
  <si>
    <t>Qu; Aurus; Olo; Bite</t>
  </si>
  <si>
    <t>Maggie reports Qu is assumed but not officially confirmed; leadership changes delayed clarity.</t>
  </si>
  <si>
    <t>High RM intelligence / unresolved</t>
  </si>
  <si>
    <t>GOLDEN CORRAL</t>
  </si>
  <si>
    <t>No dated public trigger found</t>
  </si>
  <si>
    <t>Established / date unknown</t>
  </si>
  <si>
    <t>Franchise payments + adjacent discovery</t>
  </si>
  <si>
    <t>Verify Qu start date, Aurus/Olo scopes, franchise penetration and contract dates.</t>
  </si>
  <si>
    <t>Qu; Aurus; Olo</t>
  </si>
  <si>
    <t>Red Robin</t>
  </si>
  <si>
    <t>Avery sees signs that Red Robin may be in a better operating position and considers it a renewed prospecting possibility; no customer-confirmed buying event was disclosed.</t>
  </si>
  <si>
    <t>Mature mixed stack</t>
  </si>
  <si>
    <t>Customer pressure; limited capital</t>
  </si>
  <si>
    <t>Pay-at-table replacement + payment savings</t>
  </si>
  <si>
    <t>Validate the improved-business-condition signal with current public results and direct RM knowledge, then confirm NCR term, Ziosk dissatisfaction, decision ownership and whether a pay-at-table/payment-savings discussion is timely.</t>
  </si>
  <si>
    <t>NCR Aloha; Ziosk; Olo; Monkey Media</t>
  </si>
  <si>
    <t>On September 4 Avery said recent reading suggested Red Robin was in a better spot and should be reconsidered as a possibility. This is a directional RM assessment, not a confirmed customer initiative.</t>
  </si>
  <si>
    <t>Medium RM assessment dated 2026-09-04 / customer trigger unverified</t>
  </si>
  <si>
    <t>BOB EVANS RESTAURANTS, LLC</t>
  </si>
  <si>
    <t>No dated primary-source trigger verified</t>
  </si>
  <si>
    <t>Established NCR estate</t>
  </si>
  <si>
    <t>Aging POS and adjacent modernization</t>
  </si>
  <si>
    <t>Confirm earliest Aloha deployment/renewal and Connected Payments term.</t>
  </si>
  <si>
    <t>NCR Aloha; NCR Connected Payments</t>
  </si>
  <si>
    <t>GRAETERS</t>
  </si>
  <si>
    <t>Product segmentation clarified</t>
  </si>
  <si>
    <t>PAR non-enterprise deployment</t>
  </si>
  <si>
    <t>No adverse signal</t>
  </si>
  <si>
    <t>Enterprise upgrade or adjacent stack</t>
  </si>
  <si>
    <t>Confirm PAR product/SKU, reseller, site coverage and enterprise gaps; test migration economics without misclassifying current state.</t>
  </si>
  <si>
    <t>PAR Brink (non-enterprise); Olo</t>
  </si>
  <si>
    <t>Graeter's is a PAR customer but not PAR Enterprise.</t>
  </si>
  <si>
    <t>STARBUCKS CORPORATION</t>
  </si>
  <si>
    <t>Only partial Worldpay volume reported</t>
  </si>
  <si>
    <t>Proprietary / mature</t>
  </si>
  <si>
    <t>Payments share expansion and hardware</t>
  </si>
  <si>
    <t>Quantify the 20% Worldpay footprint, renewal dates, licensed-store scope and Verifone lifecycle.</t>
  </si>
  <si>
    <t>Proprietary/VF PWC; Verifone</t>
  </si>
  <si>
    <t>LITTLE CAESARS ENTERPRISE INC</t>
  </si>
  <si>
    <t>Relationship is active enough for technical-support interaction, but commercial follow-up is stalled: Avery reported three open items and no response to repeated emails for roughly a week and a half.</t>
  </si>
  <si>
    <t>Proprietary / entrenched</t>
  </si>
  <si>
    <t>Payments, DMB, franchise and data adjacency</t>
  </si>
  <si>
    <t>Use the existing technical-support interaction to re-establish responsiveness, consolidate the three outstanding requests into one owner/action list, and map CaesarVision, payments renewal, DMB and franchise exceptions without leading with generic POS displacement.</t>
  </si>
  <si>
    <t>CaesarVision; Verifone; Mashgin</t>
  </si>
  <si>
    <t>Avery reported three items awaiting follow-up and no response to emails for approximately 1.5 weeks, despite participating in a technical-support call with the account earlier that week.</t>
  </si>
  <si>
    <t>High RM interaction evidence dated 2026-09-04 / commercial trigger unverified</t>
  </si>
  <si>
    <t>BLACK BEAR DINER</t>
  </si>
  <si>
    <t>Transitioned toward Toast; Olo catering evidence</t>
  </si>
  <si>
    <t>Recently changed / deploying</t>
  </si>
  <si>
    <t>Retain payments + adjacent gaps</t>
  </si>
  <si>
    <t>Confirm Toast deployment scope and whether Worldpay became unmanaged; map Olo modules and remaining corporate/franchise gaps.</t>
  </si>
  <si>
    <t>Toast; Olo</t>
  </si>
  <si>
    <t>DOMINO'S PIZZA</t>
  </si>
  <si>
    <t>Proprietary estate; no open trigger verified</t>
  </si>
  <si>
    <t>Payments, hardware and franchise adjacency</t>
  </si>
  <si>
    <t>Confirm ACI/Cybersource tenure, processor split and franchise technology control.</t>
  </si>
  <si>
    <t>Proprietary; ACI/Cybersource; Ingenico</t>
  </si>
  <si>
    <t>FIREHOUSE RESTAURANT</t>
  </si>
  <si>
    <t>Toast relationship appears strategic</t>
  </si>
  <si>
    <t>Established / strategic</t>
  </si>
  <si>
    <t>Franchise payments and adjacent whitespace</t>
  </si>
  <si>
    <t>Confirm Toast modules and RBI governance; focus only on uncovered layers/franchise exceptions.</t>
  </si>
  <si>
    <t>Toast; eGiftify</t>
  </si>
  <si>
    <t>BOYNE USA INC</t>
  </si>
  <si>
    <t>No trigger verified</t>
  </si>
  <si>
    <t>Established mixed hospitality stack</t>
  </si>
  <si>
    <t>Resort commerce consolidation</t>
  </si>
  <si>
    <t>Map Agilysys, RTP, Mashgin and Flaik by venue/property; confirm renewal dates.</t>
  </si>
  <si>
    <t>Agilysys; RTP; FreedomPay; Mashgin; Flaik</t>
  </si>
  <si>
    <t>SLIM CHICKENS</t>
  </si>
  <si>
    <t>Worldpay remains renewed through the reported three-year term. A Slim Chickens contact told Avery she plans to attend the FSTEC happy hour; RDS remains the required channel path.</t>
  </si>
  <si>
    <t>Established and expanding digital</t>
  </si>
  <si>
    <t>Payments retained; Olo remains entrenched</t>
  </si>
  <si>
    <t>RDS-led relationship map; no active displacement trigger</t>
  </si>
  <si>
    <t>Avery to connect the attending Slim Chickens contact with Todd and the onsite Genius team for FSTEC; coordinate all follow-up with RDS and use the meeting to validate stakeholders and customer-defined modular needs, not to force a displacement pitch.</t>
  </si>
  <si>
    <t>PAR Brink; Olo Ordering/Dispatch/Rails/Switchboard/Sync</t>
  </si>
  <si>
    <t>Avery has a Slim Chickens contact expected at the FSTEC happy hour and will provide Genius attendee contact information because she will be in Europe. Todd is already working through RDS, which both parties agreed is the best joint route into Slim Chickens and Freddy's.</t>
  </si>
  <si>
    <t>High RM/channel intelligence dated 2026-09-04</t>
  </si>
  <si>
    <t>Barbara B Mann PAH</t>
  </si>
  <si>
    <t>Venue commerce discovery</t>
  </si>
  <si>
    <t>Resolve legal entity/venue scope and validate Cybersource/ecommerce footprint.</t>
  </si>
  <si>
    <t>Cybersource</t>
  </si>
  <si>
    <t>STATION CASINO</t>
  </si>
  <si>
    <t>Established hospitality stack</t>
  </si>
  <si>
    <t>Venue payments and commerce adjacency</t>
  </si>
  <si>
    <t>Validate Agilysys/FreedomPay contract dates and venue expansion plans.</t>
  </si>
  <si>
    <t>Agilysys; FreedomPay; OnDemand</t>
  </si>
  <si>
    <t>LATRELLES MANAGEMENT CORP (Bullritos)</t>
  </si>
  <si>
    <t>Established NCR</t>
  </si>
  <si>
    <t>Mid-market POS/payments modernization</t>
  </si>
  <si>
    <t>Validate current estate and buying authority.</t>
  </si>
  <si>
    <t>FESTIVA REAL ESTATE HOLDINGS</t>
  </si>
  <si>
    <t>Formerly linked to Choice; no active trigger</t>
  </si>
  <si>
    <t>Established / unclear</t>
  </si>
  <si>
    <t>Payments discovery</t>
  </si>
  <si>
    <t>Resolve entity relationship and current payment estate before pursuit.</t>
  </si>
  <si>
    <t>Shift4 and others</t>
  </si>
  <si>
    <t>Unranked</t>
  </si>
  <si>
    <t>Added from Worldpay ABM backbook; no verified active buying event. Technomic rank 28; ~1,323 units. Family Dining account from Worldpay backbook. Platform/owner: Inspire Brands.</t>
  </si>
  <si>
    <t>Worldpay relationship reported; incumbent technology lifecycle not yet verified.</t>
  </si>
  <si>
    <t>Qualification required</t>
  </si>
  <si>
    <t>Enterprise cross-sell / platform qualification</t>
  </si>
  <si>
    <t>Meeting-ready; Worldpay source list + RBB ecosystem research</t>
  </si>
  <si>
    <t>US DIRECT</t>
  </si>
  <si>
    <t>US</t>
  </si>
  <si>
    <t>ABM WP Target Account List.xlsx — ABM Target Accounts</t>
  </si>
  <si>
    <t>Added from Worldpay ABM backbook; no verified active buying event. Scale not yet verified. Coffee account from Worldpay backbook. Platform/owner: Jollibee Foods Corporation.</t>
  </si>
  <si>
    <t>ABM WP Target Account List.xlsx — ABM Target Accounts | https://www.coffeebean.com/store/index.html</t>
  </si>
  <si>
    <t>Added from Worldpay ABM backbook; no verified active buying event.</t>
  </si>
  <si>
    <t>Entity validation before pursuit</t>
  </si>
  <si>
    <t>Partial; Worldpay source list + RBB ecosystem research</t>
  </si>
  <si>
    <t>Added from Worldpay ABM backbook; no verified active buying event. Technomic rank 29; ~997 units. Burger account from Worldpay backbook. Platform/owner: Culver Franchising System.</t>
  </si>
  <si>
    <t>N</t>
  </si>
  <si>
    <t>Added from Worldpay ABM backbook; no verified active buying event. Scale not yet verified. Coffee account from Worldpay backbook. Platform/owner: JAB beverage platform.</t>
  </si>
  <si>
    <t>ABM WP Target Account List.xlsx — ABM Target Accounts | https://www.cariboucoffee.com/about-us/</t>
  </si>
  <si>
    <t>Added from Worldpay ABM backbook; no verified active buying event. Scale not yet verified. Coffee account from Worldpay backbook. Platform/owner: GoTo Foods.</t>
  </si>
  <si>
    <t>ABM WP Target Account List.xlsx — ABM Target Accounts | https://locations.jamba.com/</t>
  </si>
  <si>
    <t>Added from Worldpay ABM backbook; no verified active buying event. Technomic rank 78; ~596 units. Mexican account from Worldpay backbook. Platform/owner: GoTo Foods.</t>
  </si>
  <si>
    <t>Added from Worldpay ABM backbook; no verified active buying event. Scale not yet verified. Family Dining account from Worldpay backbook. Platform/owner: Multi-brand operator.</t>
  </si>
  <si>
    <t>Added from Worldpay ABM backbook; no verified active buying event. Technomic rank 363; ~148 units. Dessert account from Worldpay backbook.</t>
  </si>
  <si>
    <t>Added from Worldpay ABM backbook; no verified active buying event. Technomic rank 59; ~560 units. Sandwich account from Worldpay backbook. Platform/owner: GoTo Foods.</t>
  </si>
  <si>
    <t>Qualification / relationship mapping</t>
  </si>
  <si>
    <t>ABM WP Target Account List.xlsx — ABM Target Accounts | https://hungryhowies.com/about-us</t>
  </si>
  <si>
    <t>Added from Worldpay ABM backbook; no verified active buying event. Scale not yet verified. Foodservice account from Worldpay backbook. Platform/owner: Multi-brand operator.</t>
  </si>
  <si>
    <t>Added from Worldpay ABM backbook; no verified active buying event. Scale not yet verified. Coffee account from Worldpay backbook. Platform/owner: JDE Peet's / JAB.</t>
  </si>
  <si>
    <t>Attrition</t>
  </si>
  <si>
    <t>Added from Worldpay ABM backbook; no verified active buying event. Scale not yet verified. Dessert account from Worldpay backbook. Platform/owner: GoTo Foods.</t>
  </si>
  <si>
    <t>ABM WP Target Account List.xlsx — ABM Target Accounts | https://locations.carvel.com/</t>
  </si>
  <si>
    <t>Added from Worldpay ABM backbook; no verified active buying event. Technomic rank 261; ~137 units. Asian account from Worldpay backbook.</t>
  </si>
  <si>
    <t>Added from Worldpay ABM backbook; no verified active buying event. Technomic rank 165; ~196 units. Family Dining account from Worldpay backbook. Platform/owner: FAT Brands.</t>
  </si>
  <si>
    <t>Added from Worldpay ABM backbook; no verified active buying event. Technomic rank 159; ~212 units. Full-Service Dining account from Worldpay backbook.</t>
  </si>
  <si>
    <t>Entity validation needed; Worldpay source list + RBB ecosystem research</t>
  </si>
  <si>
    <t>ABM WP Target Account List.xlsx — ABM Target Accounts | https://www.brueggers.com/wp-content/uploads/2024/06/BB-ESG-Report-2023.pdf</t>
  </si>
  <si>
    <t>Added from Worldpay ABM backbook; no verified active buying event. Technomic rank 577; ~108 units. Coffee account from Worldpay backbook.</t>
  </si>
  <si>
    <t>Added from Worldpay ABM backbook; no verified active buying event. Technomic rank 110; ~104 units. Mexican account from Worldpay backbook.</t>
  </si>
  <si>
    <t>Added from Worldpay ABM backbook; no verified active buying event. Technomic rank 213; ~91 units. Full-Service Dining account from Worldpay backbook.</t>
  </si>
  <si>
    <t>ABM WP Target Account List.xlsx — ABM Target Accounts | https://unos.com/about/</t>
  </si>
  <si>
    <t>SMB</t>
  </si>
  <si>
    <t>Technology Stack Intelligence — 2026-08-14</t>
  </si>
  <si>
    <t>Vendor names are separated from verified deployment status. 'Unknown' means not yet verified, not whitespace.</t>
  </si>
  <si>
    <t>POS</t>
  </si>
  <si>
    <t>Payments / Gateway</t>
  </si>
  <si>
    <t>Digital / Ordering</t>
  </si>
  <si>
    <t>Loyalty / CRM</t>
  </si>
  <si>
    <t>Back Office / Labor / Inventory</t>
  </si>
  <si>
    <t>Kiosk / DMB</t>
  </si>
  <si>
    <t>KDS / Kitchen</t>
  </si>
  <si>
    <t>Drive-Thru</t>
  </si>
  <si>
    <t>Hardware</t>
  </si>
  <si>
    <t>Known Layers</t>
  </si>
  <si>
    <t>Unknown Layers</t>
  </si>
  <si>
    <t>Coverage %</t>
  </si>
  <si>
    <t>Primary Opportunity</t>
  </si>
  <si>
    <t>Next Verification</t>
  </si>
  <si>
    <t>WENDY'S INTERNATIONAL INC</t>
  </si>
  <si>
    <t>NCR Aloha</t>
  </si>
  <si>
    <t>ACI</t>
  </si>
  <si>
    <t>Ingenico, Variable</t>
  </si>
  <si>
    <t>Active decision / final stage</t>
  </si>
  <si>
    <t>POS + payments platform capture</t>
  </si>
  <si>
    <t>War-room the decision: confirm owner, evaluation criteria, final meeting, commercials, product scope, franchise rollout and competitive gaps.</t>
  </si>
  <si>
    <t>NCR</t>
  </si>
  <si>
    <t>NCR Connected Payments</t>
  </si>
  <si>
    <t>OLO corporate</t>
  </si>
  <si>
    <t>Bite (Express)</t>
  </si>
  <si>
    <t>Worldpay extension; Yadav ownership-change integration window</t>
  </si>
  <si>
    <t>Strong access; sourcing event not confirmed</t>
  </si>
  <si>
    <t>Finish extension, consolidate leads, map Yadav governance and confirm sourcing event</t>
  </si>
  <si>
    <t>Dutch Bros</t>
  </si>
  <si>
    <t>Genius (user intelligence); Xenial legacy baseline</t>
  </si>
  <si>
    <t>Verifone SCA Gateway</t>
  </si>
  <si>
    <t>Olo Order and Pay</t>
  </si>
  <si>
    <t>Paytronix / Dutch Rewards</t>
  </si>
  <si>
    <t>Core operating channel; vendor layer unknown</t>
  </si>
  <si>
    <t>Verifone e285 (Xenial iPads)</t>
  </si>
  <si>
    <t>Installed customer / expansion</t>
  </si>
  <si>
    <t>Protect and expand Genius footprint</t>
  </si>
  <si>
    <t>Confirm Genius products, installed locations, adoption, support health, contract dates, attach rate and expansion path.</t>
  </si>
  <si>
    <t>Qu (deploying)</t>
  </si>
  <si>
    <t>FreedomPay</t>
  </si>
  <si>
    <t>Olo / Qu integrations</t>
  </si>
  <si>
    <t>Qu integrates with third-party BOH; incumbent unknown</t>
  </si>
  <si>
    <t>DMB incumbent unknown</t>
  </si>
  <si>
    <t>Qu established since 2024</t>
  </si>
  <si>
    <t>DMB + multi-brand visual estate; payments defense</t>
  </si>
  <si>
    <t>Map DMB/CMS, screens, refresh timing and buying center by brand.</t>
  </si>
  <si>
    <t>Proprietary POS</t>
  </si>
  <si>
    <t>Genius KDS reported internally; exact sites/status unverified</t>
  </si>
  <si>
    <t>Fragmented global/franchise estate; existing Genius scope unresolved</t>
  </si>
  <si>
    <t>Product, ownership, locations and deployment status unverified</t>
  </si>
  <si>
    <t>Verify existing Genius KDS relationship before any additional adjacency</t>
  </si>
  <si>
    <t>Confirm product owner, sites, status, commitments and sponsor</t>
  </si>
  <si>
    <t>PAR Brink (U.S.); NCR (EMEA)</t>
  </si>
  <si>
    <t>Worldpay; limited Global Payments EMEA; PAR Pay threat</t>
  </si>
  <si>
    <t>Olo Ordering + Engage</t>
  </si>
  <si>
    <t>Olo GDP/Marketing (not traditional points loyalty)</t>
  </si>
  <si>
    <t>CrunchTime (inventory, labor, ops)</t>
  </si>
  <si>
    <t>LineTen</t>
  </si>
  <si>
    <t>PAR renewal/evaluation window plausible; formal process and dates unconfirmed</t>
  </si>
  <si>
    <t>No verified failure; EMEA support gap requires validation</t>
  </si>
  <si>
    <t>Pre-RFP shaping + internal transaction-metered POS feasibility</t>
  </si>
  <si>
    <t>Confirm evaluation type, renewal/notice dates, scope, sponsor and global requirements</t>
  </si>
  <si>
    <t>Mixed acquirers; active Worldpay gateway/acquiring RFP</t>
  </si>
  <si>
    <t>Deconversion incomplete; active win-back RFP</t>
  </si>
  <si>
    <t>Payments win-back + hotel restaurant/DMB discovery</t>
  </si>
  <si>
    <t>Confirm RFP stage, retained properties, executive sponsor and venue technology scope.</t>
  </si>
  <si>
    <t>Olo- moving to direct Express cert with NovaTab</t>
  </si>
  <si>
    <t>Kiosk vendor transition; integration problems</t>
  </si>
  <si>
    <t>Kiosk and mobile transition</t>
  </si>
  <si>
    <t>Kiosk recovery + DMB/drive-thru/payments adjacency</t>
  </si>
  <si>
    <t>Identify kiosk vendor, certification issue, reporting gap, owners and remediation dates.</t>
  </si>
  <si>
    <t>PAR Brink via RDS</t>
  </si>
  <si>
    <t>PAR Brink</t>
  </si>
  <si>
    <t>Olo / Olo Pay</t>
  </si>
  <si>
    <t>Creative Realities; Neon entry reported, unverified</t>
  </si>
  <si>
    <t>Protected PAR/RDS account; CIO reportedly reinforcing PAR</t>
  </si>
  <si>
    <t>No open event; RDS controls access</t>
  </si>
  <si>
    <t>RDS-led modular value review only</t>
  </si>
  <si>
    <t>Prove RDS pilot and account protections before any Freddy's value discussion</t>
  </si>
  <si>
    <t>FreedomPay, Tillster, Olo</t>
  </si>
  <si>
    <t>Oracle Simphony, PayMyTab, Catertrax</t>
  </si>
  <si>
    <t>Olo, Tillster (wallets), Nextep</t>
  </si>
  <si>
    <t>Desk 3500s, T650c</t>
  </si>
  <si>
    <t>RAFT 610 for POS, Express for OLO ISV for mobile, and eComm is on VAP.  Moving to Oracle Symphony</t>
  </si>
  <si>
    <t>NCR Connected Payments, Ziosk</t>
  </si>
  <si>
    <t>NCR, Ziosk</t>
  </si>
  <si>
    <t>OloPay</t>
  </si>
  <si>
    <t>Swipe Simple B250 &amp; NCR Terminals</t>
  </si>
  <si>
    <t>Point of Sale.Cloud</t>
  </si>
  <si>
    <t>Mainstreet Monetray, TriPOS</t>
  </si>
  <si>
    <t>Same as instore</t>
  </si>
  <si>
    <t>Varies-majority are non-EMV through Montera</t>
  </si>
  <si>
    <t>Qu</t>
  </si>
  <si>
    <t>Aurus</t>
  </si>
  <si>
    <t>Olo</t>
  </si>
  <si>
    <t>Pilot with Bite (Express)</t>
  </si>
  <si>
    <t>Qu supports drive-thru; deployed scope unknown</t>
  </si>
  <si>
    <t>Lane 3000</t>
  </si>
  <si>
    <t>Payments/loyalty/BOH adjacency</t>
  </si>
  <si>
    <t>Verify rollout completeness, Aurus ownership, Olo footprint and any franchise exceptions.</t>
  </si>
  <si>
    <t>QuPOS</t>
  </si>
  <si>
    <t>Ziosk, NCR Aloha and Olo for eCom</t>
  </si>
  <si>
    <t>Monkey Media, Olo, Bounteous (wallet)</t>
  </si>
  <si>
    <t>Recent NCR renewal reported; Ziosk blocks enhancements</t>
  </si>
  <si>
    <t>Verify NCR term, Ziosk appetite and six-figure pinless savings case.</t>
  </si>
  <si>
    <t>NCR Aloha/Connected Payments</t>
  </si>
  <si>
    <t>PAR Brink, non-enterprise (user intelligence)</t>
  </si>
  <si>
    <t>Brink Software</t>
  </si>
  <si>
    <t>VF PWC</t>
  </si>
  <si>
    <t>Verifone, Variable</t>
  </si>
  <si>
    <t>CaesarVision</t>
  </si>
  <si>
    <t>CaesarVision (via Verifone SCA)</t>
  </si>
  <si>
    <t>CaesarVision (via eProtect)</t>
  </si>
  <si>
    <t>Mashgin</t>
  </si>
  <si>
    <t>M400s and P400s</t>
  </si>
  <si>
    <t>Map CaesarVision ownership, payments renewal and franchise-level exceptions; avoid generic POS pitch.</t>
  </si>
  <si>
    <t>PAR POS (deploying)</t>
  </si>
  <si>
    <t>Mainstreet Monetra</t>
  </si>
  <si>
    <t>PAR OPS (deploying: labor, inventory, restaurant management)</t>
  </si>
  <si>
    <t>PAR POS/OPS includes make-line operations</t>
  </si>
  <si>
    <t>PAR POS + OPS implementation in 2026; rollout through 2027</t>
  </si>
  <si>
    <t>Milestones reported on track; Linux dependency unverified</t>
  </si>
  <si>
    <t>DMB adjacency + rollout risk watch</t>
  </si>
  <si>
    <t>Monitor milestones and validate Linux-build requirement</t>
  </si>
  <si>
    <t>Toast / Olo</t>
  </si>
  <si>
    <t>Toast</t>
  </si>
  <si>
    <t>Proprietary</t>
  </si>
  <si>
    <t>ACI/Cybersource</t>
  </si>
  <si>
    <t>Yes, CP No</t>
  </si>
  <si>
    <t>Agilysys, RTP</t>
  </si>
  <si>
    <t>Flaik</t>
  </si>
  <si>
    <t>Swipe Simple B250 &amp; FB Terminals</t>
  </si>
  <si>
    <t>PAR Brink (VAR - Verifone Classic) and Olo</t>
  </si>
  <si>
    <t>Olo Ordering, Dispatch, Rails, Switchboard, Sync</t>
  </si>
  <si>
    <t>PAR - Lane 300s</t>
  </si>
  <si>
    <t>Established PAR/RDS; Worldpay renewed through 2029</t>
  </si>
  <si>
    <t>Payments retained; no new customer-defined trigger</t>
  </si>
  <si>
    <t>RDS-led relationship map</t>
  </si>
  <si>
    <t>Wait for RDS-validated customer problem; no direct outreach</t>
  </si>
  <si>
    <t>Agilysys</t>
  </si>
  <si>
    <t>OnDemand</t>
  </si>
  <si>
    <t>FP Terminals</t>
  </si>
  <si>
    <t>Shift4 &amp; other</t>
  </si>
  <si>
    <t>Oracle Simphony migration; NCR Aloha legacy</t>
  </si>
  <si>
    <t>Fiserv in-store; Olo Pay/Stripe digital</t>
  </si>
  <si>
    <t>Current loyalty vendor unknown</t>
  </si>
  <si>
    <t>DMB incumbent/dissatisfaction reported</t>
  </si>
  <si>
    <t>Mixed estate / potential RFI</t>
  </si>
  <si>
    <t>Scope, decision openness and deadlines unverified</t>
  </si>
  <si>
    <t>Obtain NDA/RFI and validate estate by country</t>
  </si>
  <si>
    <t>Confirm sponsor, deadlines, Oracle status, payment scope and DMB requirements</t>
  </si>
  <si>
    <t>To be determined</t>
  </si>
  <si>
    <t>Worldpay/Genius candidate</t>
  </si>
  <si>
    <t>Digital menu boards in evaluation</t>
  </si>
  <si>
    <t>Drive-thru sites</t>
  </si>
  <si>
    <t>Clean-slate rebrand / conversion</t>
  </si>
  <si>
    <t>Customer facts and commercial model unverified</t>
  </si>
  <si>
    <t>RDS-led pilot and reseller proof</t>
  </si>
  <si>
    <t>Confirm full phased-stack scope</t>
  </si>
  <si>
    <t>Confirm entity, authority, dates, budget, incumbent contracts and account-protection terms</t>
  </si>
  <si>
    <t>Evidence Ledger — refreshed 2026-09-04</t>
  </si>
  <si>
    <t>Evidence type and confidence are explicit. User intelligence is high-priority field evidence but is not relabeled as public verification.</t>
  </si>
  <si>
    <t>Technology Layer</t>
  </si>
  <si>
    <t>Event Type</t>
  </si>
  <si>
    <t>Event Date</t>
  </si>
  <si>
    <t>Source / Publisher</t>
  </si>
  <si>
    <t>Evidence Summary</t>
  </si>
  <si>
    <t>Source URL or Reference</t>
  </si>
  <si>
    <t>Confidence</t>
  </si>
  <si>
    <t>Current-State Interpretation</t>
  </si>
  <si>
    <t>Research Date</t>
  </si>
  <si>
    <t>Baseline stack</t>
  </si>
  <si>
    <t>Worldpay source</t>
  </si>
  <si>
    <t>Internal source</t>
  </si>
  <si>
    <t>Worldpay reports POS=NCR Aloha; ISV/payments=ACI; ecommerce=Yes.</t>
  </si>
  <si>
    <t>Worldpay_30_Account_Capture_Plan_v1.xlsx — Worldpay Source Snapshot</t>
  </si>
  <si>
    <t>Baseline; requires current verification</t>
  </si>
  <si>
    <t>2026-07-20</t>
  </si>
  <si>
    <t>Field update</t>
  </si>
  <si>
    <t>User intelligence</t>
  </si>
  <si>
    <t>User-supplied</t>
  </si>
  <si>
    <t>Wendy’s is making a POS decision next week; Genius is in the mix.</t>
  </si>
  <si>
    <t>User field intelligence supplied for this analysis on 2026-07-20</t>
  </si>
  <si>
    <t>High (user intelligence)</t>
  </si>
  <si>
    <t>Preserve separately from public verification</t>
  </si>
  <si>
    <t>Worldpay reports POS=NCR; ISV/payments=NCR Connected Payments; ecommerce=OLO corporate.</t>
  </si>
  <si>
    <t>Del Taco has leads floating around Global Payments and status is needed.</t>
  </si>
  <si>
    <t>Worldpay reports POS=Xenial Cloud POS; ISV/payments=Verifone SCA Gateway; ecommerce=OloPay, Braintree, Paytronix.</t>
  </si>
  <si>
    <t>Dutch Bros is already a Genius customer.</t>
  </si>
  <si>
    <t>Worldpay reports POS=FreedomPay (in-store), OLO (online), Monkey Media (catering), moving all to Qu; ISV/payments=FreedomPay; ecommerce=Yes.</t>
  </si>
  <si>
    <t>Focus/GoTo Foods is a recent Qu win but deployment is taking longer than expected.</t>
  </si>
  <si>
    <t>Worldpay reports POS=Proprietary; ISV/payments=FreedomPay; ecommerce=Yes.</t>
  </si>
  <si>
    <t>Worldpay reports POS=Par, Verifone SCA, Olo; ISV/payments=PAR; ecommerce=Olo.</t>
  </si>
  <si>
    <t>Five Guys is a very happy CrunchTime user; PAR signed a three-year POS extension about 2.25 years ago.</t>
  </si>
  <si>
    <t>Worldpay reports POS=Shift4; ISV/payments=unknown; ecommerce=Yes.</t>
  </si>
  <si>
    <t>Worldpay reports POS=NCR; ISV/payments=NCR Connected Payments; ecommerce=Olo- moving to direct Express cert with NovaTab.</t>
  </si>
  <si>
    <t>Worldpay reports POS=PAR Brink (VAR -Verifone Classic); ISV/payments=PAR Brink; ecommerce=OloPay.</t>
  </si>
  <si>
    <t>Freddy's is a PAR customer sold through RDS.</t>
  </si>
  <si>
    <t>Worldpay reports POS=FreedomPay, Tillster, Olo; ISV/payments=Oracle Simphony, PayMyTab, Catertrax; ecommerce=Olo, Tillster (wallets), Nextep.</t>
  </si>
  <si>
    <t>Worldpay reports POS=RAFT 610 for POS, Express for OLO ISV for mobile, and eComm is on VAP.  Moving to Oracle Symphony; ISV/payments=FreedomPay; ecommerce=Yes.</t>
  </si>
  <si>
    <t>Worldpay reports POS=NCR Connected Payments, Ziosk; ISV/payments=NCR, Ziosk; ecommerce=OloPay.</t>
  </si>
  <si>
    <t>Worldpay reports POS=Point of Sale.Cloud; ISV/payments=Mainstreet Monetray, TriPOS; ecommerce=Same as instore.</t>
  </si>
  <si>
    <t>Worldpay reports POS=QuPOS; ISV/payments=Aurus; ecommerce=Olo.</t>
  </si>
  <si>
    <t>Worldpay reports POS=Ziosk, NCR Aloha and Olo for eCom; ISV/payments=NCR, Ziosk; ecommerce=Monkey Media, Olo, Bounteous (wallet).</t>
  </si>
  <si>
    <t>Worldpay reports POS=NCR Aloha/Connected Payments; ISV/payments=NCR Connected Payments; ecommerce=Yes.</t>
  </si>
  <si>
    <t>Worldpay reports POS=Brink; ISV/payments=Brink Software; ecommerce=Olo.</t>
  </si>
  <si>
    <t>Worldpay reports POS=VF PWC; ISV/payments=unknown; ecommerce=Yes.</t>
  </si>
  <si>
    <t>Worldpay reports POS=CaesarVision; ISV/payments=CaesarVision (via Verifone SCA); ecommerce=CaesarVision (via eProtect).</t>
  </si>
  <si>
    <t>Worldpay reports POS=Mainstreet Monetra; ISV/payments=Mainstreet Monetra; ecommerce=Yes.</t>
  </si>
  <si>
    <t>Worldpay reports POS=Toast / Olo; ISV/payments=Toast; ecommerce=Olo.</t>
  </si>
  <si>
    <t>Worldpay reports POS=Proprietary; ISV/payments=ACI/Cybersource; ecommerce=Yes.</t>
  </si>
  <si>
    <t>Worldpay reports POS=Toast; ISV/payments=Toast; ecommerce=Yes, CP No.</t>
  </si>
  <si>
    <t>Worldpay reports POS=FreedomPay; ISV/payments=Agilysys, RTP; ecommerce=Flaik.</t>
  </si>
  <si>
    <t>Worldpay reports POS=PAR Brink (VAR - Verifone Classic) and Olo; ISV/payments=PAR Brink; ecommerce=Olo.</t>
  </si>
  <si>
    <t>Worldpay reports POS=Cybersource; ISV/payments=unknown; ecommerce=Yes.</t>
  </si>
  <si>
    <t>Worldpay reports POS=FreedomPay; ISV/payments=Agilysys; ecommerce=OnDemand.</t>
  </si>
  <si>
    <t>Worldpay reports POS=NCR Aloha/Connected Payments; ISV/payments=NCR Aloha; ecommerce=unknown.</t>
  </si>
  <si>
    <t>Worldpay reports POS=Shift4 &amp; other; ISV/payments=Shift4 &amp; other; ecommerce=Yes.</t>
  </si>
  <si>
    <t>Selection</t>
  </si>
  <si>
    <t>Qu press release</t>
  </si>
  <si>
    <t>Selected Qu as single POS platform across all seven brands.</t>
  </si>
  <si>
    <t>https://www.qubeyond.com/resource-center/goto-foods-selects-qu-as-its-single-pos-platform-across-all-seven-brands</t>
  </si>
  <si>
    <t>Deploying</t>
  </si>
  <si>
    <t>Deployment milestone</t>
  </si>
  <si>
    <t>Qu event recap</t>
  </si>
  <si>
    <t>GoTo Foods CTO reported more than 2,000 Qu installs; exact event date should be treated as publication-period evidence.</t>
  </si>
  <si>
    <t>https://www.qubeyond.com/lessons-from-restaurant-leaders-who-know-their-brands/</t>
  </si>
  <si>
    <t>Deploying; field intelligence reports delay</t>
  </si>
  <si>
    <t>POS / Back Office</t>
  </si>
  <si>
    <t>PAR press release</t>
  </si>
  <si>
    <t>Selected PAR POS and PAR OPS across about 3,200 U.S. restaurants; full rollout planned by end of 2027.</t>
  </si>
  <si>
    <t>https://partech.com/news-coverage/papa-johns-partners-with-par-technology-to-power-pos-and-ops-transformation-across-3200-u-s-restaurants/</t>
  </si>
  <si>
    <t>Original selection</t>
  </si>
  <si>
    <t>Trade coverage of PAR announcement</t>
  </si>
  <si>
    <t>Five Guys selected PAR Brink POS and associated hardware/services after franchisee-led evaluation.</t>
  </si>
  <si>
    <t>https://www.fastcasual.com/news/why-five-guys-selected-new-pos-solution-2/</t>
  </si>
  <si>
    <t>Mature incumbent</t>
  </si>
  <si>
    <t>Back Office</t>
  </si>
  <si>
    <t>Customer case study</t>
  </si>
  <si>
    <t>Crunchtime</t>
  </si>
  <si>
    <t>Crunchtime describes a relationship originating around 2015 and expanded to 1,900+ locations; strong operating outcomes.</t>
  </si>
  <si>
    <t>https://www.crunchtime.com/blog/ops-excellence-awards-finalist-spotlight-five-guys</t>
  </si>
  <si>
    <t>Entrenched and positive</t>
  </si>
  <si>
    <t>Digital / Guest Data</t>
  </si>
  <si>
    <t>Expansion</t>
  </si>
  <si>
    <t>Olo case study</t>
  </si>
  <si>
    <t>Longtime Olo ordering customer expanded to GDP and Marketing across 1,500 locations.</t>
  </si>
  <si>
    <t>https://www.olo.com/case-studies/five-guys-engage</t>
  </si>
  <si>
    <t>Entrenched and expanding</t>
  </si>
  <si>
    <t>Digital Ordering / Payments</t>
  </si>
  <si>
    <t>Olo press release</t>
  </si>
  <si>
    <t>Selected Olo Order and Pay for nationwide rollout, initially across 850+ locations.</t>
  </si>
  <si>
    <t>https://investors.olo.com/news/news-details/2024/Dutch-Bros-Partners-with-Olo-to-Offer-Mobile-App-Ordering-and-Payment/default.aspx</t>
  </si>
  <si>
    <t>Paytronix case study</t>
  </si>
  <si>
    <t>Dutch Rewards app and loyalty experience run on Paytronix.</t>
  </si>
  <si>
    <t>https://www.paytronix.com/hubfs/media/dutch_bros_case-study_v3.pdf</t>
  </si>
  <si>
    <t>Qu / Business Wire release</t>
  </si>
  <si>
    <t>Selected Qu as enterprise POS for approximately 1,000 U.S. locations.</t>
  </si>
  <si>
    <t>https://www.businesswire.com/news/home/20210218005023/en/Churchs-Chicken-Selects-Qu-POS-as-Part-of-Global-Technology-Stack-Refresh</t>
  </si>
  <si>
    <t>Digital Ordering</t>
  </si>
  <si>
    <t>Original launch</t>
  </si>
  <si>
    <t>Launched Olo Ordering in 2017, added Dispatch, Rails and Switchboard, then Sync in 2022.</t>
  </si>
  <si>
    <t>https://www.olo.com/case-studies/slim-chickens</t>
  </si>
  <si>
    <t>Current customer evidence</t>
  </si>
  <si>
    <t>PAR customer announcement</t>
  </si>
  <si>
    <t>PAR identifies Freddy’s as a Brink POS customer.</t>
  </si>
  <si>
    <t>https://partech.com/2024/05/24/congratulations-to-par-customers-2024-fast-casual-movers-and-shakers-honorees/</t>
  </si>
  <si>
    <t>Digital / Catering</t>
  </si>
  <si>
    <t>Olo case-study directory</t>
  </si>
  <si>
    <t>Olo lists Black Bear Diner as a catering customer story.</t>
  </si>
  <si>
    <t>https://www.olo.com/case-studies</t>
  </si>
  <si>
    <t>Current public evidence</t>
  </si>
  <si>
    <t>Olo lists Cracker Barrel as a Catering+ customer story.</t>
  </si>
  <si>
    <t>Olo lists Freddy’s as a Catering+ customer story.</t>
  </si>
  <si>
    <t>Deployment report</t>
  </si>
  <si>
    <t>Payments Dive</t>
  </si>
  <si>
    <t>Reported Genius adoption at about 2,500 Subway stores; requires internal confirmation of scope and status.</t>
  </si>
  <si>
    <t>https://www.paymentsdive.com/news/global-payments-touts-genius-gains/819560/</t>
  </si>
  <si>
    <t>Partial deployment / expansion</t>
  </si>
  <si>
    <t>Portfolio</t>
  </si>
  <si>
    <t>Genius product scope</t>
  </si>
  <si>
    <t>Product launch</t>
  </si>
  <si>
    <t>Global Payments press release</t>
  </si>
  <si>
    <t>Genius launched as unified POS platform; restaurant edition launched first.</t>
  </si>
  <si>
    <t>https://investors.globalpayments.com/news-events/press-releases/detail/473/global-payments-launches-new-genius-pos-platform</t>
  </si>
  <si>
    <t>Current product baseline</t>
  </si>
  <si>
    <t>Operating model</t>
  </si>
  <si>
    <t>Leadership feedback</t>
  </si>
  <si>
    <t>Ryan Hildebrand JPR</t>
  </si>
  <si>
    <t>Keep Blue Sheets; add Refine stage, RM economics, event access, account history and a payments capability map.</t>
  </si>
  <si>
    <t>system/account_intelligence/2026-08-03-ryan-hildebrand-worldpay-development-plan-feedback.md</t>
  </si>
  <si>
    <t>Update the master-plan operating cadence</t>
  </si>
  <si>
    <t>Genius scope</t>
  </si>
  <si>
    <t>Internal leadership feedback</t>
  </si>
  <si>
    <t>Proprietary POS plus a reported global Genius KDS deployment conflicts with the prior DMB interpretation.</t>
  </si>
  <si>
    <t>High internal / scope unverified</t>
  </si>
  <si>
    <t>Replace DMB assumption; keep conflict urgent</t>
  </si>
  <si>
    <t>Buying event</t>
  </si>
  <si>
    <t>Field validation</t>
  </si>
  <si>
    <t>Jeff Staley JPR + independent checks</t>
  </si>
  <si>
    <t>Capability evaluation is plausible, but no formal RFP was found; MJ Worsham remains active and influential.</t>
  </si>
  <si>
    <t>system/account_intelligence/2026-08-11-jeff-staley-jpr-intelligence.md</t>
  </si>
  <si>
    <t>Mixed / independently checked</t>
  </si>
  <si>
    <t>Treat RFP and spring 2027 timing as unconfirmed</t>
  </si>
  <si>
    <t>Commercial model</t>
  </si>
  <si>
    <t>Internal concept</t>
  </si>
  <si>
    <t>Worldpay/Genius executive concept</t>
  </si>
  <si>
    <t>Transaction-metered POS is an internal feasibility concept and is not approved for customer presentation.</t>
  </si>
  <si>
    <t>system/account_intelligence/2026-08-10-worldpay-transaction-funded-pos-executive-summary.md</t>
  </si>
  <si>
    <t>High internal</t>
  </si>
  <si>
    <t>Secure sponsorship and feasibility approval first</t>
  </si>
  <si>
    <t>Ownership</t>
  </si>
  <si>
    <t>Verified public event</t>
  </si>
  <si>
    <t>Jack in the Box investor release</t>
  </si>
  <si>
    <t>Yadav Enterprises completed the acquisition; active technology shopping remains unconfirmed.</t>
  </si>
  <si>
    <t>https://investors.jackinthebox.com/news/news-details/2025/Jack-in-the-Box-Inc--Completes-Sale-of-Del-Taco-Holdings-Inc-/default.aspx</t>
  </si>
  <si>
    <t>Use ownership change for neutral discovery</t>
  </si>
  <si>
    <t>Channel / leadership</t>
  </si>
  <si>
    <t>RDS field intelligence</t>
  </si>
  <si>
    <t>Darren Heinze JPR</t>
  </si>
  <si>
    <t>RDS is deeply embedded; the new CIO reportedly favors PAR; Todd committed to no direct outreach.</t>
  </si>
  <si>
    <t>tmp/jpr-2026-08-13/2026-08-13-darren-heinze-rds-jpr-intelligence.md</t>
  </si>
  <si>
    <t>High field / decision unverified</t>
  </si>
  <si>
    <t>Downgrade to protected RDS watchlist</t>
  </si>
  <si>
    <t>Five former Taco Cabana sites are rebranding and evaluating a clean-slate stack/DMB; customer details require confirmation.</t>
  </si>
  <si>
    <t>High field / documentation required</t>
  </si>
  <si>
    <t>Qualify as the preferred near-term channel pilot</t>
  </si>
  <si>
    <t>Channel rule</t>
  </si>
  <si>
    <t>Remain RDS-led; no direct outreach and no new buying event surfaced.</t>
  </si>
  <si>
    <t>High field</t>
  </si>
  <si>
    <t>Keep as relationship-map account</t>
  </si>
  <si>
    <t>PAR earnings evidence</t>
  </si>
  <si>
    <t>PAR Q2 2026 earnings materials</t>
  </si>
  <si>
    <t>Development milestones achieved; implementation expected later in 2026. Linux dependency is separate unverified field intelligence.</t>
  </si>
  <si>
    <t>https://partech.com/investor-relations/</t>
  </si>
  <si>
    <t>High public / field detail unverified</t>
  </si>
  <si>
    <t>Monitor deployment and validate technical dependency</t>
  </si>
  <si>
    <t>Competitive pattern</t>
  </si>
  <si>
    <t>PAR Q2 2026 earnings call</t>
  </si>
  <si>
    <t>PAR uses POS/loyalty beachheads, multi-product bundles and mandatory payments attachment on ordering wins.</t>
  </si>
  <si>
    <t>High company-reported</t>
  </si>
  <si>
    <t>Add platform/payment-attachment defense to account plans</t>
  </si>
  <si>
    <t>POS / payments / DMB</t>
  </si>
  <si>
    <t>Internal account brief</t>
  </si>
  <si>
    <t>Pollo Campero account brief</t>
  </si>
  <si>
    <t>Oracle migration, NCR legacy, Fiserv in-store, Olo Pay/Stripe digital and potential RFI/DMB issues require qualification.</t>
  </si>
  <si>
    <t>system/account_intelligence/2026-08-10-pollo-campero-comprehensive-account-brief.md</t>
  </si>
  <si>
    <t>Strong internal / procurement unconfirmed</t>
  </si>
  <si>
    <t>Add as emerging opportunity with bid/no-bid gates</t>
  </si>
  <si>
    <t>Gateway / acquiring</t>
  </si>
  <si>
    <t>Evidence aging</t>
  </si>
  <si>
    <t>Master-plan review</t>
  </si>
  <si>
    <t>July active-RFP intelligence now requires a current-stage and deadline refresh.</t>
  </si>
  <si>
    <t>Worldpay master-plan review 2026-08-14</t>
  </si>
  <si>
    <t>Review finding</t>
  </si>
  <si>
    <t>Do not retain 'active RFP' without refresh</t>
  </si>
  <si>
    <t>Account governance</t>
  </si>
  <si>
    <t>RM field update</t>
  </si>
  <si>
    <t>Multiple uncoordinated Genius outreach attempts caused merchant concern. MJ and Zerick had not responded to FSTEC invitations; generic outreach is unlikely to work.</t>
  </si>
  <si>
    <t>Avery Churchwell account update call, 2026-09-04</t>
  </si>
  <si>
    <t>High (RM intelligence)</t>
  </si>
  <si>
    <t>Centralize outreach through Todd and Avery; buying event remains unconfirmed.</t>
  </si>
  <si>
    <t>Relationship access</t>
  </si>
  <si>
    <t>A Slim Chickens contact plans to attend the FSTEC happy hour. Avery will provide Genius attendee contacts; RDS remains the coordinated account route.</t>
  </si>
  <si>
    <t>Use FSTEC for relationship mapping and keep follow-up RDS-led.</t>
  </si>
  <si>
    <t>No response to FSTEC outreach. Avery and Todd agreed RDS is the best route; post-Genius World follow-through with Ryan requires confirmation.</t>
  </si>
  <si>
    <t>Remain RDS-led; no active displacement trigger verified.</t>
  </si>
  <si>
    <t>Account condition</t>
  </si>
  <si>
    <t>RM assessment</t>
  </si>
  <si>
    <t>Avery's recent reading suggests Red Robin may be in a better position and should be reconsidered as a prospecting possibility.</t>
  </si>
  <si>
    <t>Medium (RM assessment)</t>
  </si>
  <si>
    <t>Validate operating improvement and customer buying trigger before increasing pursuit.</t>
  </si>
  <si>
    <t>Three follow-up items remained unanswered after roughly 1.5 weeks, although Avery participated in a technical-support call with the account earlier that week.</t>
  </si>
  <si>
    <t>High (RM interaction)</t>
  </si>
  <si>
    <t>Use the support interaction to recover responsiveness and consolidate open requests.</t>
  </si>
  <si>
    <t>vendor_relationship_formed</t>
  </si>
  <si>
    <t>2019-09-10</t>
  </si>
  <si>
    <t>Del Taco Partners With Postmates To Bring Mexican And American Favorites Directly To Your Door - PR Newswire. Del Taco Partners With Postmates To Bring Mexican And American Favorites Directly To Your Door - PR Newswire</t>
  </si>
  <si>
    <t>RBB-detected</t>
  </si>
  <si>
    <t>2026-09-02</t>
  </si>
  <si>
    <t>Conflict &amp; Verification Register — 2026-08-14</t>
  </si>
  <si>
    <t>Conflicts are preserved until resolved; newer evidence does not erase the historical source.</t>
  </si>
  <si>
    <t>Issue</t>
  </si>
  <si>
    <t>Incoming / Legacy View</t>
  </si>
  <si>
    <t>Newer Evidence</t>
  </si>
  <si>
    <t>Evidence Type</t>
  </si>
  <si>
    <t>Resolution Action</t>
  </si>
  <si>
    <t>Status</t>
  </si>
  <si>
    <t>Stale Worldpay opportunity</t>
  </si>
  <si>
    <t>Worldpay: evaluating gateway/POS</t>
  </si>
  <si>
    <t>PAR selected Jan. 12, 2026; rollout through 2027</t>
  </si>
  <si>
    <t>Verified public fact</t>
  </si>
  <si>
    <t>Supersede open POS opportunity; monitor deployment and adjacency</t>
  </si>
  <si>
    <t>RESOLVED</t>
  </si>
  <si>
    <t>Scope and deployment health</t>
  </si>
  <si>
    <t>Worldpay: moving all to Qu</t>
  </si>
  <si>
    <t>Qu confirms seven-brand POS selection; &gt;2,000 installs; user reports rollout delay</t>
  </si>
  <si>
    <t>Verified + user intelligence</t>
  </si>
  <si>
    <t>Validate rollout pace and sources of delay without overstating failure</t>
  </si>
  <si>
    <t>OPEN</t>
  </si>
  <si>
    <t>Ownership boundary</t>
  </si>
  <si>
    <t>Worldpay: NCR Aloha; user reported active decision</t>
  </si>
  <si>
    <t>Not an opportunity owned by Todd</t>
  </si>
  <si>
    <t>User correction</t>
  </si>
  <si>
    <t>Retain for intelligence only; no Todd pursuit action</t>
  </si>
  <si>
    <t>EXCLUDED</t>
  </si>
  <si>
    <t>Duplicate/unowned leads</t>
  </si>
  <si>
    <t>Worldpay: NCR/Olo stack</t>
  </si>
  <si>
    <t>User: leads exist across Global Payments</t>
  </si>
  <si>
    <t>Inventory and merge leads; assign owner and next action</t>
  </si>
  <si>
    <t>URGENT</t>
  </si>
  <si>
    <t>Worldpay: Xenial POS; user: existing Genius customer</t>
  </si>
  <si>
    <t>Managed by a Global Payments account manager; not Todd-owned</t>
  </si>
  <si>
    <t>User correction + public context</t>
  </si>
  <si>
    <t>Retain for intelligence only; account manager owns activity</t>
  </si>
  <si>
    <t>Channel posture and buying event</t>
  </si>
  <si>
    <t>P2 adjacency/international opportunity</t>
  </si>
  <si>
    <t>RDS-protected account; new CIO reportedly reinforcing PAR; no direct outreach</t>
  </si>
  <si>
    <t>High RDS field intelligence</t>
  </si>
  <si>
    <t>Downgrade to watchlist; prove the smaller RDS pilot first</t>
  </si>
  <si>
    <t>REFRAMED</t>
  </si>
  <si>
    <t>Product edition</t>
  </si>
  <si>
    <t>Worldpay: Brink</t>
  </si>
  <si>
    <t>User: PAR, but not Enterprise</t>
  </si>
  <si>
    <t>Confirm SKU, reseller and enterprise migration fit</t>
  </si>
  <si>
    <t>Buying-event certainty and timing</t>
  </si>
  <si>
    <t>Spring 2027 RFP assumed; MJ departure reported</t>
  </si>
  <si>
    <t>Capability evaluation plausible; no formal RFP found; MJ remains active</t>
  </si>
  <si>
    <t>Field intelligence + independent check</t>
  </si>
  <si>
    <t>Confirm evaluation type, expiration/notice dates, sponsor, scope and decision criteria</t>
  </si>
  <si>
    <t>Prior record alternated between partial Genius POS and DMB</t>
  </si>
  <si>
    <t>Ryan reports proprietary POS plus global Genius KDS deployment; exact sites/status remain unverified</t>
  </si>
  <si>
    <t>Internal leadership intelligence</t>
  </si>
  <si>
    <t>Confirm product owner, KDS sites, deployment status, commitments and sponsor</t>
  </si>
  <si>
    <t>RFP status aging</t>
  </si>
  <si>
    <t>Active RFP reported in July</t>
  </si>
  <si>
    <t>No August stage/deadline refresh found</t>
  </si>
  <si>
    <t>RM intelligence aging</t>
  </si>
  <si>
    <t>Confirm current stage, dates, sponsor and retained estate</t>
  </si>
  <si>
    <t>Linux technical dependency</t>
  </si>
  <si>
    <t>PAR rollout tracked; no technical dependency recorded</t>
  </si>
  <si>
    <t>RDS claims Linux build is required; public sources do not confirm</t>
  </si>
  <si>
    <t>Confidential field intelligence</t>
  </si>
  <si>
    <t>Validate with technical/product owners; do not persist as fact</t>
  </si>
  <si>
    <t>Decision openness and procurement scope</t>
  </si>
  <si>
    <t>Not present in prior portfolio</t>
  </si>
  <si>
    <t>Potential RFI and DMB issue; Oracle migration may already be advanced</t>
  </si>
  <si>
    <t>Obtain NDA/RFI and apply bid/no-bid gates</t>
  </si>
  <si>
    <t>Customer identity and authority</t>
  </si>
  <si>
    <t>Clean-slate rebrand offered as pilot; entity, concept and authority unconfirmed</t>
  </si>
  <si>
    <t>High channel field intelligence</t>
  </si>
  <si>
    <t>Document entity, authority, dates, budget, scope and protection terms</t>
  </si>
  <si>
    <t>RM Portfolio Briefings — 2026-09-04</t>
  </si>
  <si>
    <t>Opportunity counts exclude Wendy's and Dutch Bros. Protected channel accounts remain governed by RDS engagement rules.</t>
  </si>
  <si>
    <t>Opportunity Accounts</t>
  </si>
  <si>
    <t>P1 Accounts</t>
  </si>
  <si>
    <t>Average Score</t>
  </si>
  <si>
    <t>Top Ranked Accounts</t>
  </si>
  <si>
    <t>Trigger Summary</t>
  </si>
  <si>
    <t>Workshop Focus</t>
  </si>
  <si>
    <t>Required Output</t>
  </si>
  <si>
    <t>FIVE GUYS, Red Robin, EAT'N PARK, MILLER'S ALE HOUSE, BLACK BEAR</t>
  </si>
  <si>
    <t>Five Guys outreach governance/FSTEC opening | Slim Chickens RDS-led FSTEC contact | Little Caesars follow-up stall | Red Robin reassessment</t>
  </si>
  <si>
    <t>Centralize Five Guys outreach with Avery/Todd; coordinate Slim Chickens and Freddy's through RDS; recover Little Caesars follow-ups; qualify Red Robin timing.</t>
  </si>
  <si>
    <t>Named owner and coordinated contact plan for each account; FSTEC connection plan; verified buying trigger, renewal dates and dated next action.</t>
  </si>
  <si>
    <t>GoTo Foods, CHOICE HOTELS, PAPA JOHN'S, CRACKER BARREL, BOB EVANS</t>
  </si>
  <si>
    <t>GoTo platform/payment defense | Choice RFP refresh | Papa Johns rollout watch</t>
  </si>
  <si>
    <t>GoTo DMB map; Choice status refresh; Papa Johns adjacency and implementation monitoring</t>
  </si>
  <si>
    <t>Named account owner, current scope, decision dates, buying-center map and warm introduction.</t>
  </si>
  <si>
    <t>DEL TACO, STEAK N SHAKE, CHURCH'S, LAROSA'S, GOLDEN CORRAL</t>
  </si>
  <si>
    <t>Del Taco extension/Yadav event | Steak 'n Shake remediation | Church's decision unresolved</t>
  </si>
  <si>
    <t>Complete Del Taco extension and lead consolidation; establish dated kiosk remediation</t>
  </si>
  <si>
    <t>Verified buying event, owner map, technical issue owners and customer introduction.</t>
  </si>
  <si>
    <t>SUBWAY, STARBUCKS, DOMINO'S</t>
  </si>
  <si>
    <t>Subway KDS scope conflict | Starbucks share recovery | Domino's reference posture</t>
  </si>
  <si>
    <t>Resolve Subway product/sites/owner before any new positioning</t>
  </si>
  <si>
    <t>Confirmed Genius KDS scope, customer sponsor, commitments and next relationship.</t>
  </si>
  <si>
    <t>Clean-slate pilot; protected-account operating model</t>
  </si>
  <si>
    <t>Document entity, scope, economics, support, protections and case-study rights</t>
  </si>
  <si>
    <t>Qualified customer facts, signed engagement rules and a dated pilot plan.</t>
  </si>
  <si>
    <t>Potential RFI; Oracle migration; split payment stack</t>
  </si>
  <si>
    <t>Assign owner, obtain NDA/RFI and apply bid/no-bid gates</t>
  </si>
  <si>
    <t>Named owner, procurement documents, timeline, country scope and decision openness.</t>
  </si>
  <si>
    <t>Portfolio Scoring Model — 2026-08-14</t>
  </si>
  <si>
    <t>Score 1–5, then Refine after every material signal. Unknown is not whitespace; unverified triggers must not be scored as active decisions.</t>
  </si>
  <si>
    <t>Dimension</t>
  </si>
  <si>
    <t>Weight</t>
  </si>
  <si>
    <t>1 = Low</t>
  </si>
  <si>
    <t>3 = Medium</t>
  </si>
  <si>
    <t>5 = High</t>
  </si>
  <si>
    <t>Interpretation</t>
  </si>
  <si>
    <t>Small/low leverage</t>
  </si>
  <si>
    <t>Meaningful footprint</t>
  </si>
  <si>
    <t>Transformational scale</t>
  </si>
  <si>
    <t>Account size, tier, franchise leverage</t>
  </si>
  <si>
    <t>Active Buying Trigger</t>
  </si>
  <si>
    <t>No trigger</t>
  </si>
  <si>
    <t>Research/discovery signal</t>
  </si>
  <si>
    <t>Active decision or internal lead</t>
  </si>
  <si>
    <t>Time-sensitive commercial motion</t>
  </si>
  <si>
    <t>Relationship / Access</t>
  </si>
  <si>
    <t>No path</t>
  </si>
  <si>
    <t>Named RM/internal route</t>
  </si>
  <si>
    <t>Active customer access</t>
  </si>
  <si>
    <t>Ability to influence outcome</t>
  </si>
  <si>
    <t>Incumbent Lifecycle</t>
  </si>
  <si>
    <t>New/locked</t>
  </si>
  <si>
    <t>Established or unclear</t>
  </si>
  <si>
    <t>Decision window/aging</t>
  </si>
  <si>
    <t>Switchability, not just age</t>
  </si>
  <si>
    <t>Healthy/positive</t>
  </si>
  <si>
    <t>Unknown/mixed</t>
  </si>
  <si>
    <t>Material issue reported</t>
  </si>
  <si>
    <t>Crack signal or implementation need</t>
  </si>
  <si>
    <t>Adjacent Whitespace</t>
  </si>
  <si>
    <t>Stack entrenched</t>
  </si>
  <si>
    <t>Some gaps</t>
  </si>
  <si>
    <t>Many verified/qualifiable gaps</t>
  </si>
  <si>
    <t>Unknown is not automatically whitespace</t>
  </si>
  <si>
    <t>Internal Coordination</t>
  </si>
  <si>
    <t>Simple</t>
  </si>
  <si>
    <t>Several owners</t>
  </si>
  <si>
    <t>Urgent cross-team alignment</t>
  </si>
  <si>
    <t>Need to merge leads/owners/actions</t>
  </si>
  <si>
    <t>Formula</t>
  </si>
  <si>
    <t>Total Score</t>
  </si>
  <si>
    <t>SUM of each (dimension score ÷ 5 × dimension weight)</t>
  </si>
  <si>
    <t>Priority Bands</t>
  </si>
  <si>
    <t>P1 ≥ 78 | P2 65–77.9 | P3 &lt; 65</t>
  </si>
  <si>
    <t>Merchant</t>
  </si>
  <si>
    <t>DIrect ID</t>
  </si>
  <si>
    <t>Superchain/Corp Chain</t>
  </si>
  <si>
    <t>Franchise Code</t>
  </si>
  <si>
    <t>National Bank</t>
  </si>
  <si>
    <t>CP/Ecom</t>
  </si>
  <si>
    <t>Owner</t>
  </si>
  <si>
    <t>Vertical</t>
  </si>
  <si>
    <t>2022
Jan-Sep</t>
  </si>
  <si>
    <t>2022
Forecast</t>
  </si>
  <si>
    <t># of Locations</t>
  </si>
  <si>
    <t>% Corporated Owned</t>
  </si>
  <si>
    <t>% Franchise Owned.</t>
  </si>
  <si>
    <t>Int'l?</t>
  </si>
  <si>
    <t>CSM</t>
  </si>
  <si>
    <t>PCO?</t>
  </si>
  <si>
    <t>Franchise Relationship Manager</t>
  </si>
  <si>
    <t>Notes</t>
  </si>
  <si>
    <t>ISV</t>
  </si>
  <si>
    <t>Terminals</t>
  </si>
  <si>
    <t>Kiosk</t>
  </si>
  <si>
    <t>Ecommerce-Worldpay</t>
  </si>
  <si>
    <t>Ecommerce-Other</t>
  </si>
  <si>
    <t>Tier Adj
(Susan)</t>
  </si>
  <si>
    <t>Vertical Adj
(James)</t>
  </si>
  <si>
    <t>Tier Adj
(James)</t>
  </si>
  <si>
    <t>James</t>
  </si>
  <si>
    <t>Notes.1</t>
  </si>
  <si>
    <t>Missing</t>
  </si>
  <si>
    <t>Unnamed: 32</t>
  </si>
  <si>
    <t>Unnamed: 33</t>
  </si>
  <si>
    <t>Unnamed: 34</t>
  </si>
  <si>
    <t>Unnamed: 35</t>
  </si>
  <si>
    <t>Unnamed: 36</t>
  </si>
  <si>
    <t>Unnamed: 37</t>
  </si>
  <si>
    <t>Unnamed: 38</t>
  </si>
  <si>
    <t>Unnamed: 39</t>
  </si>
  <si>
    <t>Unnamed: 40</t>
  </si>
  <si>
    <t>Unnamed: 41</t>
  </si>
  <si>
    <t>Unnamed: 42</t>
  </si>
  <si>
    <t>Unnamed: 43</t>
  </si>
  <si>
    <t>Unnamed: 44</t>
  </si>
  <si>
    <t>CP</t>
  </si>
  <si>
    <t>Susan</t>
  </si>
  <si>
    <t>Hospitality</t>
  </si>
  <si>
    <t>Ashlee Strete</t>
  </si>
  <si>
    <t>DRCT - 000639- VREL</t>
  </si>
  <si>
    <t>S000000058</t>
  </si>
  <si>
    <t>BLCKBR</t>
  </si>
  <si>
    <t>Michelle Weddington</t>
  </si>
  <si>
    <t>Melissa Douglas</t>
  </si>
  <si>
    <t>Gaynor Baker</t>
  </si>
  <si>
    <t>CP is moving to Toast, will likely move to unmanaged</t>
  </si>
  <si>
    <t>000131</t>
  </si>
  <si>
    <t>DRCT - 000723- VREL</t>
  </si>
  <si>
    <t>SCBYNHGLDS</t>
  </si>
  <si>
    <t>1 Canadian location</t>
  </si>
  <si>
    <t>MISSING</t>
  </si>
  <si>
    <t>CH2019</t>
  </si>
  <si>
    <t>DRCT - 006011- VREL</t>
  </si>
  <si>
    <t>S000002085, S000002083, SC0CHURCHA</t>
  </si>
  <si>
    <t>CHRCKN</t>
  </si>
  <si>
    <t>N000089</t>
  </si>
  <si>
    <t>0F6695, 0XX626</t>
  </si>
  <si>
    <t>In Conversion for new POS with FP</t>
  </si>
  <si>
    <t>DRCT - 006020- VREL</t>
  </si>
  <si>
    <t>S000001636</t>
  </si>
  <si>
    <t>DLTACO</t>
  </si>
  <si>
    <t>We don't have all Franchise locations. Multiple acquirers utilized.  OloPay</t>
  </si>
  <si>
    <t>DRCT - 001429- VREL</t>
  </si>
  <si>
    <t>SCNDMNOPZA</t>
  </si>
  <si>
    <t>NDMNPZA</t>
  </si>
  <si>
    <t>Greg Cappel</t>
  </si>
  <si>
    <t>DRCT - 007676- VREL</t>
  </si>
  <si>
    <t>S000005309</t>
  </si>
  <si>
    <t>DUTCHB</t>
  </si>
  <si>
    <t>N001348</t>
  </si>
  <si>
    <t>Xenial Cloud POS</t>
  </si>
  <si>
    <t>OloPay, Braintree, Paytronix</t>
  </si>
  <si>
    <t>DRCT - 00073880</t>
  </si>
  <si>
    <t>Four concepts under EAPK - VAR is based on concept. Parkhurst was on IP but is converting to Core</t>
  </si>
  <si>
    <t>SCFESTIVAG</t>
  </si>
  <si>
    <t>Formerly part of Choice Hotels</t>
  </si>
  <si>
    <t>SCFHSUBSCO</t>
  </si>
  <si>
    <t>FHSUBS</t>
  </si>
  <si>
    <t>NFHSUBS</t>
  </si>
  <si>
    <t>GC in-store eGiftify via Toast</t>
  </si>
  <si>
    <t>DRCT - 001783- VREL</t>
  </si>
  <si>
    <t>S5GUYSFRAN/ 0M9131</t>
  </si>
  <si>
    <t>5GUYS</t>
  </si>
  <si>
    <t>NB5GUYS</t>
  </si>
  <si>
    <t>Anne-Marie Cloutier</t>
  </si>
  <si>
    <t>Int'l stores, not with WP</t>
  </si>
  <si>
    <t>Par, Verifone SCA, Olo</t>
  </si>
  <si>
    <t>PAR</t>
  </si>
  <si>
    <t>M400s</t>
  </si>
  <si>
    <t>ANTANN - Auntie Anne's
CARVEL - Carvel
CINBON – Cinnabon
CSWIRL – Cinnabon Swirl
JAMBA - Jamba
MCADEL - McAlister's
MOESSW - Moe's
SCHLKY - Schlotzsky's</t>
  </si>
  <si>
    <t>NCARVEL - Carvel
NANTANN - Auntie Anne's
NCINBON - Cinnabon
CCSWIRL - Cinnabon Swirl
N0JAMBA - Jamba
NMCADEL - McAlister's
NMOESSW - Moe's
NSCHLKY - Schlotzsky's</t>
  </si>
  <si>
    <t>YES</t>
  </si>
  <si>
    <t>FreedomPay (in-store), OLO (online), Monkey Media (catering), moving all to Qu</t>
  </si>
  <si>
    <t>8 MIDs have Verifone</t>
  </si>
  <si>
    <t>DRCT - 001867- VREL</t>
  </si>
  <si>
    <t>S000000027</t>
  </si>
  <si>
    <t>FREFRO</t>
  </si>
  <si>
    <t>N001420</t>
  </si>
  <si>
    <t>Deb Cunningham</t>
  </si>
  <si>
    <t>Beginning to move to franchise pod</t>
  </si>
  <si>
    <t>PAR Brink (VAR -Verifone Classic)</t>
  </si>
  <si>
    <t>P400s and E285</t>
  </si>
  <si>
    <t>SCGDCRFRAN, SCGOLDENCR, SCGDCRHOME</t>
  </si>
  <si>
    <t>GOLCOR</t>
  </si>
  <si>
    <t>NGOLCOR</t>
  </si>
  <si>
    <t>DRCT - 002101- VREL</t>
  </si>
  <si>
    <t>S000006768</t>
  </si>
  <si>
    <t>Brink</t>
  </si>
  <si>
    <t>DRCT - 002844- VREL</t>
  </si>
  <si>
    <t>SCLAROSAZZ</t>
  </si>
  <si>
    <t>DRCT - 010312- VREL</t>
  </si>
  <si>
    <t>S0LATRELLE</t>
  </si>
  <si>
    <t>DRCT - 002926- VREL</t>
  </si>
  <si>
    <t>SCLITCSARS/ 071106</t>
  </si>
  <si>
    <t>LCEI</t>
  </si>
  <si>
    <t>NLITCSR</t>
  </si>
  <si>
    <t>Sam Merkle</t>
  </si>
  <si>
    <t>DRCT - 00235448</t>
  </si>
  <si>
    <t>02131A</t>
  </si>
  <si>
    <t>CNP has moved to Olo direct</t>
  </si>
  <si>
    <t>SCPAPACORP/0T3849</t>
  </si>
  <si>
    <t>PAPAJN &amp; PAPCAD</t>
  </si>
  <si>
    <t>NPAPASJ, NPAPCAD</t>
  </si>
  <si>
    <t>Evaluating Gateway/POS options</t>
  </si>
  <si>
    <t>Ingenico Lane 3000/ipp320/Lane 3600</t>
  </si>
  <si>
    <t>IPP - 004107- VREL, IPP - 007950- IPREL, DRCT - 006112- VREL</t>
  </si>
  <si>
    <t>SCREDROBIN/0N1781</t>
  </si>
  <si>
    <t>RRGB</t>
  </si>
  <si>
    <t>DRCT - 007749- VREL</t>
  </si>
  <si>
    <t>S000004054</t>
  </si>
  <si>
    <t>SLMCKN</t>
  </si>
  <si>
    <t>N001421</t>
  </si>
  <si>
    <t>P400 and E285</t>
  </si>
  <si>
    <t>DRCT - 02432125</t>
  </si>
  <si>
    <t>NSTBKUS</t>
  </si>
  <si>
    <t>Licensed</t>
  </si>
  <si>
    <t>yes</t>
  </si>
  <si>
    <t>only 20% volume comes to WP</t>
  </si>
  <si>
    <t>DRCT - 010469- VREL</t>
  </si>
  <si>
    <t>S000008464 </t>
  </si>
  <si>
    <t>Kat Briggs</t>
  </si>
  <si>
    <t>NSUBWAY</t>
  </si>
  <si>
    <t>SBWYFR/SUBCAN</t>
  </si>
  <si>
    <t>NSUBUSA/NSUBCAN</t>
  </si>
  <si>
    <t>TBD</t>
  </si>
  <si>
    <t>Dual acquirers via FreedomPay</t>
  </si>
  <si>
    <t>Ingenico Desk 3500</t>
  </si>
  <si>
    <t>DRCT - 004673- VREL</t>
  </si>
  <si>
    <t>SCSTKNSHKE</t>
  </si>
  <si>
    <t>SKNK</t>
  </si>
  <si>
    <t>NSTKSHK</t>
  </si>
  <si>
    <t>NCR-Moving to QikServe (FreedomPay)</t>
  </si>
  <si>
    <t>Moving mobile app to Direct Express Cert with NovaTab</t>
  </si>
  <si>
    <t>DRCT - 005449- VREL</t>
  </si>
  <si>
    <t>NWENDYS</t>
  </si>
  <si>
    <t>WENDYS</t>
  </si>
  <si>
    <t>Stacey Johnson</t>
  </si>
  <si>
    <t>~10% of stores are on Fiserv</t>
  </si>
  <si>
    <t>Worldpay Master Account Plan — 2026-09-04 Change Log</t>
  </si>
  <si>
    <t>Material changes through 2026-09-04. Validation items remain explicit; scores and tiers require human approval to change.</t>
  </si>
  <si>
    <t>Account / Theme</t>
  </si>
  <si>
    <t>Change</t>
  </si>
  <si>
    <t>New Status</t>
  </si>
  <si>
    <t>Owner / Route</t>
  </si>
  <si>
    <t>Review By</t>
  </si>
  <si>
    <t>Del Taco</t>
  </si>
  <si>
    <t>Added verified Yadav ownership event; sourcing remains a hypothesis</t>
  </si>
  <si>
    <t>Active / validate event</t>
  </si>
  <si>
    <t>High ownership; event unverified</t>
  </si>
  <si>
    <t>Finish extension, merge GP leads and map Yadav governance</t>
  </si>
  <si>
    <t>Five Guys</t>
  </si>
  <si>
    <t>Removed certainty around formal spring 2027 RFP; added internal pricing feasibility gate</t>
  </si>
  <si>
    <t>Account shaping / validate</t>
  </si>
  <si>
    <t>Mixed</t>
  </si>
  <si>
    <t>Confirm evaluation, sponsor, renewal/notice dates and internal approval</t>
  </si>
  <si>
    <t>Subway</t>
  </si>
  <si>
    <t>Changed reported Genius scope from DMB to KDS</t>
  </si>
  <si>
    <t>Urgent scope verification</t>
  </si>
  <si>
    <t>RDS five-unit rebrand</t>
  </si>
  <si>
    <t>Added clean-slate reseller pilot</t>
  </si>
  <si>
    <t>Qualify pilot</t>
  </si>
  <si>
    <t>High field / customer facts unverified</t>
  </si>
  <si>
    <t>Document entity, authority, scope, economics, support and protections</t>
  </si>
  <si>
    <t>Pollo Campero</t>
  </si>
  <si>
    <t>Added emerging RFI/international platform opportunity</t>
  </si>
  <si>
    <t>Qualification / bid-no-bid</t>
  </si>
  <si>
    <t>Obtain NDA/RFI, assign owner and confirm Oracle/Worldpay scope</t>
  </si>
  <si>
    <t>Freddy's</t>
  </si>
  <si>
    <t>Downgraded from active P2 to protected RDS watchlist</t>
  </si>
  <si>
    <t>RDS-led / no direct outreach</t>
  </si>
  <si>
    <t>Prove pilot and protection model before CFO value discussion</t>
  </si>
  <si>
    <t>RDS</t>
  </si>
  <si>
    <t>Papa John's</t>
  </si>
  <si>
    <t>Corrected rank; added implementation milestones and Linux-risk lead</t>
  </si>
  <si>
    <t>Deployment/adjacency watch</t>
  </si>
  <si>
    <t>High public; technical claim unverified</t>
  </si>
  <si>
    <t>Monitor rollout and validate technical dependency</t>
  </si>
  <si>
    <t>Slim Chickens</t>
  </si>
  <si>
    <t>Codified RDS-led/no-direct-outreach rule; no new trigger</t>
  </si>
  <si>
    <t>Relationship map</t>
  </si>
  <si>
    <t>Wait for RDS-validated customer problem</t>
  </si>
  <si>
    <t>RDS / Avery</t>
  </si>
  <si>
    <t>PAR competitive signal</t>
  </si>
  <si>
    <t>Added POS/loyalty beachhead, multi-product bundling and payments-attachment pattern</t>
  </si>
  <si>
    <t>Portfolio-wide threat</t>
  </si>
  <si>
    <t>Update discovery and battlecards; counter with modularity and proof</t>
  </si>
  <si>
    <t>Todd / Genius</t>
  </si>
  <si>
    <t>Data quality</t>
  </si>
  <si>
    <t>Dashboard and rankings</t>
  </si>
  <si>
    <t>Corrected P1 count, RM mapping, Papa Johns rank and stack verification wording</t>
  </si>
  <si>
    <t>Resolved</t>
  </si>
  <si>
    <t>Verified workbook issue</t>
  </si>
  <si>
    <t>Use Ranked Portfolio as the source of truth</t>
  </si>
  <si>
    <t>Todd</t>
  </si>
  <si>
    <t>Added outreach-governance risk, FSTEC status and internal funding-model guardrail</t>
  </si>
  <si>
    <t>Account shaping / coordinated access</t>
  </si>
  <si>
    <t>High RM; buying event unverified</t>
  </si>
  <si>
    <t>Centralize outreach through Todd and Avery; validate event and scope</t>
  </si>
  <si>
    <t>Todd / Avery Churchwell</t>
  </si>
  <si>
    <t>Added confirmed FSTEC relationship opening</t>
  </si>
  <si>
    <t>RDS-led relationship mapping</t>
  </si>
  <si>
    <t>High RM</t>
  </si>
  <si>
    <t>Connect attendee with Genius team and coordinate through RDS</t>
  </si>
  <si>
    <t>Avery / Todd / RDS</t>
  </si>
  <si>
    <t>Added no-response status and Genius World follow-through gap</t>
  </si>
  <si>
    <t>RDS-led watchlist</t>
  </si>
  <si>
    <t>High RM; no trigger</t>
  </si>
  <si>
    <t>Confirm RDS-to-Ryan follow-through and FSTEC attendance</t>
  </si>
  <si>
    <t>Added improving-condition assessment</t>
  </si>
  <si>
    <t>Requalify timing</t>
  </si>
  <si>
    <t>Medium RM assessment</t>
  </si>
  <si>
    <t>Validate operating signal and customer trigger</t>
  </si>
  <si>
    <t>Little Caesars</t>
  </si>
  <si>
    <t>Added stalled follow-up and active support-contact signal</t>
  </si>
  <si>
    <t>Relationship recovery</t>
  </si>
  <si>
    <t>High RM interaction</t>
  </si>
  <si>
    <t>Consolidate three open items and use support channel to re-engage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</si>
</sst>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20">
    <font>
      <sz val="11"/>
      <name val="Carlito"/>
    </font>
    <font>
      <b/>
      <sz val="18"/>
      <color rgb="FFFFFFFF"/>
      <name val="Carlito"/>
    </font>
    <font>
      <i/>
      <sz val="10"/>
      <color rgb="FF24323D"/>
      <name val="Carlito"/>
    </font>
    <font>
      <b/>
      <sz val="11"/>
      <color rgb="FFFFFFFF"/>
      <name val="Carlito"/>
    </font>
    <font>
      <sz val="9"/>
      <color rgb="FF24323D"/>
      <name val="Carlito"/>
    </font>
    <font>
      <sz val="11"/>
      <color rgb="FF24323D"/>
      <name val="Carlito"/>
    </font>
    <font>
      <i/>
      <sz val="11"/>
      <color rgb="FF334155"/>
      <name val="Carlito"/>
    </font>
    <font>
      <sz val="10"/>
      <name val="Arial"/>
      <family val="2"/>
    </font>
    <font>
      <sz val="11"/>
      <name val="Arial"/>
      <family val="2"/>
    </font>
    <font>
      <b/>
      <sz val="18"/>
      <color rgb="FFFFFFFF"/>
      <name val="Arial"/>
      <family val="2"/>
    </font>
    <font>
      <i/>
      <sz val="10"/>
      <color rgb="FF24323D"/>
      <name val="Arial"/>
      <family val="2"/>
    </font>
    <font>
      <b/>
      <sz val="11"/>
      <color rgb="FFFFFFFF"/>
      <name val="Arial"/>
      <family val="2"/>
    </font>
    <font>
      <sz val="9"/>
      <color rgb="FF24323D"/>
      <name val="Arial"/>
      <family val="2"/>
    </font>
    <font>
      <sz val="11"/>
      <name val="Arial"/>
      <family val="2"/>
    </font>
    <font>
      <i/>
      <sz val="11"/>
      <color rgb="FF666666"/>
      <name val="Arial"/>
      <family val="2"/>
    </font>
    <font>
      <sz val="10"/>
      <name val="Arial"/>
      <family val="2"/>
    </font>
    <font>
      <b/>
      <sz val="20"/>
      <color rgb="FFFFFFFF"/>
      <name val="Arial"/>
      <family val="2"/>
    </font>
    <font>
      <b/>
      <sz val="20"/>
      <color rgb="FF17365D"/>
      <name val="Arial"/>
      <family val="2"/>
    </font>
    <font>
      <b/>
      <sz val="13"/>
      <color rgb="FFFFFFFF"/>
      <name val="Arial"/>
      <family val="2"/>
    </font>
    <font>
      <b/>
      <sz val="18"/>
      <color rgb="FF17365D"/>
      <name val="Arial"/>
      <family val="2"/>
    </font>
  </fonts>
  <fills count="18">
    <fill>
      <patternFill patternType="none"/>
    </fill>
    <fill>
      <patternFill patternType="gray125"/>
    </fill>
    <fill>
      <patternFill patternType="solid">
        <fgColor rgb="FF17324D"/>
      </patternFill>
    </fill>
    <fill>
      <patternFill patternType="solid">
        <fgColor rgb="FFDDEAF2"/>
      </patternFill>
    </fill>
    <fill>
      <patternFill patternType="solid">
        <fgColor rgb="FF1F6E8C"/>
      </patternFill>
    </fill>
    <fill>
      <patternFill patternType="solid">
        <fgColor rgb="FFF4F7FA"/>
      </patternFill>
    </fill>
    <fill>
      <patternFill patternType="solid">
        <fgColor rgb="FFDCEAF3"/>
      </patternFill>
    </fill>
    <fill>
      <patternFill patternType="solid">
        <fgColor rgb="FF247A96"/>
      </patternFill>
    </fill>
    <fill>
      <patternFill patternType="solid">
        <fgColor rgb="FFEAF5FA"/>
      </patternFill>
    </fill>
    <fill>
      <patternFill patternType="solid">
        <fgColor rgb="FF1F4E78"/>
      </patternFill>
    </fill>
    <fill>
      <patternFill patternType="solid">
        <fgColor rgb="FFFFF8E7"/>
      </patternFill>
    </fill>
    <fill>
      <patternFill patternType="solid">
        <fgColor rgb="FF17365D"/>
      </patternFill>
    </fill>
    <fill>
      <patternFill patternType="solid">
        <fgColor rgb="FFD9EAD3"/>
      </patternFill>
    </fill>
    <fill>
      <patternFill patternType="solid">
        <fgColor rgb="FFFFF2CC"/>
      </patternFill>
    </fill>
    <fill>
      <patternFill patternType="solid">
        <fgColor rgb="FFF2F2F2"/>
      </patternFill>
    </fill>
    <fill>
      <patternFill patternType="solid">
        <fgColor rgb="FF4472C4"/>
      </patternFill>
    </fill>
    <fill>
      <patternFill patternType="solid">
        <fgColor rgb="FFD9EAF7"/>
      </patternFill>
    </fill>
    <fill>
      <patternFill patternType="solid">
        <fgColor rgb="FFF7F9FC"/>
      </patternFill>
    </fill>
  </fills>
  <borders count="16">
    <border>
      <left/>
      <right/>
      <top/>
      <bottom/>
      <diagonal/>
    </border>
    <border>
      <left/>
      <right style="thin">
        <color rgb="FFC7D3DD"/>
      </right>
      <top/>
      <bottom/>
      <diagonal/>
    </border>
    <border>
      <left style="thin">
        <color rgb="FFC7D3DD"/>
      </left>
      <right style="thin">
        <color rgb="FFC7D3DD"/>
      </right>
      <top/>
      <bottom/>
      <diagonal/>
    </border>
    <border>
      <left style="thin">
        <color rgb="FFC7D3DD"/>
      </left>
      <right/>
      <top/>
      <bottom/>
      <diagonal/>
    </border>
    <border>
      <left/>
      <right style="thin">
        <color rgb="FFE1E7EC"/>
      </right>
      <top/>
      <bottom style="thin">
        <color rgb="FFE1E7EC"/>
      </bottom>
      <diagonal/>
    </border>
    <border>
      <left style="thin">
        <color rgb="FFE1E7EC"/>
      </left>
      <right style="thin">
        <color rgb="FFE1E7EC"/>
      </right>
      <top/>
      <bottom style="thin">
        <color rgb="FFE1E7EC"/>
      </bottom>
      <diagonal/>
    </border>
    <border>
      <left style="thin">
        <color rgb="FFE1E7EC"/>
      </left>
      <right/>
      <top/>
      <bottom style="thin">
        <color rgb="FFE1E7EC"/>
      </bottom>
      <diagonal/>
    </border>
    <border>
      <left/>
      <right style="thin">
        <color rgb="FFE1E7EC"/>
      </right>
      <top style="thin">
        <color rgb="FFE1E7EC"/>
      </top>
      <bottom style="thin">
        <color rgb="FFE1E7EC"/>
      </bottom>
      <diagonal/>
    </border>
    <border>
      <left style="thin">
        <color rgb="FFE1E7EC"/>
      </left>
      <right style="thin">
        <color rgb="FFE1E7EC"/>
      </right>
      <top style="thin">
        <color rgb="FFE1E7EC"/>
      </top>
      <bottom style="thin">
        <color rgb="FFE1E7EC"/>
      </bottom>
      <diagonal/>
    </border>
    <border>
      <left style="thin">
        <color rgb="FFE1E7EC"/>
      </left>
      <right/>
      <top style="thin">
        <color rgb="FFE1E7EC"/>
      </top>
      <bottom style="thin">
        <color rgb="FFE1E7EC"/>
      </bottom>
      <diagonal/>
    </border>
    <border>
      <left/>
      <right style="thin">
        <color rgb="FFE1E7EC"/>
      </right>
      <top style="thin">
        <color rgb="FFE1E7EC"/>
      </top>
      <bottom/>
      <diagonal/>
    </border>
    <border>
      <left style="thin">
        <color rgb="FFE1E7EC"/>
      </left>
      <right style="thin">
        <color rgb="FFE1E7EC"/>
      </right>
      <top style="thin">
        <color rgb="FFE1E7EC"/>
      </top>
      <bottom/>
      <diagonal/>
    </border>
    <border>
      <left style="thin">
        <color rgb="FFE1E7EC"/>
      </left>
      <right/>
      <top style="thin">
        <color rgb="FFE1E7EC"/>
      </top>
      <bottom/>
      <diagonal/>
    </border>
    <border>
      <left/>
      <right/>
      <top/>
      <bottom style="thin">
        <color rgb="FFD9E2E8"/>
      </bottom>
      <diagonal/>
    </border>
    <border>
      <left/>
      <right/>
      <top style="thin">
        <color rgb="FFD9E2E8"/>
      </top>
      <bottom style="thin">
        <color rgb="FFD9E2E8"/>
      </bottom>
      <diagonal/>
    </border>
    <border>
      <left/>
      <right/>
      <top style="thin">
        <color rgb="FFD9E2E8"/>
      </top>
      <bottom/>
      <diagonal/>
    </border>
  </borders>
  <cellStyleXfs count="1">
    <xf numFmtId="0" fontId="0" fillId="0" borderId="0"/>
  </cellStyleXfs>
  <cellXfs count="95">
    <xf numFmtId="0" fontId="0" fillId="0" borderId="0" xfId="0"/>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4" fillId="0" borderId="4" xfId="0" applyFont="1" applyBorder="1" applyAlignment="1">
      <alignment vertical="top" wrapText="1"/>
    </xf>
    <xf numFmtId="0" fontId="4" fillId="0" borderId="5" xfId="0" applyFont="1" applyBorder="1" applyAlignment="1">
      <alignment vertical="top" wrapText="1"/>
    </xf>
    <xf numFmtId="0" fontId="4" fillId="0" borderId="6"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9" xfId="0" applyFont="1" applyBorder="1" applyAlignment="1">
      <alignment vertical="top" wrapText="1"/>
    </xf>
    <xf numFmtId="0" fontId="4" fillId="0" borderId="10" xfId="0" applyFont="1" applyBorder="1" applyAlignment="1">
      <alignment vertical="top" wrapText="1"/>
    </xf>
    <xf numFmtId="0" fontId="4" fillId="0" borderId="11" xfId="0" applyFont="1" applyBorder="1" applyAlignment="1">
      <alignment vertical="top" wrapText="1"/>
    </xf>
    <xf numFmtId="0" fontId="4" fillId="0" borderId="12" xfId="0" applyFont="1" applyBorder="1" applyAlignment="1">
      <alignment vertical="top" wrapText="1"/>
    </xf>
    <xf numFmtId="9" fontId="4" fillId="0" borderId="5" xfId="0" applyNumberFormat="1" applyFont="1" applyBorder="1" applyAlignment="1">
      <alignment vertical="top" wrapText="1"/>
    </xf>
    <xf numFmtId="9" fontId="4" fillId="0" borderId="8" xfId="0" applyNumberFormat="1" applyFont="1" applyBorder="1" applyAlignment="1">
      <alignment vertical="top" wrapText="1"/>
    </xf>
    <xf numFmtId="9" fontId="4" fillId="0" borderId="11" xfId="0" applyNumberFormat="1" applyFont="1" applyBorder="1" applyAlignment="1">
      <alignment vertical="top" wrapText="1"/>
    </xf>
    <xf numFmtId="0" fontId="3" fillId="2" borderId="0" xfId="0" applyFont="1" applyFill="1"/>
    <xf numFmtId="0" fontId="5" fillId="5" borderId="0" xfId="0" applyFont="1" applyFill="1" applyAlignment="1">
      <alignment wrapText="1"/>
    </xf>
    <xf numFmtId="164" fontId="4" fillId="0" borderId="5" xfId="0" applyNumberFormat="1" applyFont="1" applyBorder="1" applyAlignment="1">
      <alignment vertical="top" wrapText="1"/>
    </xf>
    <xf numFmtId="164" fontId="4" fillId="0" borderId="8" xfId="0" applyNumberFormat="1" applyFont="1" applyBorder="1" applyAlignment="1">
      <alignment vertical="top" wrapText="1"/>
    </xf>
    <xf numFmtId="164" fontId="4" fillId="0" borderId="11" xfId="0" applyNumberFormat="1" applyFont="1" applyBorder="1" applyAlignment="1">
      <alignment vertical="top" wrapText="1"/>
    </xf>
    <xf numFmtId="165" fontId="4" fillId="0" borderId="5" xfId="0" applyNumberFormat="1" applyFont="1" applyBorder="1" applyAlignment="1">
      <alignment vertical="top" wrapText="1"/>
    </xf>
    <xf numFmtId="165" fontId="4" fillId="0" borderId="8" xfId="0" applyNumberFormat="1" applyFont="1" applyBorder="1" applyAlignment="1">
      <alignment vertical="top" wrapText="1"/>
    </xf>
    <xf numFmtId="165" fontId="4" fillId="0" borderId="11" xfId="0" applyNumberFormat="1" applyFont="1" applyBorder="1" applyAlignment="1">
      <alignment vertical="top" wrapText="1"/>
    </xf>
    <xf numFmtId="165" fontId="4" fillId="0" borderId="6" xfId="0" applyNumberFormat="1" applyFont="1" applyBorder="1" applyAlignment="1">
      <alignment vertical="top" wrapText="1"/>
    </xf>
    <xf numFmtId="165" fontId="4" fillId="0" borderId="9" xfId="0" applyNumberFormat="1" applyFont="1" applyBorder="1" applyAlignment="1">
      <alignment vertical="top" wrapText="1"/>
    </xf>
    <xf numFmtId="165" fontId="4" fillId="0" borderId="12" xfId="0" applyNumberFormat="1" applyFont="1" applyBorder="1" applyAlignment="1">
      <alignment vertical="top" wrapText="1"/>
    </xf>
    <xf numFmtId="3" fontId="4" fillId="0" borderId="5" xfId="0" applyNumberFormat="1" applyFont="1" applyBorder="1" applyAlignment="1">
      <alignment vertical="top" wrapText="1"/>
    </xf>
    <xf numFmtId="3" fontId="4" fillId="0" borderId="8" xfId="0" applyNumberFormat="1" applyFont="1" applyBorder="1" applyAlignment="1">
      <alignment vertical="top" wrapText="1"/>
    </xf>
    <xf numFmtId="3" fontId="4" fillId="0" borderId="11" xfId="0" applyNumberFormat="1" applyFont="1" applyBorder="1" applyAlignment="1">
      <alignment vertical="top" wrapText="1"/>
    </xf>
    <xf numFmtId="0" fontId="0" fillId="0" borderId="0" xfId="0" applyAlignment="1">
      <alignment wrapText="1"/>
    </xf>
    <xf numFmtId="0" fontId="0" fillId="0" borderId="14" xfId="0" applyBorder="1" applyAlignment="1">
      <alignment vertical="top" wrapText="1"/>
    </xf>
    <xf numFmtId="165" fontId="0" fillId="0" borderId="14" xfId="0" applyNumberFormat="1" applyBorder="1" applyAlignment="1">
      <alignment vertical="top" wrapText="1"/>
    </xf>
    <xf numFmtId="0" fontId="0" fillId="0" borderId="15" xfId="0" applyBorder="1" applyAlignment="1">
      <alignment vertical="top" wrapText="1"/>
    </xf>
    <xf numFmtId="165" fontId="0" fillId="0" borderId="15" xfId="0" applyNumberFormat="1" applyBorder="1" applyAlignment="1">
      <alignment vertical="top" wrapText="1"/>
    </xf>
    <xf numFmtId="0" fontId="0" fillId="8" borderId="13" xfId="0" applyFill="1" applyBorder="1" applyAlignment="1">
      <alignment vertical="top" wrapText="1"/>
    </xf>
    <xf numFmtId="165" fontId="0" fillId="8" borderId="13" xfId="0" applyNumberFormat="1" applyFill="1" applyBorder="1" applyAlignment="1">
      <alignment vertical="top" wrapText="1"/>
    </xf>
    <xf numFmtId="0" fontId="0" fillId="8" borderId="14" xfId="0" applyFill="1" applyBorder="1" applyAlignment="1">
      <alignment vertical="top" wrapText="1"/>
    </xf>
    <xf numFmtId="165" fontId="0" fillId="8" borderId="14" xfId="0" applyNumberFormat="1" applyFill="1" applyBorder="1" applyAlignment="1">
      <alignment vertical="top" wrapText="1"/>
    </xf>
    <xf numFmtId="9" fontId="0" fillId="0" borderId="0" xfId="0" applyNumberFormat="1" applyAlignment="1">
      <alignment wrapText="1"/>
    </xf>
    <xf numFmtId="0" fontId="0" fillId="0" borderId="0" xfId="0" applyAlignment="1">
      <alignment vertical="top" wrapText="1"/>
    </xf>
    <xf numFmtId="0" fontId="3" fillId="4" borderId="1" xfId="0" applyFont="1" applyFill="1" applyBorder="1" applyAlignment="1">
      <alignment vertical="top" wrapText="1"/>
    </xf>
    <xf numFmtId="0" fontId="3" fillId="4" borderId="2" xfId="0" applyFont="1" applyFill="1" applyBorder="1" applyAlignment="1">
      <alignment vertical="top" wrapText="1"/>
    </xf>
    <xf numFmtId="0" fontId="3" fillId="4" borderId="3" xfId="0" applyFont="1" applyFill="1" applyBorder="1" applyAlignment="1">
      <alignment vertical="top" wrapText="1"/>
    </xf>
    <xf numFmtId="165" fontId="0" fillId="0" borderId="0" xfId="0" applyNumberFormat="1" applyAlignment="1">
      <alignment vertical="top" wrapText="1"/>
    </xf>
    <xf numFmtId="0" fontId="3" fillId="7" borderId="0" xfId="0" applyFont="1" applyFill="1" applyAlignment="1">
      <alignment vertical="top" wrapText="1"/>
    </xf>
    <xf numFmtId="0" fontId="8" fillId="17" borderId="0" xfId="0" applyFont="1" applyFill="1"/>
    <xf numFmtId="0" fontId="7" fillId="12" borderId="0" xfId="0" applyFont="1" applyFill="1" applyAlignment="1">
      <alignment vertical="top" wrapText="1"/>
    </xf>
    <xf numFmtId="0" fontId="7" fillId="13" borderId="0" xfId="0" applyFont="1" applyFill="1" applyAlignment="1">
      <alignment vertical="top" wrapText="1"/>
    </xf>
    <xf numFmtId="0" fontId="7" fillId="14" borderId="0" xfId="0" applyFont="1" applyFill="1" applyAlignment="1">
      <alignment vertical="top" wrapText="1"/>
    </xf>
    <xf numFmtId="0" fontId="0" fillId="10" borderId="0" xfId="0" applyFill="1" applyAlignment="1">
      <alignment vertical="top" wrapText="1"/>
    </xf>
    <xf numFmtId="0" fontId="13" fillId="17" borderId="0" xfId="0" applyFont="1" applyFill="1"/>
    <xf numFmtId="0" fontId="11" fillId="9" borderId="0" xfId="0" applyFont="1" applyFill="1" applyAlignment="1">
      <alignment horizontal="center" vertical="center" wrapText="1"/>
    </xf>
    <xf numFmtId="0" fontId="15" fillId="12" borderId="0" xfId="0" applyFont="1" applyFill="1" applyAlignment="1">
      <alignment vertical="top" wrapText="1"/>
    </xf>
    <xf numFmtId="0" fontId="15" fillId="13" borderId="0" xfId="0" applyFont="1" applyFill="1" applyAlignment="1">
      <alignment vertical="top" wrapText="1"/>
    </xf>
    <xf numFmtId="0" fontId="15" fillId="14" borderId="0" xfId="0" applyFont="1" applyFill="1" applyAlignment="1">
      <alignment vertical="top" wrapText="1"/>
    </xf>
    <xf numFmtId="0" fontId="11" fillId="9" borderId="1" xfId="0" applyFont="1" applyFill="1" applyBorder="1" applyAlignment="1">
      <alignment horizontal="center" vertical="center" wrapText="1"/>
    </xf>
    <xf numFmtId="0" fontId="11" fillId="9" borderId="2" xfId="0" applyFont="1" applyFill="1" applyBorder="1" applyAlignment="1">
      <alignment horizontal="center" vertical="center" wrapText="1"/>
    </xf>
    <xf numFmtId="0" fontId="11" fillId="9" borderId="3" xfId="0" applyFont="1" applyFill="1" applyBorder="1" applyAlignment="1">
      <alignment horizontal="center" vertical="center" wrapText="1"/>
    </xf>
    <xf numFmtId="0" fontId="12" fillId="0" borderId="4" xfId="0" applyFont="1" applyBorder="1" applyAlignment="1">
      <alignment vertical="top" wrapText="1"/>
    </xf>
    <xf numFmtId="0" fontId="12" fillId="0" borderId="5" xfId="0" applyFont="1" applyBorder="1" applyAlignment="1">
      <alignment vertical="top" wrapText="1"/>
    </xf>
    <xf numFmtId="164" fontId="12" fillId="0" borderId="5" xfId="0" applyNumberFormat="1" applyFont="1" applyBorder="1" applyAlignment="1">
      <alignment vertical="top" wrapText="1"/>
    </xf>
    <xf numFmtId="1" fontId="12" fillId="0" borderId="5" xfId="0" applyNumberFormat="1" applyFont="1" applyBorder="1" applyAlignment="1">
      <alignment vertical="top" wrapText="1"/>
    </xf>
    <xf numFmtId="0" fontId="12" fillId="0" borderId="6" xfId="0" applyFont="1" applyBorder="1" applyAlignment="1">
      <alignment vertical="top" wrapText="1"/>
    </xf>
    <xf numFmtId="0" fontId="12" fillId="0" borderId="7" xfId="0" applyFont="1" applyBorder="1" applyAlignment="1">
      <alignment vertical="top" wrapText="1"/>
    </xf>
    <xf numFmtId="0" fontId="12" fillId="0" borderId="8" xfId="0" applyFont="1" applyBorder="1" applyAlignment="1">
      <alignment vertical="top" wrapText="1"/>
    </xf>
    <xf numFmtId="164" fontId="12" fillId="0" borderId="8" xfId="0" applyNumberFormat="1" applyFont="1" applyBorder="1" applyAlignment="1">
      <alignment vertical="top" wrapText="1"/>
    </xf>
    <xf numFmtId="1" fontId="12" fillId="0" borderId="8" xfId="0" applyNumberFormat="1" applyFont="1" applyBorder="1" applyAlignment="1">
      <alignment vertical="top" wrapText="1"/>
    </xf>
    <xf numFmtId="0" fontId="12" fillId="0" borderId="9" xfId="0" applyFont="1" applyBorder="1" applyAlignment="1">
      <alignment vertical="top" wrapText="1"/>
    </xf>
    <xf numFmtId="0" fontId="12" fillId="0" borderId="10" xfId="0" applyFont="1" applyBorder="1" applyAlignment="1">
      <alignment vertical="top" wrapText="1"/>
    </xf>
    <xf numFmtId="0" fontId="12" fillId="0" borderId="11" xfId="0" applyFont="1" applyBorder="1" applyAlignment="1">
      <alignment vertical="top" wrapText="1"/>
    </xf>
    <xf numFmtId="164" fontId="12" fillId="0" borderId="11" xfId="0" applyNumberFormat="1" applyFont="1" applyBorder="1" applyAlignment="1">
      <alignment vertical="top" wrapText="1"/>
    </xf>
    <xf numFmtId="1" fontId="12" fillId="0" borderId="11" xfId="0" applyNumberFormat="1" applyFont="1" applyBorder="1" applyAlignment="1">
      <alignment vertical="top" wrapText="1"/>
    </xf>
    <xf numFmtId="0" fontId="12" fillId="0" borderId="12" xfId="0" applyFont="1" applyBorder="1" applyAlignment="1">
      <alignment vertical="top" wrapText="1"/>
    </xf>
    <xf numFmtId="0" fontId="13" fillId="0" borderId="0" xfId="0" applyFont="1" applyAlignment="1">
      <alignment vertical="top" wrapText="1"/>
    </xf>
    <xf numFmtId="0" fontId="13" fillId="10" borderId="0" xfId="0" applyFont="1" applyFill="1" applyAlignment="1">
      <alignment vertical="top" wrapText="1"/>
    </xf>
    <xf numFmtId="0" fontId="17" fillId="16" borderId="0" xfId="0" applyFont="1" applyFill="1" applyAlignment="1">
      <alignment horizontal="center"/>
    </xf>
    <xf numFmtId="0" fontId="0" fillId="0" borderId="0" xfId="0"/>
    <xf numFmtId="0" fontId="13" fillId="17" borderId="0" xfId="0" applyFont="1" applyFill="1" applyAlignment="1">
      <alignment vertical="top" wrapText="1"/>
    </xf>
    <xf numFmtId="0" fontId="16" fillId="11" borderId="0" xfId="0" applyFont="1" applyFill="1" applyAlignment="1">
      <alignment vertical="center"/>
    </xf>
    <xf numFmtId="0" fontId="11" fillId="15" borderId="0" xfId="0" applyFont="1" applyFill="1" applyAlignment="1">
      <alignment horizontal="center"/>
    </xf>
    <xf numFmtId="0" fontId="18" fillId="9" borderId="0" xfId="0" applyFont="1" applyFill="1"/>
    <xf numFmtId="0" fontId="14" fillId="0" borderId="0" xfId="0" applyFont="1"/>
    <xf numFmtId="0" fontId="19" fillId="16" borderId="0" xfId="0" applyFont="1" applyFill="1" applyAlignment="1">
      <alignment horizontal="center"/>
    </xf>
    <xf numFmtId="0" fontId="11" fillId="9" borderId="0" xfId="0" applyFont="1" applyFill="1"/>
    <xf numFmtId="0" fontId="14" fillId="0" borderId="0" xfId="0" applyFont="1" applyAlignment="1">
      <alignment wrapText="1"/>
    </xf>
    <xf numFmtId="0" fontId="9" fillId="11" borderId="0" xfId="0" applyFont="1" applyFill="1" applyAlignment="1">
      <alignment vertical="center"/>
    </xf>
    <xf numFmtId="0" fontId="10" fillId="3" borderId="0" xfId="0" applyFont="1" applyFill="1" applyAlignment="1">
      <alignment vertical="top" wrapText="1"/>
    </xf>
    <xf numFmtId="0" fontId="9" fillId="2" borderId="0" xfId="0" applyFont="1" applyFill="1" applyAlignment="1">
      <alignment vertical="top" wrapText="1"/>
    </xf>
    <xf numFmtId="0" fontId="2" fillId="3" borderId="0" xfId="0" applyFont="1" applyFill="1" applyAlignment="1">
      <alignment vertical="center" wrapText="1"/>
    </xf>
    <xf numFmtId="0" fontId="1" fillId="2" borderId="0" xfId="0" applyFont="1" applyFill="1" applyAlignment="1">
      <alignment vertical="center"/>
    </xf>
    <xf numFmtId="0" fontId="1" fillId="2" borderId="0" xfId="0" applyFont="1" applyFill="1" applyAlignment="1">
      <alignment vertical="top" wrapText="1"/>
    </xf>
    <xf numFmtId="0" fontId="2" fillId="3" borderId="0" xfId="0" applyFont="1" applyFill="1" applyAlignment="1">
      <alignment vertical="top" wrapText="1"/>
    </xf>
    <xf numFmtId="0" fontId="6" fillId="6" borderId="0" xfId="0" applyFont="1" applyFill="1" applyAlignment="1">
      <alignment vertical="top" wrapText="1"/>
    </xf>
    <xf numFmtId="0" fontId="3" fillId="2" borderId="0" xfId="0" applyFont="1" applyFill="1" applyAlignment="1">
      <alignment vertical="top" wrapText="1"/>
    </xf>
  </cellXfs>
  <cellStyles count="1">
    <cellStyle name="Normal" xfId="0" builtinId="0"/>
  </cellStyles>
  <dxfs count="5">
    <dxf>
      <font>
        <b/>
        <color rgb="FF246B32"/>
      </font>
      <fill>
        <patternFill>
          <bgColor rgb="FFD9EEDC"/>
        </patternFill>
      </fill>
    </dxf>
    <dxf>
      <font>
        <b/>
        <color rgb="FF9B2C24"/>
      </font>
      <fill>
        <patternFill>
          <bgColor rgb="FFFCE0DC"/>
        </patternFill>
      </fill>
    </dxf>
    <dxf>
      <font>
        <b/>
        <color rgb="FF9B2C24"/>
      </font>
      <fill>
        <patternFill>
          <bgColor rgb="FFFCE0DC"/>
        </patternFill>
      </fill>
    </dxf>
    <dxf>
      <font>
        <b/>
        <color rgb="FF17324D"/>
      </font>
      <fill>
        <patternFill>
          <bgColor rgb="FFDDEAF2"/>
        </patternFill>
      </fill>
    </dxf>
    <dxf>
      <font>
        <b/>
        <color rgb="FF7A5300"/>
      </font>
      <fill>
        <patternFill>
          <bgColor rgb="FFFCE8B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Supplemental accounts by source segment</a:t>
            </a:r>
          </a:p>
        </c:rich>
      </c:tx>
      <c:overlay val="1"/>
    </c:title>
    <c:autoTitleDeleted val="0"/>
    <c:plotArea>
      <c:layout/>
      <c:barChart>
        <c:barDir val="bar"/>
        <c:grouping val="clustered"/>
        <c:varyColors val="1"/>
        <c:ser>
          <c:idx val="0"/>
          <c:order val="0"/>
          <c:tx>
            <c:strRef>
              <c:f>Dashboard!$F$11</c:f>
              <c:strCache>
                <c:ptCount val="1"/>
              </c:strCache>
            </c:strRef>
          </c:tx>
          <c:spPr>
            <a:ln>
              <a:prstDash val="solid"/>
            </a:ln>
          </c:spPr>
          <c:invertIfNegative val="1"/>
          <c:cat>
            <c:strRef>
              <c:f>Dashboard!$E$12:$E$20</c:f>
              <c:strCache>
                <c:ptCount val="9"/>
                <c:pt idx="0">
                  <c:v>Coffee</c:v>
                </c:pt>
                <c:pt idx="1">
                  <c:v>Burger</c:v>
                </c:pt>
                <c:pt idx="2">
                  <c:v>Mexican</c:v>
                </c:pt>
                <c:pt idx="3">
                  <c:v>Sandwich</c:v>
                </c:pt>
                <c:pt idx="4">
                  <c:v>Family Dining</c:v>
                </c:pt>
                <c:pt idx="5">
                  <c:v>Full-Service Dining</c:v>
                </c:pt>
                <c:pt idx="6">
                  <c:v>Pizza</c:v>
                </c:pt>
                <c:pt idx="7">
                  <c:v>Dessert</c:v>
                </c:pt>
                <c:pt idx="8">
                  <c:v>Other</c:v>
                </c:pt>
              </c:strCache>
            </c:strRef>
          </c:cat>
          <c:val>
            <c:numRef>
              <c:f>Dashboard!$F$12:$F$20</c:f>
              <c:numCache>
                <c:formatCode>General</c:formatCode>
                <c:ptCount val="9"/>
                <c:pt idx="0">
                  <c:v>0</c:v>
                </c:pt>
                <c:pt idx="1">
                  <c:v>1</c:v>
                </c:pt>
                <c:pt idx="2">
                  <c:v>1</c:v>
                </c:pt>
                <c:pt idx="3">
                  <c:v>1</c:v>
                </c:pt>
                <c:pt idx="4">
                  <c:v>3</c:v>
                </c:pt>
                <c:pt idx="5">
                  <c:v>1</c:v>
                </c:pt>
                <c:pt idx="6">
                  <c:v>2</c:v>
                </c:pt>
                <c:pt idx="7">
                  <c:v>1</c:v>
                </c:pt>
                <c:pt idx="8">
                  <c:v>75</c:v>
                </c:pt>
              </c:numCache>
            </c:numRef>
          </c:val>
          <c:extLst>
            <c:ext xmlns:c16="http://schemas.microsoft.com/office/drawing/2014/chart" uri="{C3380CC4-5D6E-409C-BE32-E72D297353CC}">
              <c16:uniqueId val="{00000000-6AE3-D643-A560-4CD80121ED36}"/>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t>Accounts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t>Segment</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0</xdr:colOff>
      <xdr:row>10</xdr:row>
      <xdr:rowOff>0</xdr:rowOff>
    </xdr:from>
    <xdr:ext cx="4320000" cy="252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ddedAccountsOverview" displayName="AddedAccountsOverview" ref="A4:R89">
  <autoFilter ref="A4:R89" xr:uid="{00000000-0009-0000-0100-000001000000}"/>
  <tableColumns count="18">
    <tableColumn id="1" xr3:uid="{00000000-0010-0000-0000-000001000000}" name="Meeting Priority"/>
    <tableColumn id="2" xr3:uid="{00000000-0010-0000-0000-000002000000}" name="Account"/>
    <tableColumn id="3" xr3:uid="{00000000-0010-0000-0000-000003000000}" name="Source Relevance"/>
    <tableColumn id="4" xr3:uid="{00000000-0010-0000-0000-000004000000}" name="Sub-segment"/>
    <tableColumn id="5" xr3:uid="{00000000-0010-0000-0000-000005000000}" name="Technomic Rank"/>
    <tableColumn id="6" xr3:uid="{00000000-0010-0000-0000-000006000000}" name="Approx. Units"/>
    <tableColumn id="7" xr3:uid="{00000000-0010-0000-0000-000007000000}" name="Parent / Platform"/>
    <tableColumn id="8" xr3:uid="{00000000-0010-0000-0000-000008000000}" name="Research Summary"/>
    <tableColumn id="9" xr3:uid="{00000000-0010-0000-0000-000009000000}" name="Known Technology"/>
    <tableColumn id="10" xr3:uid="{00000000-0010-0000-0000-00000A000000}" name="Worldpay Posture"/>
    <tableColumn id="11" xr3:uid="{00000000-0010-0000-0000-00000B000000}" name="Recommended Next Action"/>
    <tableColumn id="12" xr3:uid="{00000000-0010-0000-0000-00000C000000}" name="Research Status"/>
    <tableColumn id="13" xr3:uid="{00000000-0010-0000-0000-00000D000000}" name="Source References"/>
    <tableColumn id="14" xr3:uid="{00000000-0010-0000-0000-00000E000000}" name="Account Type"/>
    <tableColumn id="15" xr3:uid="{00000000-0010-0000-0000-00000F000000}" name="Location Scope"/>
    <tableColumn id="16" xr3:uid="{00000000-0010-0000-0000-000010000000}" name="Location Confidence"/>
    <tableColumn id="17" xr3:uid="{00000000-0010-0000-0000-000011000000}" name="WP Relationship Owner"/>
    <tableColumn id="18" xr3:uid="{00000000-0010-0000-0000-000012000000}" name="Internal Clarification Need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ankedPortfolioTable" displayName="RankedPortfolioTable" ref="A4:AL119">
  <autoFilter ref="A4:AL119" xr:uid="{00000000-0009-0000-0100-000002000000}"/>
  <tableColumns count="38">
    <tableColumn id="1" xr3:uid="{00000000-0010-0000-0100-000001000000}" name="Rank"/>
    <tableColumn id="2" xr3:uid="{00000000-0010-0000-0100-000002000000}" name="Priority"/>
    <tableColumn id="3" xr3:uid="{00000000-0010-0000-0100-000003000000}" name="Account"/>
    <tableColumn id="4" xr3:uid="{00000000-0010-0000-0100-000004000000}" name="RM"/>
    <tableColumn id="5" xr3:uid="{00000000-0010-0000-0100-000005000000}" name="Tier"/>
    <tableColumn id="6" xr3:uid="{00000000-0010-0000-0100-000006000000}" name="Locations"/>
    <tableColumn id="7" xr3:uid="{00000000-0010-0000-0100-000007000000}" name="Score"/>
    <tableColumn id="8" xr3:uid="{00000000-0010-0000-0100-000008000000}" name="Strategic Value"/>
    <tableColumn id="9" xr3:uid="{00000000-0010-0000-0100-000009000000}" name="Active Trigger"/>
    <tableColumn id="10" xr3:uid="{00000000-0010-0000-0100-00000A000000}" name="Access"/>
    <tableColumn id="11" xr3:uid="{00000000-0010-0000-0100-00000B000000}" name="Lifecycle"/>
    <tableColumn id="12" xr3:uid="{00000000-0010-0000-0100-00000C000000}" name="Deployment Health"/>
    <tableColumn id="13" xr3:uid="{00000000-0010-0000-0100-00000D000000}" name="Whitespace"/>
    <tableColumn id="14" xr3:uid="{00000000-0010-0000-0100-00000E000000}" name="Coordination"/>
    <tableColumn id="15" xr3:uid="{00000000-0010-0000-0100-00000F000000}" name="Trigger / Current State"/>
    <tableColumn id="16" xr3:uid="{00000000-0010-0000-0100-000010000000}" name="Lifecycle Posture"/>
    <tableColumn id="17" xr3:uid="{00000000-0010-0000-0100-000011000000}" name="Health"/>
    <tableColumn id="18" xr3:uid="{00000000-0010-0000-0100-000012000000}" name="Opportunity Type"/>
    <tableColumn id="19" xr3:uid="{00000000-0010-0000-0100-000013000000}" name="Immediate Next Action"/>
    <tableColumn id="20" xr3:uid="{00000000-0010-0000-0100-000014000000}" name="Key Vendors"/>
    <tableColumn id="21" xr3:uid="{00000000-0010-0000-0100-000015000000}" name="Field Intelligence"/>
    <tableColumn id="22" xr3:uid="{00000000-0010-0000-0100-000016000000}" name="Evidence Confidence"/>
    <tableColumn id="23" xr3:uid="{00000000-0010-0000-0100-000017000000}" name="Region"/>
    <tableColumn id="24" xr3:uid="{00000000-0010-0000-0100-000018000000}" name="Geo"/>
    <tableColumn id="25" xr3:uid="{00000000-0010-0000-0100-000019000000}" name="Sub-segment"/>
    <tableColumn id="26" xr3:uid="{00000000-0010-0000-0100-00001A000000}" name="Relevant to synergy"/>
    <tableColumn id="27" xr3:uid="{00000000-0010-0000-0100-00001B000000}" name="Dyssynergy with WP"/>
    <tableColumn id="28" xr3:uid="{00000000-0010-0000-0100-00001C000000}" name="WP Attrition"/>
    <tableColumn id="29" xr3:uid="{00000000-0010-0000-0100-00001D000000}" name="WP Rep"/>
    <tableColumn id="30" xr3:uid="{00000000-0010-0000-0100-00001E000000}" name="WP Products Used"/>
    <tableColumn id="31" xr3:uid="{00000000-0010-0000-0100-00001F000000}" name="Genius Rep"/>
    <tableColumn id="32" xr3:uid="{00000000-0010-0000-0100-000020000000}" name="GP Products Used"/>
    <tableColumn id="33" xr3:uid="{00000000-0010-0000-0100-000021000000}" name="Supplemental Source"/>
    <tableColumn id="34" xr3:uid="{00000000-0010-0000-0100-000022000000}" name="Account Type"/>
    <tableColumn id="35" xr3:uid="{00000000-0010-0000-0100-000023000000}" name="Location Scope"/>
    <tableColumn id="36" xr3:uid="{00000000-0010-0000-0100-000024000000}" name="Location Confidence"/>
    <tableColumn id="37" xr3:uid="{00000000-0010-0000-0100-000025000000}" name="WP Relationship Owner"/>
    <tableColumn id="38" xr3:uid="{00000000-0010-0000-0100-000026000000}" name="Internal Clarification Neede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ckTable" displayName="StackTable" ref="A4:R36" totalsRowShown="0">
  <tableColumns count="18">
    <tableColumn id="1" xr3:uid="{00000000-0010-0000-0200-000001000000}" name="Account"/>
    <tableColumn id="2" xr3:uid="{00000000-0010-0000-0200-000002000000}" name="RM"/>
    <tableColumn id="3" xr3:uid="{00000000-0010-0000-0200-000003000000}" name="POS"/>
    <tableColumn id="4" xr3:uid="{00000000-0010-0000-0200-000004000000}" name="Payments / Gateway"/>
    <tableColumn id="5" xr3:uid="{00000000-0010-0000-0200-000005000000}" name="Digital / Ordering"/>
    <tableColumn id="6" xr3:uid="{00000000-0010-0000-0200-000006000000}" name="Loyalty / CRM"/>
    <tableColumn id="7" xr3:uid="{00000000-0010-0000-0200-000007000000}" name="Back Office / Labor / Inventory"/>
    <tableColumn id="8" xr3:uid="{00000000-0010-0000-0200-000008000000}" name="Kiosk / DMB"/>
    <tableColumn id="9" xr3:uid="{00000000-0010-0000-0200-000009000000}" name="KDS / Kitchen"/>
    <tableColumn id="10" xr3:uid="{00000000-0010-0000-0200-00000A000000}" name="Drive-Thru"/>
    <tableColumn id="11" xr3:uid="{00000000-0010-0000-0200-00000B000000}" name="Hardware"/>
    <tableColumn id="12" xr3:uid="{00000000-0010-0000-0200-00000C000000}" name="Lifecycle"/>
    <tableColumn id="13" xr3:uid="{00000000-0010-0000-0200-00000D000000}" name="Deployment Health"/>
    <tableColumn id="14" xr3:uid="{00000000-0010-0000-0200-00000E000000}" name="Known Layers"/>
    <tableColumn id="15" xr3:uid="{00000000-0010-0000-0200-00000F000000}" name="Unknown Layers"/>
    <tableColumn id="16" xr3:uid="{00000000-0010-0000-0200-000010000000}" name="Coverage %"/>
    <tableColumn id="17" xr3:uid="{00000000-0010-0000-0200-000011000000}" name="Primary Opportunity"/>
    <tableColumn id="18" xr3:uid="{00000000-0010-0000-0200-000012000000}" name="Next Verification"/>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videnceTable" displayName="EvidenceTable" ref="A4:J74" totalsRowShown="0">
  <tableColumns count="10">
    <tableColumn id="1" xr3:uid="{00000000-0010-0000-0300-000001000000}" name="Account"/>
    <tableColumn id="2" xr3:uid="{00000000-0010-0000-0300-000002000000}" name="Technology Layer"/>
    <tableColumn id="3" xr3:uid="{00000000-0010-0000-0300-000003000000}" name="Event Type"/>
    <tableColumn id="4" xr3:uid="{00000000-0010-0000-0300-000004000000}" name="Event Date"/>
    <tableColumn id="5" xr3:uid="{00000000-0010-0000-0300-000005000000}" name="Source / Publisher"/>
    <tableColumn id="6" xr3:uid="{00000000-0010-0000-0300-000006000000}" name="Evidence Summary"/>
    <tableColumn id="7" xr3:uid="{00000000-0010-0000-0300-000007000000}" name="Source URL or Reference"/>
    <tableColumn id="8" xr3:uid="{00000000-0010-0000-0300-000008000000}" name="Confidence"/>
    <tableColumn id="9" xr3:uid="{00000000-0010-0000-0300-000009000000}" name="Current-State Interpretation"/>
    <tableColumn id="10" xr3:uid="{00000000-0010-0000-0300-00000A000000}" name="Research Da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nflictTable" displayName="ConflictTable" ref="A4:G17" totalsRowShown="0">
  <tableColumns count="7">
    <tableColumn id="1" xr3:uid="{00000000-0010-0000-0400-000001000000}" name="Account"/>
    <tableColumn id="2" xr3:uid="{00000000-0010-0000-0400-000002000000}" name="Issue"/>
    <tableColumn id="3" xr3:uid="{00000000-0010-0000-0400-000003000000}" name="Incoming / Legacy View"/>
    <tableColumn id="4" xr3:uid="{00000000-0010-0000-0400-000004000000}" name="Newer Evidence"/>
    <tableColumn id="5" xr3:uid="{00000000-0010-0000-0400-000005000000}" name="Evidence Type"/>
    <tableColumn id="6" xr3:uid="{00000000-0010-0000-0400-000006000000}" name="Resolution Action"/>
    <tableColumn id="7" xr3:uid="{00000000-0010-0000-0400-000007000000}" name="Statu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MTable" displayName="RMTable" ref="A4:H10" totalsRowShown="0">
  <tableColumns count="8">
    <tableColumn id="1" xr3:uid="{00000000-0010-0000-0500-000001000000}" name="RM"/>
    <tableColumn id="2" xr3:uid="{00000000-0010-0000-0500-000002000000}" name="Opportunity Accounts"/>
    <tableColumn id="3" xr3:uid="{00000000-0010-0000-0500-000003000000}" name="P1 Accounts"/>
    <tableColumn id="4" xr3:uid="{00000000-0010-0000-0500-000004000000}" name="Average Score"/>
    <tableColumn id="5" xr3:uid="{00000000-0010-0000-0500-000005000000}" name="Top Ranked Accounts"/>
    <tableColumn id="6" xr3:uid="{00000000-0010-0000-0500-000006000000}" name="Trigger Summary"/>
    <tableColumn id="7" xr3:uid="{00000000-0010-0000-0500-000007000000}" name="Workshop Focus"/>
    <tableColumn id="8" xr3:uid="{00000000-0010-0000-0500-000008000000}" name="Required Output"/>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WorldpaySourceTable" displayName="WorldpaySourceTable" ref="A1:AS31" totalsRowShown="0">
  <tableColumns count="45">
    <tableColumn id="1" xr3:uid="{00000000-0010-0000-0600-000001000000}" name="Merchant"/>
    <tableColumn id="2" xr3:uid="{00000000-0010-0000-0600-000002000000}" name="DIrect ID"/>
    <tableColumn id="3" xr3:uid="{00000000-0010-0000-0600-000003000000}" name="Superchain/Corp Chain"/>
    <tableColumn id="4" xr3:uid="{00000000-0010-0000-0600-000004000000}" name="Franchise Code"/>
    <tableColumn id="5" xr3:uid="{00000000-0010-0000-0600-000005000000}" name="National Bank"/>
    <tableColumn id="6" xr3:uid="{00000000-0010-0000-0600-000006000000}" name="CP/Ecom"/>
    <tableColumn id="7" xr3:uid="{00000000-0010-0000-0600-000007000000}" name="Owner"/>
    <tableColumn id="8" xr3:uid="{00000000-0010-0000-0600-000008000000}" name="Vertical"/>
    <tableColumn id="9" xr3:uid="{00000000-0010-0000-0600-000009000000}" name="2022_x000a_Jan-Sep"/>
    <tableColumn id="10" xr3:uid="{00000000-0010-0000-0600-00000A000000}" name="2022_x000a_Forecast"/>
    <tableColumn id="11" xr3:uid="{00000000-0010-0000-0600-00000B000000}" name="Tier"/>
    <tableColumn id="12" xr3:uid="{00000000-0010-0000-0600-00000C000000}" name="# of Locations"/>
    <tableColumn id="13" xr3:uid="{00000000-0010-0000-0600-00000D000000}" name="% Corporated Owned"/>
    <tableColumn id="14" xr3:uid="{00000000-0010-0000-0600-00000E000000}" name="% Franchise Owned."/>
    <tableColumn id="15" xr3:uid="{00000000-0010-0000-0600-00000F000000}" name="Int'l?"/>
    <tableColumn id="16" xr3:uid="{00000000-0010-0000-0600-000010000000}" name="RM"/>
    <tableColumn id="17" xr3:uid="{00000000-0010-0000-0600-000011000000}" name="CSM"/>
    <tableColumn id="18" xr3:uid="{00000000-0010-0000-0600-000012000000}" name="PCO?"/>
    <tableColumn id="19" xr3:uid="{00000000-0010-0000-0600-000013000000}" name="Franchise Relationship Manager"/>
    <tableColumn id="20" xr3:uid="{00000000-0010-0000-0600-000014000000}" name="Notes"/>
    <tableColumn id="21" xr3:uid="{00000000-0010-0000-0600-000015000000}" name="POS"/>
    <tableColumn id="22" xr3:uid="{00000000-0010-0000-0600-000016000000}" name="ISV"/>
    <tableColumn id="23" xr3:uid="{00000000-0010-0000-0600-000017000000}" name="Terminals"/>
    <tableColumn id="24" xr3:uid="{00000000-0010-0000-0600-000018000000}" name="Kiosk"/>
    <tableColumn id="25" xr3:uid="{00000000-0010-0000-0600-000019000000}" name="Ecommerce-Worldpay"/>
    <tableColumn id="26" xr3:uid="{00000000-0010-0000-0600-00001A000000}" name="Ecommerce-Other"/>
    <tableColumn id="27" xr3:uid="{00000000-0010-0000-0600-00001B000000}" name="Tier Adj_x000a_(Susan)"/>
    <tableColumn id="28" xr3:uid="{00000000-0010-0000-0600-00001C000000}" name="Vertical Adj_x000a_(James)"/>
    <tableColumn id="29" xr3:uid="{00000000-0010-0000-0600-00001D000000}" name="Tier Adj_x000a_(James)"/>
    <tableColumn id="30" xr3:uid="{00000000-0010-0000-0600-00001E000000}" name="James"/>
    <tableColumn id="31" xr3:uid="{00000000-0010-0000-0600-00001F000000}" name="Notes.1"/>
    <tableColumn id="32" xr3:uid="{00000000-0010-0000-0600-000020000000}" name="Missing"/>
    <tableColumn id="33" xr3:uid="{00000000-0010-0000-0600-000021000000}" name="Unnamed: 32"/>
    <tableColumn id="34" xr3:uid="{00000000-0010-0000-0600-000022000000}" name="Unnamed: 33"/>
    <tableColumn id="35" xr3:uid="{00000000-0010-0000-0600-000023000000}" name="Unnamed: 34"/>
    <tableColumn id="36" xr3:uid="{00000000-0010-0000-0600-000024000000}" name="Unnamed: 35"/>
    <tableColumn id="37" xr3:uid="{00000000-0010-0000-0600-000025000000}" name="Unnamed: 36"/>
    <tableColumn id="38" xr3:uid="{00000000-0010-0000-0600-000026000000}" name="Unnamed: 37"/>
    <tableColumn id="39" xr3:uid="{00000000-0010-0000-0600-000027000000}" name="Unnamed: 38"/>
    <tableColumn id="40" xr3:uid="{00000000-0010-0000-0600-000028000000}" name="Unnamed: 39"/>
    <tableColumn id="41" xr3:uid="{00000000-0010-0000-0600-000029000000}" name="Unnamed: 40"/>
    <tableColumn id="42" xr3:uid="{00000000-0010-0000-0600-00002A000000}" name="Unnamed: 41"/>
    <tableColumn id="43" xr3:uid="{00000000-0010-0000-0600-00002B000000}" name="Unnamed: 42"/>
    <tableColumn id="44" xr3:uid="{00000000-0010-0000-0600-00002C000000}" name="Unnamed: 43"/>
    <tableColumn id="45" xr3:uid="{00000000-0010-0000-0600-00002D000000}" name="Unnamed: 4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WorldpayChangeLogTable" displayName="WorldpayChangeLogTable" ref="A4:H19" totalsRowShown="0">
  <tableColumns count="8">
    <tableColumn id="1" xr3:uid="{00000000-0010-0000-0700-000001000000}" name="Priority"/>
    <tableColumn id="2" xr3:uid="{00000000-0010-0000-0700-000002000000}" name="Account / Theme"/>
    <tableColumn id="3" xr3:uid="{00000000-0010-0000-0700-000003000000}" name="Change"/>
    <tableColumn id="4" xr3:uid="{00000000-0010-0000-0700-000004000000}" name="New Status"/>
    <tableColumn id="5" xr3:uid="{00000000-0010-0000-0700-000005000000}" name="Confidence"/>
    <tableColumn id="6" xr3:uid="{00000000-0010-0000-0700-000006000000}" name="Immediate Next Action"/>
    <tableColumn id="7" xr3:uid="{00000000-0010-0000-0700-000007000000}" name="Owner / Route"/>
    <tableColumn id="8" xr3:uid="{00000000-0010-0000-0700-000008000000}" name="Review B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9"/>
  <sheetViews>
    <sheetView showGridLines="0" tabSelected="1" workbookViewId="0">
      <selection sqref="A1:H1"/>
    </sheetView>
  </sheetViews>
  <sheetFormatPr baseColWidth="10" defaultColWidth="8.83203125" defaultRowHeight="14"/>
  <cols>
    <col min="1" max="1" width="23" customWidth="1"/>
    <col min="2" max="8" width="28" customWidth="1"/>
  </cols>
  <sheetData>
    <row r="1" spans="1:8" ht="38" customHeight="1">
      <c r="A1" s="79" t="s">
        <v>0</v>
      </c>
      <c r="B1" s="77"/>
      <c r="C1" s="77"/>
      <c r="D1" s="77"/>
      <c r="E1" s="77"/>
      <c r="F1" s="77"/>
      <c r="G1" s="77"/>
      <c r="H1" s="77"/>
    </row>
    <row r="2" spans="1:8">
      <c r="A2" s="82" t="s">
        <v>1</v>
      </c>
      <c r="B2" s="77"/>
      <c r="C2" s="77"/>
      <c r="D2" s="77"/>
      <c r="E2" s="77"/>
      <c r="F2" s="77"/>
      <c r="G2" s="77"/>
      <c r="H2" s="77"/>
    </row>
    <row r="4" spans="1:8">
      <c r="A4" s="80" t="s">
        <v>2</v>
      </c>
      <c r="B4" s="77"/>
      <c r="C4" s="80" t="s">
        <v>3</v>
      </c>
      <c r="D4" s="77"/>
      <c r="E4" s="80" t="s">
        <v>4</v>
      </c>
      <c r="F4" s="77"/>
      <c r="G4" s="80" t="s">
        <v>5</v>
      </c>
      <c r="H4" s="77"/>
    </row>
    <row r="5" spans="1:8" ht="25" customHeight="1">
      <c r="A5" s="76">
        <f>COUNTA('Ranked Portfolio'!C5:C500)</f>
        <v>115</v>
      </c>
      <c r="B5" s="77"/>
      <c r="C5" s="76">
        <f>COUNT('Ranked Portfolio'!G5:G500)</f>
        <v>30</v>
      </c>
      <c r="D5" s="77"/>
      <c r="E5" s="76">
        <f>COUNTIF('Ranked Portfolio'!B5:B500,"Unranked")</f>
        <v>85</v>
      </c>
      <c r="F5" s="77"/>
      <c r="G5" s="76">
        <f>COUNTIF('Added Accounts Overview'!A5:A200,"A*")</f>
        <v>18</v>
      </c>
      <c r="H5" s="77"/>
    </row>
    <row r="7" spans="1:8" ht="17" customHeight="1">
      <c r="A7" s="81" t="s">
        <v>6</v>
      </c>
      <c r="B7" s="77"/>
      <c r="C7" s="77"/>
      <c r="D7" s="77"/>
      <c r="E7" s="77"/>
      <c r="F7" s="77"/>
      <c r="G7" s="77"/>
      <c r="H7" s="77"/>
    </row>
    <row r="8" spans="1:8" ht="48" customHeight="1">
      <c r="A8" s="78" t="s">
        <v>7</v>
      </c>
      <c r="B8" s="77"/>
      <c r="C8" s="77"/>
      <c r="D8" s="77"/>
      <c r="E8" s="77"/>
      <c r="F8" s="77"/>
      <c r="G8" s="77"/>
      <c r="H8" s="77"/>
    </row>
    <row r="9" spans="1:8">
      <c r="A9" s="77"/>
      <c r="B9" s="77"/>
      <c r="C9" s="77"/>
      <c r="D9" s="77"/>
      <c r="E9" s="77"/>
      <c r="F9" s="77"/>
      <c r="G9" s="77"/>
      <c r="H9" s="77"/>
    </row>
    <row r="10" spans="1:8" ht="17" customHeight="1">
      <c r="A10" s="81" t="s">
        <v>8</v>
      </c>
      <c r="B10" s="77"/>
      <c r="C10" s="77"/>
      <c r="D10" s="77"/>
      <c r="E10" s="77"/>
      <c r="F10" s="77"/>
      <c r="G10" s="77"/>
      <c r="H10" s="77"/>
    </row>
    <row r="11" spans="1:8" ht="48" customHeight="1">
      <c r="A11" s="78" t="s">
        <v>9</v>
      </c>
      <c r="B11" s="77"/>
      <c r="C11" s="77"/>
      <c r="D11" s="77"/>
      <c r="E11" s="77"/>
      <c r="F11" s="77"/>
      <c r="G11" s="77"/>
      <c r="H11" s="77"/>
    </row>
    <row r="12" spans="1:8">
      <c r="A12" s="77"/>
      <c r="B12" s="77"/>
      <c r="C12" s="77"/>
      <c r="D12" s="77"/>
      <c r="E12" s="77"/>
      <c r="F12" s="77"/>
      <c r="G12" s="77"/>
      <c r="H12" s="77"/>
    </row>
    <row r="13" spans="1:8" ht="17" customHeight="1">
      <c r="A13" s="81" t="s">
        <v>10</v>
      </c>
      <c r="B13" s="77"/>
      <c r="C13" s="77"/>
      <c r="D13" s="77"/>
      <c r="E13" s="77"/>
      <c r="F13" s="77"/>
      <c r="G13" s="77"/>
      <c r="H13" s="77"/>
    </row>
    <row r="14" spans="1:8" ht="48" customHeight="1">
      <c r="A14" s="78" t="s">
        <v>11</v>
      </c>
      <c r="B14" s="77"/>
      <c r="C14" s="77"/>
      <c r="D14" s="77"/>
      <c r="E14" s="77"/>
      <c r="F14" s="77"/>
      <c r="G14" s="77"/>
      <c r="H14" s="77"/>
    </row>
    <row r="15" spans="1:8">
      <c r="A15" s="77"/>
      <c r="B15" s="77"/>
      <c r="C15" s="77"/>
      <c r="D15" s="77"/>
      <c r="E15" s="77"/>
      <c r="F15" s="77"/>
      <c r="G15" s="77"/>
      <c r="H15" s="77"/>
    </row>
    <row r="17" spans="1:8" ht="17" customHeight="1">
      <c r="A17" s="81" t="s">
        <v>12</v>
      </c>
      <c r="B17" s="77"/>
      <c r="C17" s="77"/>
      <c r="D17" s="77"/>
      <c r="E17" s="77"/>
      <c r="F17" s="77"/>
      <c r="G17" s="77"/>
      <c r="H17" s="77"/>
    </row>
    <row r="18" spans="1:8" ht="48" customHeight="1">
      <c r="A18" s="78" t="s">
        <v>13</v>
      </c>
      <c r="B18" s="77"/>
      <c r="C18" s="77"/>
      <c r="D18" s="77"/>
      <c r="E18" s="77"/>
      <c r="F18" s="77"/>
      <c r="G18" s="77"/>
      <c r="H18" s="77"/>
    </row>
    <row r="19" spans="1:8">
      <c r="A19" s="77"/>
      <c r="B19" s="77"/>
      <c r="C19" s="77"/>
      <c r="D19" s="77"/>
      <c r="E19" s="77"/>
      <c r="F19" s="77"/>
      <c r="G19" s="77"/>
      <c r="H19" s="77"/>
    </row>
    <row r="21" spans="1:8" ht="17" customHeight="1">
      <c r="A21" s="81" t="s">
        <v>14</v>
      </c>
      <c r="B21" s="77"/>
      <c r="C21" s="77"/>
      <c r="D21" s="77"/>
      <c r="E21" s="77"/>
      <c r="F21" s="77"/>
      <c r="G21" s="77"/>
      <c r="H21" s="77"/>
    </row>
    <row r="22" spans="1:8" ht="88" customHeight="1">
      <c r="A22" s="78" t="s">
        <v>15</v>
      </c>
      <c r="B22" s="77"/>
      <c r="C22" s="77"/>
      <c r="D22" s="77"/>
      <c r="E22" s="77"/>
      <c r="F22" s="77"/>
      <c r="G22" s="77"/>
      <c r="H22" s="77"/>
    </row>
    <row r="23" spans="1:8">
      <c r="A23" s="77"/>
      <c r="B23" s="77"/>
      <c r="C23" s="77"/>
      <c r="D23" s="77"/>
      <c r="E23" s="77"/>
      <c r="F23" s="77"/>
      <c r="G23" s="77"/>
      <c r="H23" s="77"/>
    </row>
    <row r="27" spans="1:8" ht="17" customHeight="1">
      <c r="A27" s="81" t="s">
        <v>16</v>
      </c>
      <c r="B27" s="77"/>
      <c r="C27" s="77"/>
      <c r="D27" s="77"/>
      <c r="E27" s="77"/>
      <c r="F27" s="77"/>
      <c r="G27" s="77"/>
      <c r="H27" s="77"/>
    </row>
    <row r="28" spans="1:8" ht="48" customHeight="1">
      <c r="A28" s="78" t="s">
        <v>17</v>
      </c>
      <c r="B28" s="77"/>
      <c r="C28" s="77"/>
      <c r="D28" s="77"/>
      <c r="E28" s="77"/>
      <c r="F28" s="77"/>
      <c r="G28" s="77"/>
      <c r="H28" s="77"/>
    </row>
    <row r="29" spans="1:8">
      <c r="A29" s="77"/>
      <c r="B29" s="77"/>
      <c r="C29" s="77"/>
      <c r="D29" s="77"/>
      <c r="E29" s="77"/>
      <c r="F29" s="77"/>
      <c r="G29" s="77"/>
      <c r="H29" s="77"/>
    </row>
  </sheetData>
  <mergeCells count="22">
    <mergeCell ref="A22:H23"/>
    <mergeCell ref="E4:F4"/>
    <mergeCell ref="A7:H7"/>
    <mergeCell ref="A27:H27"/>
    <mergeCell ref="A28:H29"/>
    <mergeCell ref="A21:H21"/>
    <mergeCell ref="A5:B5"/>
    <mergeCell ref="G5:H5"/>
    <mergeCell ref="A11:H12"/>
    <mergeCell ref="A17:H17"/>
    <mergeCell ref="A4:B4"/>
    <mergeCell ref="G4:H4"/>
    <mergeCell ref="A10:H10"/>
    <mergeCell ref="A13:H13"/>
    <mergeCell ref="C5:D5"/>
    <mergeCell ref="E5:F5"/>
    <mergeCell ref="A18:H19"/>
    <mergeCell ref="A14:H15"/>
    <mergeCell ref="A1:H1"/>
    <mergeCell ref="A8:H9"/>
    <mergeCell ref="C4:D4"/>
    <mergeCell ref="A2:H2"/>
  </mergeCells>
  <pageMargins left="0.75" right="0.75" top="1" bottom="1" header="0.5" footer="0.5"/>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23"/>
  <sheetViews>
    <sheetView showGridLines="0" workbookViewId="0"/>
  </sheetViews>
  <sheetFormatPr baseColWidth="10" defaultColWidth="8.83203125" defaultRowHeight="14"/>
  <cols>
    <col min="1" max="1" width="4" customWidth="1"/>
    <col min="2" max="2" width="24" customWidth="1"/>
    <col min="3" max="3" width="14" customWidth="1"/>
    <col min="4" max="4" width="4" customWidth="1"/>
    <col min="5" max="5" width="26" customWidth="1"/>
    <col min="6" max="6" width="14" customWidth="1"/>
    <col min="7" max="7" width="4" customWidth="1"/>
    <col min="8" max="8" width="26" customWidth="1"/>
    <col min="9" max="9" width="14" customWidth="1"/>
    <col min="10" max="10" width="4" customWidth="1"/>
    <col min="11" max="11" width="26" customWidth="1"/>
    <col min="12" max="12" width="14" customWidth="1"/>
  </cols>
  <sheetData>
    <row r="1" spans="1:12" ht="38" customHeight="1">
      <c r="A1" s="79" t="s">
        <v>18</v>
      </c>
      <c r="B1" s="77"/>
      <c r="C1" s="77"/>
      <c r="D1" s="77"/>
      <c r="E1" s="77"/>
      <c r="F1" s="77"/>
      <c r="G1" s="77"/>
      <c r="H1" s="77"/>
      <c r="I1" s="77"/>
      <c r="J1" s="77"/>
      <c r="K1" s="77"/>
      <c r="L1" s="77"/>
    </row>
    <row r="2" spans="1:12">
      <c r="A2" s="82" t="s">
        <v>19</v>
      </c>
      <c r="B2" s="77"/>
      <c r="C2" s="77"/>
      <c r="D2" s="77"/>
      <c r="E2" s="77"/>
      <c r="F2" s="77"/>
      <c r="G2" s="77"/>
      <c r="H2" s="77"/>
      <c r="I2" s="77"/>
      <c r="J2" s="77"/>
      <c r="K2" s="77"/>
      <c r="L2" s="77"/>
    </row>
    <row r="4" spans="1:12">
      <c r="B4" s="80" t="s">
        <v>20</v>
      </c>
      <c r="C4" s="77"/>
      <c r="E4" s="80" t="s">
        <v>21</v>
      </c>
      <c r="F4" s="77"/>
      <c r="H4" s="80" t="s">
        <v>22</v>
      </c>
      <c r="I4" s="77"/>
      <c r="K4" s="80" t="s">
        <v>23</v>
      </c>
      <c r="L4" s="77"/>
    </row>
    <row r="5" spans="1:12" ht="23" customHeight="1">
      <c r="B5" s="83">
        <f>COUNTA('Ranked Portfolio'!C5:C500)</f>
        <v>115</v>
      </c>
      <c r="C5" s="77"/>
      <c r="E5" s="83">
        <f>COUNT('Ranked Portfolio'!G5:G500)</f>
        <v>30</v>
      </c>
      <c r="F5" s="77"/>
      <c r="H5" s="83">
        <f>COUNTIF('Ranked Portfolio'!B5:B500,"Unranked")</f>
        <v>85</v>
      </c>
      <c r="I5" s="77"/>
      <c r="K5" s="83">
        <f>COUNTIF('Added Accounts Overview'!A5:A200,"A*")</f>
        <v>18</v>
      </c>
      <c r="L5" s="77"/>
    </row>
    <row r="7" spans="1:12">
      <c r="B7" s="80" t="s">
        <v>24</v>
      </c>
      <c r="C7" s="77"/>
      <c r="E7" s="80" t="s">
        <v>25</v>
      </c>
      <c r="F7" s="77"/>
      <c r="H7" s="80" t="s">
        <v>26</v>
      </c>
      <c r="I7" s="77"/>
      <c r="K7" s="80" t="s">
        <v>27</v>
      </c>
      <c r="L7" s="77"/>
    </row>
    <row r="8" spans="1:12" ht="23" customHeight="1">
      <c r="B8" s="83">
        <f>COUNTIFS('Added Accounts Overview'!Q5:Q200,"&lt;&gt;Unconfirmed — ask Worldpay",'Added Accounts Overview'!Q5:Q200,"&lt;&gt;")</f>
        <v>0</v>
      </c>
      <c r="C8" s="77"/>
      <c r="E8" s="83">
        <f>COUNTIF('Added Accounts Overview'!L5:L200,"Public footprint refreshed*")</f>
        <v>7</v>
      </c>
      <c r="F8" s="77"/>
      <c r="H8" s="83">
        <f>COUNTIF('Added Accounts Overview'!Q5:Q200,"Unconfirmed — ask Worldpay")</f>
        <v>85</v>
      </c>
      <c r="I8" s="77"/>
      <c r="K8" s="83">
        <f>COUNTIF('Added Accounts Overview'!N5:N200,"Legal entity*")</f>
        <v>29</v>
      </c>
      <c r="L8" s="77"/>
    </row>
    <row r="11" spans="1:12">
      <c r="B11" s="84" t="s">
        <v>28</v>
      </c>
      <c r="C11" s="77"/>
      <c r="E11" s="84" t="s">
        <v>29</v>
      </c>
      <c r="F11" s="77"/>
    </row>
    <row r="12" spans="1:12">
      <c r="B12" s="51" t="s">
        <v>30</v>
      </c>
      <c r="C12" s="51">
        <f>COUNTIF('Added Accounts Overview'!A5:A200,"A*")</f>
        <v>18</v>
      </c>
      <c r="E12" s="51" t="s">
        <v>31</v>
      </c>
      <c r="F12" s="51">
        <f>COUNTIF('Added Accounts Overview'!D5:D200,"Coffee")</f>
        <v>0</v>
      </c>
    </row>
    <row r="13" spans="1:12">
      <c r="B13" s="51" t="s">
        <v>32</v>
      </c>
      <c r="C13" s="51">
        <f>COUNTIF('Added Accounts Overview'!A5:A200,"B*")</f>
        <v>29</v>
      </c>
      <c r="E13" s="51" t="s">
        <v>33</v>
      </c>
      <c r="F13" s="51">
        <f>COUNTIF('Added Accounts Overview'!D5:D200,"Burger")</f>
        <v>1</v>
      </c>
    </row>
    <row r="14" spans="1:12">
      <c r="B14" s="51" t="s">
        <v>34</v>
      </c>
      <c r="C14" s="51">
        <f>COUNTIF('Added Accounts Overview'!A5:A200,"C*")</f>
        <v>38</v>
      </c>
      <c r="E14" s="51" t="s">
        <v>35</v>
      </c>
      <c r="F14" s="51">
        <f>COUNTIF('Added Accounts Overview'!D5:D200,"Mexican")</f>
        <v>1</v>
      </c>
    </row>
    <row r="15" spans="1:12">
      <c r="B15" s="46"/>
      <c r="C15" s="46"/>
      <c r="E15" s="51" t="s">
        <v>36</v>
      </c>
      <c r="F15" s="51">
        <f>COUNTIF('Added Accounts Overview'!D5:D200,"Sandwich")</f>
        <v>1</v>
      </c>
    </row>
    <row r="16" spans="1:12">
      <c r="B16" s="46"/>
      <c r="C16" s="46"/>
      <c r="E16" s="51" t="s">
        <v>37</v>
      </c>
      <c r="F16" s="51">
        <f>COUNTIF('Added Accounts Overview'!D5:D200,"Family Dining")</f>
        <v>3</v>
      </c>
    </row>
    <row r="17" spans="2:12">
      <c r="B17" s="46"/>
      <c r="C17" s="46"/>
      <c r="E17" s="51" t="s">
        <v>38</v>
      </c>
      <c r="F17" s="51">
        <f>COUNTIF('Added Accounts Overview'!D5:D200,"Full-Service Dining")</f>
        <v>1</v>
      </c>
    </row>
    <row r="18" spans="2:12">
      <c r="B18" s="46"/>
      <c r="C18" s="46"/>
      <c r="E18" s="51" t="s">
        <v>39</v>
      </c>
      <c r="F18" s="51">
        <f>COUNTIF('Added Accounts Overview'!D5:D200,"Pizza")</f>
        <v>2</v>
      </c>
    </row>
    <row r="19" spans="2:12">
      <c r="B19" s="46"/>
      <c r="C19" s="46"/>
      <c r="E19" s="51" t="s">
        <v>40</v>
      </c>
      <c r="F19" s="51">
        <f>COUNTIF('Added Accounts Overview'!D5:D200,"Dessert")</f>
        <v>1</v>
      </c>
    </row>
    <row r="20" spans="2:12">
      <c r="B20" s="46"/>
      <c r="C20" s="46"/>
      <c r="E20" s="51" t="s">
        <v>41</v>
      </c>
      <c r="F20" s="51">
        <f>COUNTA('Added Accounts Overview'!B5:B200)-SUM(F12:F19)</f>
        <v>75</v>
      </c>
    </row>
    <row r="23" spans="2:12">
      <c r="B23" s="85" t="s">
        <v>42</v>
      </c>
      <c r="C23" s="77"/>
      <c r="D23" s="77"/>
      <c r="E23" s="77"/>
      <c r="F23" s="77"/>
      <c r="G23" s="77"/>
      <c r="H23" s="77"/>
      <c r="I23" s="77"/>
      <c r="J23" s="77"/>
      <c r="K23" s="77"/>
      <c r="L23" s="77"/>
    </row>
  </sheetData>
  <mergeCells count="21">
    <mergeCell ref="A1:L1"/>
    <mergeCell ref="H5:I5"/>
    <mergeCell ref="H8:I8"/>
    <mergeCell ref="K4:L4"/>
    <mergeCell ref="B4:C4"/>
    <mergeCell ref="A2:L2"/>
    <mergeCell ref="E4:F4"/>
    <mergeCell ref="B11:C11"/>
    <mergeCell ref="B8:C8"/>
    <mergeCell ref="B23:L23"/>
    <mergeCell ref="K8:L8"/>
    <mergeCell ref="H7:I7"/>
    <mergeCell ref="E11:F11"/>
    <mergeCell ref="K7:L7"/>
    <mergeCell ref="E7:F7"/>
    <mergeCell ref="B5:C5"/>
    <mergeCell ref="B7:C7"/>
    <mergeCell ref="E5:F5"/>
    <mergeCell ref="K5:L5"/>
    <mergeCell ref="H4:I4"/>
    <mergeCell ref="E8:F8"/>
  </mergeCells>
  <pageMargins left="0.75" right="0.75" top="1" bottom="1" header="0.5" footer="0.5"/>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89"/>
  <sheetViews>
    <sheetView showGridLines="0" workbookViewId="0">
      <pane xSplit="7" ySplit="4" topLeftCell="H5" activePane="bottomRight" state="frozen"/>
      <selection pane="topRight"/>
      <selection pane="bottomLeft"/>
      <selection pane="bottomRight"/>
    </sheetView>
  </sheetViews>
  <sheetFormatPr baseColWidth="10" defaultColWidth="8.83203125" defaultRowHeight="14"/>
  <cols>
    <col min="1" max="1" width="22" customWidth="1"/>
    <col min="2" max="2" width="30" customWidth="1"/>
    <col min="3" max="3" width="15" customWidth="1"/>
    <col min="4" max="4" width="18" customWidth="1"/>
    <col min="5" max="6" width="14" customWidth="1"/>
    <col min="7" max="7" width="24" customWidth="1"/>
    <col min="8" max="8" width="42" customWidth="1"/>
    <col min="9" max="9" width="48" customWidth="1"/>
    <col min="10" max="10" width="30" customWidth="1"/>
    <col min="11" max="11" width="48" customWidth="1"/>
    <col min="12" max="12" width="22" customWidth="1"/>
    <col min="13" max="13" width="50" customWidth="1"/>
    <col min="14" max="14" width="30" customWidth="1"/>
    <col min="15" max="15" width="46" customWidth="1"/>
    <col min="16" max="16" width="22" customWidth="1"/>
    <col min="17" max="17" width="28" customWidth="1"/>
    <col min="18" max="18" width="62" customWidth="1"/>
  </cols>
  <sheetData>
    <row r="1" spans="1:18" ht="32" customHeight="1">
      <c r="A1" s="86" t="s">
        <v>43</v>
      </c>
      <c r="B1" s="77"/>
      <c r="C1" s="77"/>
      <c r="D1" s="77"/>
      <c r="E1" s="77"/>
      <c r="F1" s="77"/>
      <c r="G1" s="77"/>
      <c r="H1" s="77"/>
      <c r="I1" s="77"/>
      <c r="J1" s="77"/>
      <c r="K1" s="77"/>
      <c r="L1" s="77"/>
      <c r="M1" s="77"/>
    </row>
    <row r="2" spans="1:18">
      <c r="A2" s="82" t="s">
        <v>44</v>
      </c>
      <c r="B2" s="77"/>
      <c r="C2" s="77"/>
      <c r="D2" s="77"/>
      <c r="E2" s="77"/>
      <c r="F2" s="77"/>
      <c r="G2" s="77"/>
      <c r="H2" s="77"/>
      <c r="I2" s="77"/>
      <c r="J2" s="77"/>
      <c r="K2" s="77"/>
      <c r="L2" s="77"/>
      <c r="M2" s="77"/>
    </row>
    <row r="4" spans="1:18" ht="30" customHeight="1">
      <c r="A4" s="52" t="s">
        <v>45</v>
      </c>
      <c r="B4" s="52" t="s">
        <v>46</v>
      </c>
      <c r="C4" s="52" t="s">
        <v>47</v>
      </c>
      <c r="D4" s="52" t="s">
        <v>48</v>
      </c>
      <c r="E4" s="52" t="s">
        <v>49</v>
      </c>
      <c r="F4" s="52" t="s">
        <v>50</v>
      </c>
      <c r="G4" s="52" t="s">
        <v>51</v>
      </c>
      <c r="H4" s="52" t="s">
        <v>52</v>
      </c>
      <c r="I4" s="52" t="s">
        <v>53</v>
      </c>
      <c r="J4" s="52" t="s">
        <v>54</v>
      </c>
      <c r="K4" s="52" t="s">
        <v>55</v>
      </c>
      <c r="L4" s="52" t="s">
        <v>56</v>
      </c>
      <c r="M4" s="52" t="s">
        <v>57</v>
      </c>
      <c r="N4" s="52" t="s">
        <v>58</v>
      </c>
      <c r="O4" s="52" t="s">
        <v>59</v>
      </c>
      <c r="P4" s="52" t="s">
        <v>60</v>
      </c>
      <c r="Q4" s="52" t="s">
        <v>61</v>
      </c>
      <c r="R4" s="52" t="s">
        <v>62</v>
      </c>
    </row>
    <row r="5" spans="1:18" ht="60" customHeight="1">
      <c r="A5" s="53" t="s">
        <v>30</v>
      </c>
      <c r="B5" s="53" t="s">
        <v>63</v>
      </c>
      <c r="C5" s="53" t="s">
        <v>64</v>
      </c>
      <c r="D5" s="53" t="s">
        <v>37</v>
      </c>
      <c r="E5" s="53">
        <v>28</v>
      </c>
      <c r="F5" s="53">
        <v>1323</v>
      </c>
      <c r="G5" s="53" t="s">
        <v>65</v>
      </c>
      <c r="H5" s="53" t="s">
        <v>66</v>
      </c>
      <c r="I5" s="53" t="s">
        <v>67</v>
      </c>
      <c r="J5" s="53" t="s">
        <v>68</v>
      </c>
      <c r="K5" s="53" t="s">
        <v>69</v>
      </c>
      <c r="L5" s="53" t="s">
        <v>70</v>
      </c>
      <c r="M5" s="53" t="s">
        <v>71</v>
      </c>
      <c r="N5" s="53" t="s">
        <v>72</v>
      </c>
      <c r="O5" s="53" t="s">
        <v>73</v>
      </c>
      <c r="P5" s="53" t="s">
        <v>74</v>
      </c>
      <c r="Q5" s="53" t="s">
        <v>75</v>
      </c>
      <c r="R5" s="53" t="s">
        <v>76</v>
      </c>
    </row>
    <row r="6" spans="1:18" ht="60" customHeight="1">
      <c r="A6" s="53" t="s">
        <v>30</v>
      </c>
      <c r="B6" s="53" t="s">
        <v>77</v>
      </c>
      <c r="C6" s="53" t="s">
        <v>64</v>
      </c>
      <c r="D6" s="53" t="s">
        <v>33</v>
      </c>
      <c r="E6" s="53">
        <v>29</v>
      </c>
      <c r="F6" s="53">
        <v>997</v>
      </c>
      <c r="G6" s="53" t="s">
        <v>78</v>
      </c>
      <c r="H6" s="53" t="s">
        <v>79</v>
      </c>
      <c r="I6" s="53" t="s">
        <v>80</v>
      </c>
      <c r="J6" s="53" t="s">
        <v>81</v>
      </c>
      <c r="K6" s="53" t="s">
        <v>69</v>
      </c>
      <c r="L6" s="53" t="s">
        <v>70</v>
      </c>
      <c r="M6" s="53" t="s">
        <v>82</v>
      </c>
      <c r="N6" s="53" t="s">
        <v>72</v>
      </c>
      <c r="O6" s="53" t="s">
        <v>73</v>
      </c>
      <c r="P6" s="53" t="s">
        <v>74</v>
      </c>
      <c r="Q6" s="53" t="s">
        <v>75</v>
      </c>
      <c r="R6" s="53" t="s">
        <v>76</v>
      </c>
    </row>
    <row r="7" spans="1:18" ht="60" customHeight="1">
      <c r="A7" s="53" t="s">
        <v>30</v>
      </c>
      <c r="B7" s="53" t="s">
        <v>83</v>
      </c>
      <c r="C7" s="53" t="s">
        <v>64</v>
      </c>
      <c r="D7" s="53" t="s">
        <v>36</v>
      </c>
      <c r="E7" s="53">
        <v>59</v>
      </c>
      <c r="F7" s="53">
        <v>560</v>
      </c>
      <c r="G7" s="53" t="s">
        <v>84</v>
      </c>
      <c r="H7" s="53" t="s">
        <v>85</v>
      </c>
      <c r="I7" s="53" t="s">
        <v>86</v>
      </c>
      <c r="J7" s="53" t="s">
        <v>68</v>
      </c>
      <c r="K7" s="53" t="s">
        <v>69</v>
      </c>
      <c r="L7" s="53" t="s">
        <v>70</v>
      </c>
      <c r="M7" s="53" t="s">
        <v>87</v>
      </c>
      <c r="N7" s="53" t="s">
        <v>72</v>
      </c>
      <c r="O7" s="53" t="s">
        <v>73</v>
      </c>
      <c r="P7" s="53" t="s">
        <v>74</v>
      </c>
      <c r="Q7" s="53" t="s">
        <v>75</v>
      </c>
      <c r="R7" s="53" t="s">
        <v>76</v>
      </c>
    </row>
    <row r="8" spans="1:18" ht="60" customHeight="1">
      <c r="A8" s="53" t="s">
        <v>30</v>
      </c>
      <c r="B8" s="53" t="s">
        <v>88</v>
      </c>
      <c r="C8" s="53" t="s">
        <v>64</v>
      </c>
      <c r="D8" s="53" t="s">
        <v>35</v>
      </c>
      <c r="E8" s="53">
        <v>78</v>
      </c>
      <c r="F8" s="53">
        <v>596</v>
      </c>
      <c r="G8" s="53" t="s">
        <v>84</v>
      </c>
      <c r="H8" s="53" t="s">
        <v>89</v>
      </c>
      <c r="I8" s="53" t="s">
        <v>90</v>
      </c>
      <c r="J8" s="53" t="s">
        <v>68</v>
      </c>
      <c r="K8" s="53" t="s">
        <v>69</v>
      </c>
      <c r="L8" s="53" t="s">
        <v>70</v>
      </c>
      <c r="M8" s="53" t="s">
        <v>87</v>
      </c>
      <c r="N8" s="53" t="s">
        <v>72</v>
      </c>
      <c r="O8" s="53" t="s">
        <v>73</v>
      </c>
      <c r="P8" s="53" t="s">
        <v>74</v>
      </c>
      <c r="Q8" s="53" t="s">
        <v>75</v>
      </c>
      <c r="R8" s="53" t="s">
        <v>76</v>
      </c>
    </row>
    <row r="9" spans="1:18" ht="60" customHeight="1">
      <c r="A9" s="53" t="s">
        <v>30</v>
      </c>
      <c r="B9" s="53" t="s">
        <v>91</v>
      </c>
      <c r="C9" s="53" t="s">
        <v>64</v>
      </c>
      <c r="D9" s="53" t="s">
        <v>92</v>
      </c>
      <c r="E9" s="53">
        <v>110</v>
      </c>
      <c r="F9" s="53">
        <v>104</v>
      </c>
      <c r="G9" s="47"/>
      <c r="H9" s="53" t="s">
        <v>93</v>
      </c>
      <c r="I9" s="53" t="s">
        <v>94</v>
      </c>
      <c r="J9" s="53" t="s">
        <v>68</v>
      </c>
      <c r="K9" s="53" t="s">
        <v>69</v>
      </c>
      <c r="L9" s="53" t="s">
        <v>70</v>
      </c>
      <c r="M9" s="53" t="s">
        <v>95</v>
      </c>
      <c r="N9" s="53" t="s">
        <v>72</v>
      </c>
      <c r="O9" s="53" t="s">
        <v>73</v>
      </c>
      <c r="P9" s="53" t="s">
        <v>74</v>
      </c>
      <c r="Q9" s="53" t="s">
        <v>75</v>
      </c>
      <c r="R9" s="53" t="s">
        <v>76</v>
      </c>
    </row>
    <row r="10" spans="1:18" ht="60" customHeight="1">
      <c r="A10" s="53" t="s">
        <v>30</v>
      </c>
      <c r="B10" s="53" t="s">
        <v>96</v>
      </c>
      <c r="C10" s="53" t="s">
        <v>64</v>
      </c>
      <c r="D10" s="53" t="s">
        <v>97</v>
      </c>
      <c r="E10" s="53">
        <v>159</v>
      </c>
      <c r="F10" s="53">
        <v>212</v>
      </c>
      <c r="G10" s="47"/>
      <c r="H10" s="53" t="s">
        <v>98</v>
      </c>
      <c r="I10" s="53" t="s">
        <v>99</v>
      </c>
      <c r="J10" s="53" t="s">
        <v>81</v>
      </c>
      <c r="K10" s="53" t="s">
        <v>69</v>
      </c>
      <c r="L10" s="53" t="s">
        <v>70</v>
      </c>
      <c r="M10" s="53" t="s">
        <v>100</v>
      </c>
      <c r="N10" s="53" t="s">
        <v>72</v>
      </c>
      <c r="O10" s="53" t="s">
        <v>73</v>
      </c>
      <c r="P10" s="53" t="s">
        <v>74</v>
      </c>
      <c r="Q10" s="53" t="s">
        <v>75</v>
      </c>
      <c r="R10" s="53" t="s">
        <v>76</v>
      </c>
    </row>
    <row r="11" spans="1:18" ht="60" customHeight="1">
      <c r="A11" s="53" t="s">
        <v>30</v>
      </c>
      <c r="B11" s="53" t="s">
        <v>101</v>
      </c>
      <c r="C11" s="53" t="s">
        <v>64</v>
      </c>
      <c r="D11" s="53" t="s">
        <v>102</v>
      </c>
      <c r="E11" s="53">
        <v>165</v>
      </c>
      <c r="F11" s="53">
        <v>196</v>
      </c>
      <c r="G11" s="53" t="s">
        <v>103</v>
      </c>
      <c r="H11" s="53" t="s">
        <v>104</v>
      </c>
      <c r="I11" s="53" t="s">
        <v>105</v>
      </c>
      <c r="J11" s="53" t="s">
        <v>68</v>
      </c>
      <c r="K11" s="53" t="s">
        <v>69</v>
      </c>
      <c r="L11" s="53" t="s">
        <v>70</v>
      </c>
      <c r="M11" s="53" t="s">
        <v>106</v>
      </c>
      <c r="N11" s="53" t="s">
        <v>72</v>
      </c>
      <c r="O11" s="53" t="s">
        <v>73</v>
      </c>
      <c r="P11" s="53" t="s">
        <v>74</v>
      </c>
      <c r="Q11" s="53" t="s">
        <v>75</v>
      </c>
      <c r="R11" s="53" t="s">
        <v>76</v>
      </c>
    </row>
    <row r="12" spans="1:18" ht="60" customHeight="1">
      <c r="A12" s="53" t="s">
        <v>30</v>
      </c>
      <c r="B12" s="53" t="s">
        <v>107</v>
      </c>
      <c r="C12" s="53" t="s">
        <v>64</v>
      </c>
      <c r="D12" s="53" t="s">
        <v>108</v>
      </c>
      <c r="E12" s="53">
        <v>213</v>
      </c>
      <c r="F12" s="53">
        <v>91</v>
      </c>
      <c r="G12" s="47"/>
      <c r="H12" s="53" t="s">
        <v>109</v>
      </c>
      <c r="I12" s="53" t="s">
        <v>110</v>
      </c>
      <c r="J12" s="53" t="s">
        <v>68</v>
      </c>
      <c r="K12" s="53" t="s">
        <v>69</v>
      </c>
      <c r="L12" s="53" t="s">
        <v>70</v>
      </c>
      <c r="M12" s="53" t="s">
        <v>95</v>
      </c>
      <c r="N12" s="53" t="s">
        <v>72</v>
      </c>
      <c r="O12" s="53" t="s">
        <v>73</v>
      </c>
      <c r="P12" s="53" t="s">
        <v>74</v>
      </c>
      <c r="Q12" s="53" t="s">
        <v>75</v>
      </c>
      <c r="R12" s="53" t="s">
        <v>76</v>
      </c>
    </row>
    <row r="13" spans="1:18" ht="60" customHeight="1">
      <c r="A13" s="53" t="s">
        <v>30</v>
      </c>
      <c r="B13" s="53" t="s">
        <v>111</v>
      </c>
      <c r="C13" s="53" t="s">
        <v>64</v>
      </c>
      <c r="D13" s="53" t="s">
        <v>112</v>
      </c>
      <c r="E13" s="53">
        <v>261</v>
      </c>
      <c r="F13" s="53">
        <v>137</v>
      </c>
      <c r="G13" s="47"/>
      <c r="H13" s="53" t="s">
        <v>113</v>
      </c>
      <c r="I13" s="53" t="s">
        <v>99</v>
      </c>
      <c r="J13" s="53" t="s">
        <v>68</v>
      </c>
      <c r="K13" s="53" t="s">
        <v>69</v>
      </c>
      <c r="L13" s="53" t="s">
        <v>70</v>
      </c>
      <c r="M13" s="53" t="s">
        <v>95</v>
      </c>
      <c r="N13" s="53" t="s">
        <v>72</v>
      </c>
      <c r="O13" s="53" t="s">
        <v>73</v>
      </c>
      <c r="P13" s="53" t="s">
        <v>74</v>
      </c>
      <c r="Q13" s="53" t="s">
        <v>75</v>
      </c>
      <c r="R13" s="53" t="s">
        <v>76</v>
      </c>
    </row>
    <row r="14" spans="1:18" ht="60" customHeight="1">
      <c r="A14" s="53" t="s">
        <v>30</v>
      </c>
      <c r="B14" s="53" t="s">
        <v>114</v>
      </c>
      <c r="C14" s="53" t="s">
        <v>64</v>
      </c>
      <c r="D14" s="53" t="s">
        <v>40</v>
      </c>
      <c r="E14" s="53">
        <v>363</v>
      </c>
      <c r="F14" s="53">
        <v>148</v>
      </c>
      <c r="G14" s="47"/>
      <c r="H14" s="53" t="s">
        <v>115</v>
      </c>
      <c r="I14" s="53" t="s">
        <v>99</v>
      </c>
      <c r="J14" s="53" t="s">
        <v>68</v>
      </c>
      <c r="K14" s="53" t="s">
        <v>69</v>
      </c>
      <c r="L14" s="53" t="s">
        <v>70</v>
      </c>
      <c r="M14" s="53" t="s">
        <v>95</v>
      </c>
      <c r="N14" s="53" t="s">
        <v>72</v>
      </c>
      <c r="O14" s="53" t="s">
        <v>73</v>
      </c>
      <c r="P14" s="53" t="s">
        <v>74</v>
      </c>
      <c r="Q14" s="53" t="s">
        <v>75</v>
      </c>
      <c r="R14" s="53" t="s">
        <v>76</v>
      </c>
    </row>
    <row r="15" spans="1:18" ht="60" customHeight="1">
      <c r="A15" s="53" t="s">
        <v>30</v>
      </c>
      <c r="B15" s="53" t="s">
        <v>116</v>
      </c>
      <c r="C15" s="53" t="s">
        <v>64</v>
      </c>
      <c r="D15" s="53" t="s">
        <v>117</v>
      </c>
      <c r="E15" s="53">
        <v>577</v>
      </c>
      <c r="F15" s="53">
        <v>108</v>
      </c>
      <c r="G15" s="47"/>
      <c r="H15" s="53" t="s">
        <v>118</v>
      </c>
      <c r="I15" s="53" t="s">
        <v>86</v>
      </c>
      <c r="J15" s="53" t="s">
        <v>68</v>
      </c>
      <c r="K15" s="53" t="s">
        <v>69</v>
      </c>
      <c r="L15" s="53" t="s">
        <v>70</v>
      </c>
      <c r="M15" s="53" t="s">
        <v>95</v>
      </c>
      <c r="N15" s="53" t="s">
        <v>72</v>
      </c>
      <c r="O15" s="53" t="s">
        <v>73</v>
      </c>
      <c r="P15" s="53" t="s">
        <v>74</v>
      </c>
      <c r="Q15" s="53" t="s">
        <v>75</v>
      </c>
      <c r="R15" s="53" t="s">
        <v>76</v>
      </c>
    </row>
    <row r="16" spans="1:18" ht="60" customHeight="1">
      <c r="A16" s="53" t="s">
        <v>30</v>
      </c>
      <c r="B16" s="53" t="s">
        <v>119</v>
      </c>
      <c r="C16" s="53" t="s">
        <v>64</v>
      </c>
      <c r="D16" s="53" t="s">
        <v>120</v>
      </c>
      <c r="E16" s="47"/>
      <c r="F16" s="47"/>
      <c r="G16" s="53" t="s">
        <v>121</v>
      </c>
      <c r="H16" s="53" t="s">
        <v>122</v>
      </c>
      <c r="I16" s="53" t="s">
        <v>99</v>
      </c>
      <c r="J16" s="53" t="s">
        <v>68</v>
      </c>
      <c r="K16" s="53" t="s">
        <v>69</v>
      </c>
      <c r="L16" s="53" t="s">
        <v>123</v>
      </c>
      <c r="M16" s="53" t="s">
        <v>95</v>
      </c>
      <c r="N16" s="53" t="s">
        <v>124</v>
      </c>
      <c r="O16" s="53" t="s">
        <v>125</v>
      </c>
      <c r="P16" s="53" t="s">
        <v>126</v>
      </c>
      <c r="Q16" s="53" t="s">
        <v>75</v>
      </c>
      <c r="R16" s="53" t="s">
        <v>76</v>
      </c>
    </row>
    <row r="17" spans="1:18" ht="60" customHeight="1">
      <c r="A17" s="53" t="s">
        <v>30</v>
      </c>
      <c r="B17" s="53" t="s">
        <v>127</v>
      </c>
      <c r="C17" s="53" t="s">
        <v>64</v>
      </c>
      <c r="D17" s="53" t="s">
        <v>120</v>
      </c>
      <c r="E17" s="47"/>
      <c r="F17" s="47"/>
      <c r="G17" s="53" t="s">
        <v>121</v>
      </c>
      <c r="H17" s="53" t="s">
        <v>128</v>
      </c>
      <c r="I17" s="53" t="s">
        <v>99</v>
      </c>
      <c r="J17" s="53" t="s">
        <v>68</v>
      </c>
      <c r="K17" s="53" t="s">
        <v>69</v>
      </c>
      <c r="L17" s="53" t="s">
        <v>123</v>
      </c>
      <c r="M17" s="53" t="s">
        <v>95</v>
      </c>
      <c r="N17" s="53" t="s">
        <v>124</v>
      </c>
      <c r="O17" s="53" t="s">
        <v>125</v>
      </c>
      <c r="P17" s="53" t="s">
        <v>126</v>
      </c>
      <c r="Q17" s="53" t="s">
        <v>75</v>
      </c>
      <c r="R17" s="53" t="s">
        <v>76</v>
      </c>
    </row>
    <row r="18" spans="1:18" ht="60" customHeight="1">
      <c r="A18" s="53" t="s">
        <v>30</v>
      </c>
      <c r="B18" s="53" t="s">
        <v>129</v>
      </c>
      <c r="C18" s="53" t="s">
        <v>64</v>
      </c>
      <c r="D18" s="53" t="s">
        <v>130</v>
      </c>
      <c r="E18" s="47"/>
      <c r="F18" s="53">
        <v>800</v>
      </c>
      <c r="G18" s="53" t="s">
        <v>131</v>
      </c>
      <c r="H18" s="53" t="s">
        <v>132</v>
      </c>
      <c r="I18" s="53" t="s">
        <v>99</v>
      </c>
      <c r="J18" s="53" t="s">
        <v>68</v>
      </c>
      <c r="K18" s="53" t="s">
        <v>69</v>
      </c>
      <c r="L18" s="53" t="s">
        <v>133</v>
      </c>
      <c r="M18" s="53" t="s">
        <v>134</v>
      </c>
      <c r="N18" s="53" t="s">
        <v>135</v>
      </c>
      <c r="O18" s="53" t="s">
        <v>136</v>
      </c>
      <c r="P18" s="53" t="s">
        <v>74</v>
      </c>
      <c r="Q18" s="53" t="s">
        <v>75</v>
      </c>
      <c r="R18" s="53" t="s">
        <v>76</v>
      </c>
    </row>
    <row r="19" spans="1:18" ht="60" customHeight="1">
      <c r="A19" s="53" t="s">
        <v>30</v>
      </c>
      <c r="B19" s="53" t="s">
        <v>137</v>
      </c>
      <c r="C19" s="53" t="s">
        <v>64</v>
      </c>
      <c r="D19" s="53" t="s">
        <v>138</v>
      </c>
      <c r="E19" s="47"/>
      <c r="F19" s="53">
        <v>374</v>
      </c>
      <c r="G19" s="53" t="s">
        <v>84</v>
      </c>
      <c r="H19" s="53" t="s">
        <v>132</v>
      </c>
      <c r="I19" s="53" t="s">
        <v>99</v>
      </c>
      <c r="J19" s="53" t="s">
        <v>68</v>
      </c>
      <c r="K19" s="53" t="s">
        <v>69</v>
      </c>
      <c r="L19" s="53" t="s">
        <v>133</v>
      </c>
      <c r="M19" s="53" t="s">
        <v>139</v>
      </c>
      <c r="N19" s="53" t="s">
        <v>72</v>
      </c>
      <c r="O19" s="53" t="s">
        <v>140</v>
      </c>
      <c r="P19" s="53" t="s">
        <v>141</v>
      </c>
      <c r="Q19" s="53" t="s">
        <v>75</v>
      </c>
      <c r="R19" s="53" t="s">
        <v>76</v>
      </c>
    </row>
    <row r="20" spans="1:18" ht="60" customHeight="1">
      <c r="A20" s="53" t="s">
        <v>30</v>
      </c>
      <c r="B20" s="53" t="s">
        <v>142</v>
      </c>
      <c r="C20" s="53" t="s">
        <v>64</v>
      </c>
      <c r="D20" s="53" t="s">
        <v>130</v>
      </c>
      <c r="E20" s="47"/>
      <c r="F20" s="53">
        <v>193</v>
      </c>
      <c r="G20" s="53" t="s">
        <v>143</v>
      </c>
      <c r="H20" s="53" t="s">
        <v>132</v>
      </c>
      <c r="I20" s="53" t="s">
        <v>99</v>
      </c>
      <c r="J20" s="53" t="s">
        <v>68</v>
      </c>
      <c r="K20" s="53" t="s">
        <v>69</v>
      </c>
      <c r="L20" s="53" t="s">
        <v>133</v>
      </c>
      <c r="M20" s="53" t="s">
        <v>144</v>
      </c>
      <c r="N20" s="53" t="s">
        <v>72</v>
      </c>
      <c r="O20" s="53" t="s">
        <v>140</v>
      </c>
      <c r="P20" s="53" t="s">
        <v>141</v>
      </c>
      <c r="Q20" s="53" t="s">
        <v>75</v>
      </c>
      <c r="R20" s="53" t="s">
        <v>76</v>
      </c>
    </row>
    <row r="21" spans="1:18" ht="60" customHeight="1">
      <c r="A21" s="53" t="s">
        <v>30</v>
      </c>
      <c r="B21" s="53" t="s">
        <v>145</v>
      </c>
      <c r="C21" s="53" t="s">
        <v>64</v>
      </c>
      <c r="D21" s="53" t="s">
        <v>146</v>
      </c>
      <c r="E21" s="47"/>
      <c r="F21" s="53">
        <v>720</v>
      </c>
      <c r="G21" s="53" t="s">
        <v>84</v>
      </c>
      <c r="H21" s="53" t="s">
        <v>132</v>
      </c>
      <c r="I21" s="53" t="s">
        <v>99</v>
      </c>
      <c r="J21" s="53" t="s">
        <v>68</v>
      </c>
      <c r="K21" s="53" t="s">
        <v>69</v>
      </c>
      <c r="L21" s="53" t="s">
        <v>133</v>
      </c>
      <c r="M21" s="53" t="s">
        <v>147</v>
      </c>
      <c r="N21" s="53" t="s">
        <v>72</v>
      </c>
      <c r="O21" s="53" t="s">
        <v>140</v>
      </c>
      <c r="P21" s="53" t="s">
        <v>141</v>
      </c>
      <c r="Q21" s="53" t="s">
        <v>75</v>
      </c>
      <c r="R21" s="53" t="s">
        <v>76</v>
      </c>
    </row>
    <row r="22" spans="1:18" ht="60" customHeight="1">
      <c r="A22" s="53" t="s">
        <v>30</v>
      </c>
      <c r="B22" s="53" t="s">
        <v>148</v>
      </c>
      <c r="C22" s="53" t="s">
        <v>64</v>
      </c>
      <c r="D22" s="53" t="s">
        <v>130</v>
      </c>
      <c r="E22" s="47"/>
      <c r="F22" s="47"/>
      <c r="G22" s="53" t="s">
        <v>149</v>
      </c>
      <c r="H22" s="53" t="s">
        <v>150</v>
      </c>
      <c r="I22" s="53" t="s">
        <v>99</v>
      </c>
      <c r="J22" s="53" t="s">
        <v>68</v>
      </c>
      <c r="K22" s="53" t="s">
        <v>69</v>
      </c>
      <c r="L22" s="53" t="s">
        <v>123</v>
      </c>
      <c r="M22" s="53" t="s">
        <v>95</v>
      </c>
      <c r="N22" s="53" t="s">
        <v>72</v>
      </c>
      <c r="O22" s="53" t="s">
        <v>151</v>
      </c>
      <c r="P22" s="53" t="s">
        <v>152</v>
      </c>
      <c r="Q22" s="53" t="s">
        <v>75</v>
      </c>
      <c r="R22" s="53" t="s">
        <v>76</v>
      </c>
    </row>
    <row r="23" spans="1:18" ht="60" customHeight="1">
      <c r="A23" s="54" t="s">
        <v>32</v>
      </c>
      <c r="B23" s="54" t="s">
        <v>153</v>
      </c>
      <c r="C23" s="54" t="s">
        <v>64</v>
      </c>
      <c r="D23" s="54" t="s">
        <v>37</v>
      </c>
      <c r="E23" s="54">
        <v>383</v>
      </c>
      <c r="F23" s="54">
        <v>57</v>
      </c>
      <c r="G23" s="48"/>
      <c r="H23" s="54" t="s">
        <v>154</v>
      </c>
      <c r="I23" s="54" t="s">
        <v>99</v>
      </c>
      <c r="J23" s="54" t="s">
        <v>68</v>
      </c>
      <c r="K23" s="54" t="s">
        <v>155</v>
      </c>
      <c r="L23" s="54" t="s">
        <v>70</v>
      </c>
      <c r="M23" s="54" t="s">
        <v>95</v>
      </c>
      <c r="N23" s="54" t="s">
        <v>72</v>
      </c>
      <c r="O23" s="54" t="s">
        <v>73</v>
      </c>
      <c r="P23" s="54" t="s">
        <v>74</v>
      </c>
      <c r="Q23" s="54" t="s">
        <v>75</v>
      </c>
      <c r="R23" s="54" t="s">
        <v>76</v>
      </c>
    </row>
    <row r="24" spans="1:18" ht="60" customHeight="1">
      <c r="A24" s="54" t="s">
        <v>32</v>
      </c>
      <c r="B24" s="54" t="s">
        <v>156</v>
      </c>
      <c r="C24" s="54" t="s">
        <v>64</v>
      </c>
      <c r="D24" s="54" t="s">
        <v>157</v>
      </c>
      <c r="E24" s="54">
        <v>505</v>
      </c>
      <c r="F24" s="54">
        <v>52</v>
      </c>
      <c r="G24" s="48"/>
      <c r="H24" s="54" t="s">
        <v>158</v>
      </c>
      <c r="I24" s="54" t="s">
        <v>159</v>
      </c>
      <c r="J24" s="54" t="s">
        <v>68</v>
      </c>
      <c r="K24" s="54" t="s">
        <v>155</v>
      </c>
      <c r="L24" s="54" t="s">
        <v>70</v>
      </c>
      <c r="M24" s="54" t="s">
        <v>95</v>
      </c>
      <c r="N24" s="54" t="s">
        <v>72</v>
      </c>
      <c r="O24" s="54" t="s">
        <v>73</v>
      </c>
      <c r="P24" s="54" t="s">
        <v>74</v>
      </c>
      <c r="Q24" s="54" t="s">
        <v>75</v>
      </c>
      <c r="R24" s="54" t="s">
        <v>76</v>
      </c>
    </row>
    <row r="25" spans="1:18" ht="60" customHeight="1">
      <c r="A25" s="54" t="s">
        <v>32</v>
      </c>
      <c r="B25" s="54" t="s">
        <v>160</v>
      </c>
      <c r="C25" s="54" t="s">
        <v>64</v>
      </c>
      <c r="D25" s="54" t="s">
        <v>161</v>
      </c>
      <c r="E25" s="54">
        <v>517</v>
      </c>
      <c r="F25" s="54">
        <v>59</v>
      </c>
      <c r="G25" s="48"/>
      <c r="H25" s="54" t="s">
        <v>162</v>
      </c>
      <c r="I25" s="54" t="s">
        <v>163</v>
      </c>
      <c r="J25" s="54" t="s">
        <v>68</v>
      </c>
      <c r="K25" s="54" t="s">
        <v>155</v>
      </c>
      <c r="L25" s="54" t="s">
        <v>70</v>
      </c>
      <c r="M25" s="54" t="s">
        <v>95</v>
      </c>
      <c r="N25" s="54" t="s">
        <v>72</v>
      </c>
      <c r="O25" s="54" t="s">
        <v>73</v>
      </c>
      <c r="P25" s="54" t="s">
        <v>74</v>
      </c>
      <c r="Q25" s="54" t="s">
        <v>75</v>
      </c>
      <c r="R25" s="54" t="s">
        <v>76</v>
      </c>
    </row>
    <row r="26" spans="1:18" ht="60" customHeight="1">
      <c r="A26" s="54" t="s">
        <v>32</v>
      </c>
      <c r="B26" s="54" t="s">
        <v>164</v>
      </c>
      <c r="C26" s="54" t="s">
        <v>64</v>
      </c>
      <c r="D26" s="54" t="s">
        <v>165</v>
      </c>
      <c r="E26" s="54">
        <v>985</v>
      </c>
      <c r="F26" s="54">
        <v>28</v>
      </c>
      <c r="G26" s="48"/>
      <c r="H26" s="54" t="s">
        <v>166</v>
      </c>
      <c r="I26" s="54" t="s">
        <v>99</v>
      </c>
      <c r="J26" s="54" t="s">
        <v>68</v>
      </c>
      <c r="K26" s="54" t="s">
        <v>155</v>
      </c>
      <c r="L26" s="54" t="s">
        <v>123</v>
      </c>
      <c r="M26" s="54" t="s">
        <v>95</v>
      </c>
      <c r="N26" s="54" t="s">
        <v>72</v>
      </c>
      <c r="O26" s="54" t="s">
        <v>73</v>
      </c>
      <c r="P26" s="54" t="s">
        <v>74</v>
      </c>
      <c r="Q26" s="54" t="s">
        <v>75</v>
      </c>
      <c r="R26" s="54" t="s">
        <v>76</v>
      </c>
    </row>
    <row r="27" spans="1:18" ht="60" customHeight="1">
      <c r="A27" s="54" t="s">
        <v>32</v>
      </c>
      <c r="B27" s="54" t="s">
        <v>167</v>
      </c>
      <c r="C27" s="54" t="s">
        <v>64</v>
      </c>
      <c r="D27" s="54" t="s">
        <v>97</v>
      </c>
      <c r="E27" s="54">
        <v>1399</v>
      </c>
      <c r="F27" s="54">
        <v>6</v>
      </c>
      <c r="G27" s="48"/>
      <c r="H27" s="54" t="s">
        <v>168</v>
      </c>
      <c r="I27" s="54" t="s">
        <v>99</v>
      </c>
      <c r="J27" s="54" t="s">
        <v>68</v>
      </c>
      <c r="K27" s="54" t="s">
        <v>155</v>
      </c>
      <c r="L27" s="54" t="s">
        <v>123</v>
      </c>
      <c r="M27" s="54" t="s">
        <v>95</v>
      </c>
      <c r="N27" s="54" t="s">
        <v>72</v>
      </c>
      <c r="O27" s="54" t="s">
        <v>73</v>
      </c>
      <c r="P27" s="54" t="s">
        <v>74</v>
      </c>
      <c r="Q27" s="54" t="s">
        <v>75</v>
      </c>
      <c r="R27" s="54" t="s">
        <v>76</v>
      </c>
    </row>
    <row r="28" spans="1:18" ht="60" customHeight="1">
      <c r="A28" s="54" t="s">
        <v>32</v>
      </c>
      <c r="B28" s="54" t="s">
        <v>169</v>
      </c>
      <c r="C28" s="54" t="s">
        <v>64</v>
      </c>
      <c r="D28" s="54" t="s">
        <v>170</v>
      </c>
      <c r="E28" s="54">
        <v>1499</v>
      </c>
      <c r="F28" s="54">
        <v>7</v>
      </c>
      <c r="G28" s="48"/>
      <c r="H28" s="54" t="s">
        <v>171</v>
      </c>
      <c r="I28" s="54" t="s">
        <v>99</v>
      </c>
      <c r="J28" s="54" t="s">
        <v>68</v>
      </c>
      <c r="K28" s="54" t="s">
        <v>155</v>
      </c>
      <c r="L28" s="54" t="s">
        <v>123</v>
      </c>
      <c r="M28" s="54" t="s">
        <v>95</v>
      </c>
      <c r="N28" s="54" t="s">
        <v>72</v>
      </c>
      <c r="O28" s="54" t="s">
        <v>73</v>
      </c>
      <c r="P28" s="54" t="s">
        <v>74</v>
      </c>
      <c r="Q28" s="54" t="s">
        <v>75</v>
      </c>
      <c r="R28" s="54" t="s">
        <v>76</v>
      </c>
    </row>
    <row r="29" spans="1:18" ht="60" customHeight="1">
      <c r="A29" s="54" t="s">
        <v>32</v>
      </c>
      <c r="B29" s="54" t="s">
        <v>172</v>
      </c>
      <c r="C29" s="54" t="s">
        <v>64</v>
      </c>
      <c r="D29" s="54" t="s">
        <v>173</v>
      </c>
      <c r="E29" s="48"/>
      <c r="F29" s="48"/>
      <c r="G29" s="48"/>
      <c r="H29" s="54" t="s">
        <v>174</v>
      </c>
      <c r="I29" s="54" t="s">
        <v>99</v>
      </c>
      <c r="J29" s="54" t="s">
        <v>68</v>
      </c>
      <c r="K29" s="54" t="s">
        <v>155</v>
      </c>
      <c r="L29" s="54" t="s">
        <v>123</v>
      </c>
      <c r="M29" s="54" t="s">
        <v>95</v>
      </c>
      <c r="N29" s="54" t="s">
        <v>72</v>
      </c>
      <c r="O29" s="54" t="s">
        <v>151</v>
      </c>
      <c r="P29" s="54" t="s">
        <v>152</v>
      </c>
      <c r="Q29" s="54" t="s">
        <v>75</v>
      </c>
      <c r="R29" s="54" t="s">
        <v>76</v>
      </c>
    </row>
    <row r="30" spans="1:18" ht="60" customHeight="1">
      <c r="A30" s="54" t="s">
        <v>32</v>
      </c>
      <c r="B30" s="54" t="s">
        <v>175</v>
      </c>
      <c r="C30" s="54" t="s">
        <v>64</v>
      </c>
      <c r="D30" s="54" t="s">
        <v>176</v>
      </c>
      <c r="E30" s="48"/>
      <c r="F30" s="48"/>
      <c r="G30" s="48"/>
      <c r="H30" s="54" t="s">
        <v>177</v>
      </c>
      <c r="I30" s="54" t="s">
        <v>99</v>
      </c>
      <c r="J30" s="54" t="s">
        <v>68</v>
      </c>
      <c r="K30" s="54" t="s">
        <v>155</v>
      </c>
      <c r="L30" s="54" t="s">
        <v>123</v>
      </c>
      <c r="M30" s="54" t="s">
        <v>95</v>
      </c>
      <c r="N30" s="54" t="s">
        <v>72</v>
      </c>
      <c r="O30" s="54" t="s">
        <v>151</v>
      </c>
      <c r="P30" s="54" t="s">
        <v>152</v>
      </c>
      <c r="Q30" s="54" t="s">
        <v>75</v>
      </c>
      <c r="R30" s="54" t="s">
        <v>76</v>
      </c>
    </row>
    <row r="31" spans="1:18" ht="60" customHeight="1">
      <c r="A31" s="54" t="s">
        <v>32</v>
      </c>
      <c r="B31" s="54" t="s">
        <v>178</v>
      </c>
      <c r="C31" s="54" t="s">
        <v>64</v>
      </c>
      <c r="D31" s="54" t="s">
        <v>92</v>
      </c>
      <c r="E31" s="48"/>
      <c r="F31" s="48"/>
      <c r="G31" s="48"/>
      <c r="H31" s="54" t="s">
        <v>179</v>
      </c>
      <c r="I31" s="54" t="s">
        <v>99</v>
      </c>
      <c r="J31" s="54" t="s">
        <v>68</v>
      </c>
      <c r="K31" s="54" t="s">
        <v>155</v>
      </c>
      <c r="L31" s="54" t="s">
        <v>123</v>
      </c>
      <c r="M31" s="54" t="s">
        <v>95</v>
      </c>
      <c r="N31" s="54" t="s">
        <v>72</v>
      </c>
      <c r="O31" s="54" t="s">
        <v>151</v>
      </c>
      <c r="P31" s="54" t="s">
        <v>152</v>
      </c>
      <c r="Q31" s="54" t="s">
        <v>75</v>
      </c>
      <c r="R31" s="54" t="s">
        <v>76</v>
      </c>
    </row>
    <row r="32" spans="1:18" ht="60" customHeight="1">
      <c r="A32" s="54" t="s">
        <v>32</v>
      </c>
      <c r="B32" s="54" t="s">
        <v>180</v>
      </c>
      <c r="C32" s="54" t="s">
        <v>64</v>
      </c>
      <c r="D32" s="54" t="s">
        <v>120</v>
      </c>
      <c r="E32" s="48"/>
      <c r="F32" s="48"/>
      <c r="G32" s="48"/>
      <c r="H32" s="54" t="s">
        <v>177</v>
      </c>
      <c r="I32" s="54" t="s">
        <v>99</v>
      </c>
      <c r="J32" s="54" t="s">
        <v>68</v>
      </c>
      <c r="K32" s="54" t="s">
        <v>155</v>
      </c>
      <c r="L32" s="54" t="s">
        <v>123</v>
      </c>
      <c r="M32" s="54" t="s">
        <v>95</v>
      </c>
      <c r="N32" s="54" t="s">
        <v>124</v>
      </c>
      <c r="O32" s="54" t="s">
        <v>125</v>
      </c>
      <c r="P32" s="54" t="s">
        <v>126</v>
      </c>
      <c r="Q32" s="54" t="s">
        <v>75</v>
      </c>
      <c r="R32" s="54" t="s">
        <v>76</v>
      </c>
    </row>
    <row r="33" spans="1:18" ht="60" customHeight="1">
      <c r="A33" s="54" t="s">
        <v>32</v>
      </c>
      <c r="B33" s="54" t="s">
        <v>181</v>
      </c>
      <c r="C33" s="54" t="s">
        <v>64</v>
      </c>
      <c r="D33" s="54" t="s">
        <v>92</v>
      </c>
      <c r="E33" s="48"/>
      <c r="F33" s="48"/>
      <c r="G33" s="48"/>
      <c r="H33" s="54" t="s">
        <v>179</v>
      </c>
      <c r="I33" s="54" t="s">
        <v>99</v>
      </c>
      <c r="J33" s="54" t="s">
        <v>68</v>
      </c>
      <c r="K33" s="54" t="s">
        <v>155</v>
      </c>
      <c r="L33" s="54" t="s">
        <v>123</v>
      </c>
      <c r="M33" s="54" t="s">
        <v>95</v>
      </c>
      <c r="N33" s="54" t="s">
        <v>72</v>
      </c>
      <c r="O33" s="54" t="s">
        <v>151</v>
      </c>
      <c r="P33" s="54" t="s">
        <v>152</v>
      </c>
      <c r="Q33" s="54" t="s">
        <v>75</v>
      </c>
      <c r="R33" s="54" t="s">
        <v>76</v>
      </c>
    </row>
    <row r="34" spans="1:18" ht="60" customHeight="1">
      <c r="A34" s="54" t="s">
        <v>32</v>
      </c>
      <c r="B34" s="54" t="s">
        <v>182</v>
      </c>
      <c r="C34" s="54" t="s">
        <v>64</v>
      </c>
      <c r="D34" s="54" t="s">
        <v>39</v>
      </c>
      <c r="E34" s="48"/>
      <c r="F34" s="48"/>
      <c r="G34" s="48"/>
      <c r="H34" s="54" t="s">
        <v>183</v>
      </c>
      <c r="I34" s="54" t="s">
        <v>99</v>
      </c>
      <c r="J34" s="54" t="s">
        <v>68</v>
      </c>
      <c r="K34" s="54" t="s">
        <v>155</v>
      </c>
      <c r="L34" s="54" t="s">
        <v>123</v>
      </c>
      <c r="M34" s="54" t="s">
        <v>95</v>
      </c>
      <c r="N34" s="54" t="s">
        <v>72</v>
      </c>
      <c r="O34" s="54" t="s">
        <v>151</v>
      </c>
      <c r="P34" s="54" t="s">
        <v>152</v>
      </c>
      <c r="Q34" s="54" t="s">
        <v>75</v>
      </c>
      <c r="R34" s="54" t="s">
        <v>76</v>
      </c>
    </row>
    <row r="35" spans="1:18" ht="60" customHeight="1">
      <c r="A35" s="54" t="s">
        <v>32</v>
      </c>
      <c r="B35" s="54" t="s">
        <v>184</v>
      </c>
      <c r="C35" s="54" t="s">
        <v>64</v>
      </c>
      <c r="D35" s="54" t="s">
        <v>170</v>
      </c>
      <c r="E35" s="48"/>
      <c r="F35" s="48"/>
      <c r="G35" s="48"/>
      <c r="H35" s="54" t="s">
        <v>185</v>
      </c>
      <c r="I35" s="54" t="s">
        <v>99</v>
      </c>
      <c r="J35" s="54" t="s">
        <v>68</v>
      </c>
      <c r="K35" s="54" t="s">
        <v>155</v>
      </c>
      <c r="L35" s="54" t="s">
        <v>186</v>
      </c>
      <c r="M35" s="54" t="s">
        <v>95</v>
      </c>
      <c r="N35" s="54" t="s">
        <v>72</v>
      </c>
      <c r="O35" s="54" t="s">
        <v>151</v>
      </c>
      <c r="P35" s="54" t="s">
        <v>152</v>
      </c>
      <c r="Q35" s="54" t="s">
        <v>75</v>
      </c>
      <c r="R35" s="54" t="s">
        <v>76</v>
      </c>
    </row>
    <row r="36" spans="1:18" ht="60" customHeight="1">
      <c r="A36" s="54" t="s">
        <v>32</v>
      </c>
      <c r="B36" s="54" t="s">
        <v>187</v>
      </c>
      <c r="C36" s="54" t="s">
        <v>64</v>
      </c>
      <c r="D36" s="54" t="s">
        <v>188</v>
      </c>
      <c r="E36" s="48"/>
      <c r="F36" s="48"/>
      <c r="G36" s="48"/>
      <c r="H36" s="54" t="s">
        <v>189</v>
      </c>
      <c r="I36" s="54" t="s">
        <v>99</v>
      </c>
      <c r="J36" s="54" t="s">
        <v>68</v>
      </c>
      <c r="K36" s="54" t="s">
        <v>155</v>
      </c>
      <c r="L36" s="54" t="s">
        <v>123</v>
      </c>
      <c r="M36" s="54" t="s">
        <v>95</v>
      </c>
      <c r="N36" s="54" t="s">
        <v>72</v>
      </c>
      <c r="O36" s="54" t="s">
        <v>151</v>
      </c>
      <c r="P36" s="54" t="s">
        <v>152</v>
      </c>
      <c r="Q36" s="54" t="s">
        <v>75</v>
      </c>
      <c r="R36" s="54" t="s">
        <v>76</v>
      </c>
    </row>
    <row r="37" spans="1:18" ht="60" customHeight="1">
      <c r="A37" s="54" t="s">
        <v>32</v>
      </c>
      <c r="B37" s="54" t="s">
        <v>190</v>
      </c>
      <c r="C37" s="54" t="s">
        <v>64</v>
      </c>
      <c r="D37" s="54" t="s">
        <v>191</v>
      </c>
      <c r="E37" s="48"/>
      <c r="F37" s="48"/>
      <c r="G37" s="48"/>
      <c r="H37" s="54" t="s">
        <v>192</v>
      </c>
      <c r="I37" s="54" t="s">
        <v>99</v>
      </c>
      <c r="J37" s="54" t="s">
        <v>68</v>
      </c>
      <c r="K37" s="54" t="s">
        <v>155</v>
      </c>
      <c r="L37" s="54" t="s">
        <v>123</v>
      </c>
      <c r="M37" s="54" t="s">
        <v>95</v>
      </c>
      <c r="N37" s="54" t="s">
        <v>72</v>
      </c>
      <c r="O37" s="54" t="s">
        <v>151</v>
      </c>
      <c r="P37" s="54" t="s">
        <v>152</v>
      </c>
      <c r="Q37" s="54" t="s">
        <v>75</v>
      </c>
      <c r="R37" s="54" t="s">
        <v>76</v>
      </c>
    </row>
    <row r="38" spans="1:18" ht="60" customHeight="1">
      <c r="A38" s="54" t="s">
        <v>32</v>
      </c>
      <c r="B38" s="54" t="s">
        <v>193</v>
      </c>
      <c r="C38" s="54" t="s">
        <v>64</v>
      </c>
      <c r="D38" s="54" t="s">
        <v>39</v>
      </c>
      <c r="E38" s="48"/>
      <c r="F38" s="54">
        <v>500</v>
      </c>
      <c r="G38" s="48"/>
      <c r="H38" s="54" t="s">
        <v>132</v>
      </c>
      <c r="I38" s="54" t="s">
        <v>99</v>
      </c>
      <c r="J38" s="54" t="s">
        <v>68</v>
      </c>
      <c r="K38" s="54" t="s">
        <v>155</v>
      </c>
      <c r="L38" s="54" t="s">
        <v>133</v>
      </c>
      <c r="M38" s="54" t="s">
        <v>194</v>
      </c>
      <c r="N38" s="54" t="s">
        <v>72</v>
      </c>
      <c r="O38" s="54" t="s">
        <v>195</v>
      </c>
      <c r="P38" s="54" t="s">
        <v>141</v>
      </c>
      <c r="Q38" s="54" t="s">
        <v>75</v>
      </c>
      <c r="R38" s="54" t="s">
        <v>76</v>
      </c>
    </row>
    <row r="39" spans="1:18" ht="60" customHeight="1">
      <c r="A39" s="54" t="s">
        <v>32</v>
      </c>
      <c r="B39" s="54" t="s">
        <v>196</v>
      </c>
      <c r="C39" s="54" t="s">
        <v>64</v>
      </c>
      <c r="D39" s="54" t="s">
        <v>157</v>
      </c>
      <c r="E39" s="48"/>
      <c r="F39" s="48"/>
      <c r="G39" s="48"/>
      <c r="H39" s="54" t="s">
        <v>197</v>
      </c>
      <c r="I39" s="54" t="s">
        <v>99</v>
      </c>
      <c r="J39" s="54" t="s">
        <v>68</v>
      </c>
      <c r="K39" s="54" t="s">
        <v>155</v>
      </c>
      <c r="L39" s="54" t="s">
        <v>123</v>
      </c>
      <c r="M39" s="54" t="s">
        <v>95</v>
      </c>
      <c r="N39" s="54" t="s">
        <v>72</v>
      </c>
      <c r="O39" s="54" t="s">
        <v>151</v>
      </c>
      <c r="P39" s="54" t="s">
        <v>152</v>
      </c>
      <c r="Q39" s="54" t="s">
        <v>75</v>
      </c>
      <c r="R39" s="54" t="s">
        <v>76</v>
      </c>
    </row>
    <row r="40" spans="1:18" ht="60" customHeight="1">
      <c r="A40" s="54" t="s">
        <v>32</v>
      </c>
      <c r="B40" s="54" t="s">
        <v>198</v>
      </c>
      <c r="C40" s="54" t="s">
        <v>64</v>
      </c>
      <c r="D40" s="54" t="s">
        <v>199</v>
      </c>
      <c r="E40" s="48"/>
      <c r="F40" s="48"/>
      <c r="G40" s="48"/>
      <c r="H40" s="54" t="s">
        <v>177</v>
      </c>
      <c r="I40" s="54" t="s">
        <v>99</v>
      </c>
      <c r="J40" s="54" t="s">
        <v>68</v>
      </c>
      <c r="K40" s="54" t="s">
        <v>155</v>
      </c>
      <c r="L40" s="54" t="s">
        <v>123</v>
      </c>
      <c r="M40" s="54" t="s">
        <v>95</v>
      </c>
      <c r="N40" s="54" t="s">
        <v>72</v>
      </c>
      <c r="O40" s="54" t="s">
        <v>151</v>
      </c>
      <c r="P40" s="54" t="s">
        <v>152</v>
      </c>
      <c r="Q40" s="54" t="s">
        <v>75</v>
      </c>
      <c r="R40" s="54" t="s">
        <v>76</v>
      </c>
    </row>
    <row r="41" spans="1:18" ht="60" customHeight="1">
      <c r="A41" s="54" t="s">
        <v>32</v>
      </c>
      <c r="B41" s="54" t="s">
        <v>200</v>
      </c>
      <c r="C41" s="54" t="s">
        <v>64</v>
      </c>
      <c r="D41" s="54" t="s">
        <v>201</v>
      </c>
      <c r="E41" s="48"/>
      <c r="F41" s="48"/>
      <c r="G41" s="48"/>
      <c r="H41" s="54" t="s">
        <v>202</v>
      </c>
      <c r="I41" s="54" t="s">
        <v>99</v>
      </c>
      <c r="J41" s="54" t="s">
        <v>68</v>
      </c>
      <c r="K41" s="54" t="s">
        <v>155</v>
      </c>
      <c r="L41" s="54" t="s">
        <v>123</v>
      </c>
      <c r="M41" s="54" t="s">
        <v>95</v>
      </c>
      <c r="N41" s="54" t="s">
        <v>72</v>
      </c>
      <c r="O41" s="54" t="s">
        <v>151</v>
      </c>
      <c r="P41" s="54" t="s">
        <v>152</v>
      </c>
      <c r="Q41" s="54" t="s">
        <v>75</v>
      </c>
      <c r="R41" s="54" t="s">
        <v>76</v>
      </c>
    </row>
    <row r="42" spans="1:18" ht="60" customHeight="1">
      <c r="A42" s="54" t="s">
        <v>32</v>
      </c>
      <c r="B42" s="54" t="s">
        <v>203</v>
      </c>
      <c r="C42" s="54" t="s">
        <v>64</v>
      </c>
      <c r="D42" s="54" t="s">
        <v>204</v>
      </c>
      <c r="E42" s="48"/>
      <c r="F42" s="48"/>
      <c r="G42" s="48"/>
      <c r="H42" s="54" t="s">
        <v>177</v>
      </c>
      <c r="I42" s="54" t="s">
        <v>99</v>
      </c>
      <c r="J42" s="54" t="s">
        <v>68</v>
      </c>
      <c r="K42" s="54" t="s">
        <v>155</v>
      </c>
      <c r="L42" s="54" t="s">
        <v>123</v>
      </c>
      <c r="M42" s="54" t="s">
        <v>95</v>
      </c>
      <c r="N42" s="54" t="s">
        <v>135</v>
      </c>
      <c r="O42" s="54" t="s">
        <v>125</v>
      </c>
      <c r="P42" s="54" t="s">
        <v>126</v>
      </c>
      <c r="Q42" s="54" t="s">
        <v>75</v>
      </c>
      <c r="R42" s="54" t="s">
        <v>76</v>
      </c>
    </row>
    <row r="43" spans="1:18" ht="60" customHeight="1">
      <c r="A43" s="54" t="s">
        <v>32</v>
      </c>
      <c r="B43" s="54" t="s">
        <v>205</v>
      </c>
      <c r="C43" s="54" t="s">
        <v>64</v>
      </c>
      <c r="D43" s="54" t="s">
        <v>206</v>
      </c>
      <c r="E43" s="48"/>
      <c r="F43" s="48"/>
      <c r="G43" s="48"/>
      <c r="H43" s="54" t="s">
        <v>177</v>
      </c>
      <c r="I43" s="54" t="s">
        <v>99</v>
      </c>
      <c r="J43" s="54" t="s">
        <v>68</v>
      </c>
      <c r="K43" s="54" t="s">
        <v>155</v>
      </c>
      <c r="L43" s="54" t="s">
        <v>186</v>
      </c>
      <c r="M43" s="54" t="s">
        <v>95</v>
      </c>
      <c r="N43" s="54" t="s">
        <v>72</v>
      </c>
      <c r="O43" s="54" t="s">
        <v>151</v>
      </c>
      <c r="P43" s="54" t="s">
        <v>152</v>
      </c>
      <c r="Q43" s="54" t="s">
        <v>75</v>
      </c>
      <c r="R43" s="54" t="s">
        <v>76</v>
      </c>
    </row>
    <row r="44" spans="1:18" ht="60" customHeight="1">
      <c r="A44" s="54" t="s">
        <v>32</v>
      </c>
      <c r="B44" s="54" t="s">
        <v>207</v>
      </c>
      <c r="C44" s="54" t="s">
        <v>64</v>
      </c>
      <c r="D44" s="54" t="s">
        <v>208</v>
      </c>
      <c r="E44" s="48"/>
      <c r="F44" s="48"/>
      <c r="G44" s="48"/>
      <c r="H44" s="54" t="s">
        <v>185</v>
      </c>
      <c r="I44" s="54" t="s">
        <v>99</v>
      </c>
      <c r="J44" s="54" t="s">
        <v>68</v>
      </c>
      <c r="K44" s="54" t="s">
        <v>155</v>
      </c>
      <c r="L44" s="54" t="s">
        <v>123</v>
      </c>
      <c r="M44" s="54" t="s">
        <v>95</v>
      </c>
      <c r="N44" s="54" t="s">
        <v>72</v>
      </c>
      <c r="O44" s="54" t="s">
        <v>151</v>
      </c>
      <c r="P44" s="54" t="s">
        <v>152</v>
      </c>
      <c r="Q44" s="54" t="s">
        <v>75</v>
      </c>
      <c r="R44" s="54" t="s">
        <v>76</v>
      </c>
    </row>
    <row r="45" spans="1:18" ht="60" customHeight="1">
      <c r="A45" s="54" t="s">
        <v>32</v>
      </c>
      <c r="B45" s="54" t="s">
        <v>209</v>
      </c>
      <c r="C45" s="54" t="s">
        <v>64</v>
      </c>
      <c r="D45" s="54" t="s">
        <v>188</v>
      </c>
      <c r="E45" s="48"/>
      <c r="F45" s="48"/>
      <c r="G45" s="48"/>
      <c r="H45" s="54" t="s">
        <v>189</v>
      </c>
      <c r="I45" s="54" t="s">
        <v>99</v>
      </c>
      <c r="J45" s="54" t="s">
        <v>68</v>
      </c>
      <c r="K45" s="54" t="s">
        <v>155</v>
      </c>
      <c r="L45" s="54" t="s">
        <v>123</v>
      </c>
      <c r="M45" s="54" t="s">
        <v>95</v>
      </c>
      <c r="N45" s="54" t="s">
        <v>72</v>
      </c>
      <c r="O45" s="54" t="s">
        <v>151</v>
      </c>
      <c r="P45" s="54" t="s">
        <v>152</v>
      </c>
      <c r="Q45" s="54" t="s">
        <v>75</v>
      </c>
      <c r="R45" s="54" t="s">
        <v>76</v>
      </c>
    </row>
    <row r="46" spans="1:18" ht="60" customHeight="1">
      <c r="A46" s="54" t="s">
        <v>32</v>
      </c>
      <c r="B46" s="54" t="s">
        <v>210</v>
      </c>
      <c r="C46" s="54" t="s">
        <v>64</v>
      </c>
      <c r="D46" s="54" t="s">
        <v>211</v>
      </c>
      <c r="E46" s="48"/>
      <c r="F46" s="48"/>
      <c r="G46" s="48"/>
      <c r="H46" s="54" t="s">
        <v>212</v>
      </c>
      <c r="I46" s="54" t="s">
        <v>99</v>
      </c>
      <c r="J46" s="54" t="s">
        <v>68</v>
      </c>
      <c r="K46" s="54" t="s">
        <v>155</v>
      </c>
      <c r="L46" s="54" t="s">
        <v>186</v>
      </c>
      <c r="M46" s="54" t="s">
        <v>95</v>
      </c>
      <c r="N46" s="54" t="s">
        <v>72</v>
      </c>
      <c r="O46" s="54" t="s">
        <v>151</v>
      </c>
      <c r="P46" s="54" t="s">
        <v>152</v>
      </c>
      <c r="Q46" s="54" t="s">
        <v>75</v>
      </c>
      <c r="R46" s="54" t="s">
        <v>76</v>
      </c>
    </row>
    <row r="47" spans="1:18" ht="60" customHeight="1">
      <c r="A47" s="54" t="s">
        <v>32</v>
      </c>
      <c r="B47" s="54" t="s">
        <v>213</v>
      </c>
      <c r="C47" s="54" t="s">
        <v>64</v>
      </c>
      <c r="D47" s="54" t="s">
        <v>214</v>
      </c>
      <c r="E47" s="48"/>
      <c r="F47" s="48"/>
      <c r="G47" s="48"/>
      <c r="H47" s="54" t="s">
        <v>177</v>
      </c>
      <c r="I47" s="54" t="s">
        <v>99</v>
      </c>
      <c r="J47" s="54" t="s">
        <v>68</v>
      </c>
      <c r="K47" s="54" t="s">
        <v>155</v>
      </c>
      <c r="L47" s="54" t="s">
        <v>123</v>
      </c>
      <c r="M47" s="54" t="s">
        <v>95</v>
      </c>
      <c r="N47" s="54" t="s">
        <v>72</v>
      </c>
      <c r="O47" s="54" t="s">
        <v>151</v>
      </c>
      <c r="P47" s="54" t="s">
        <v>152</v>
      </c>
      <c r="Q47" s="54" t="s">
        <v>75</v>
      </c>
      <c r="R47" s="54" t="s">
        <v>76</v>
      </c>
    </row>
    <row r="48" spans="1:18" ht="60" customHeight="1">
      <c r="A48" s="54" t="s">
        <v>32</v>
      </c>
      <c r="B48" s="54" t="s">
        <v>215</v>
      </c>
      <c r="C48" s="54" t="s">
        <v>64</v>
      </c>
      <c r="D48" s="54" t="s">
        <v>130</v>
      </c>
      <c r="E48" s="48"/>
      <c r="F48" s="48"/>
      <c r="G48" s="48"/>
      <c r="H48" s="54" t="s">
        <v>216</v>
      </c>
      <c r="I48" s="54" t="s">
        <v>99</v>
      </c>
      <c r="J48" s="54" t="s">
        <v>68</v>
      </c>
      <c r="K48" s="54" t="s">
        <v>155</v>
      </c>
      <c r="L48" s="54" t="s">
        <v>123</v>
      </c>
      <c r="M48" s="54" t="s">
        <v>95</v>
      </c>
      <c r="N48" s="54" t="s">
        <v>135</v>
      </c>
      <c r="O48" s="54" t="s">
        <v>125</v>
      </c>
      <c r="P48" s="54" t="s">
        <v>126</v>
      </c>
      <c r="Q48" s="54" t="s">
        <v>75</v>
      </c>
      <c r="R48" s="54" t="s">
        <v>76</v>
      </c>
    </row>
    <row r="49" spans="1:18" ht="60" customHeight="1">
      <c r="A49" s="54" t="s">
        <v>32</v>
      </c>
      <c r="B49" s="54" t="s">
        <v>217</v>
      </c>
      <c r="C49" s="54" t="s">
        <v>64</v>
      </c>
      <c r="D49" s="54" t="s">
        <v>218</v>
      </c>
      <c r="E49" s="48"/>
      <c r="F49" s="48"/>
      <c r="G49" s="48"/>
      <c r="H49" s="54" t="s">
        <v>177</v>
      </c>
      <c r="I49" s="54" t="s">
        <v>99</v>
      </c>
      <c r="J49" s="54" t="s">
        <v>68</v>
      </c>
      <c r="K49" s="54" t="s">
        <v>155</v>
      </c>
      <c r="L49" s="54" t="s">
        <v>123</v>
      </c>
      <c r="M49" s="54" t="s">
        <v>95</v>
      </c>
      <c r="N49" s="54" t="s">
        <v>72</v>
      </c>
      <c r="O49" s="54" t="s">
        <v>151</v>
      </c>
      <c r="P49" s="54" t="s">
        <v>152</v>
      </c>
      <c r="Q49" s="54" t="s">
        <v>75</v>
      </c>
      <c r="R49" s="54" t="s">
        <v>76</v>
      </c>
    </row>
    <row r="50" spans="1:18" ht="60" customHeight="1">
      <c r="A50" s="54" t="s">
        <v>32</v>
      </c>
      <c r="B50" s="54" t="s">
        <v>219</v>
      </c>
      <c r="C50" s="54" t="s">
        <v>64</v>
      </c>
      <c r="D50" s="54" t="s">
        <v>220</v>
      </c>
      <c r="E50" s="48"/>
      <c r="F50" s="54">
        <v>100</v>
      </c>
      <c r="G50" s="48"/>
      <c r="H50" s="54" t="s">
        <v>132</v>
      </c>
      <c r="I50" s="54" t="s">
        <v>99</v>
      </c>
      <c r="J50" s="54" t="s">
        <v>68</v>
      </c>
      <c r="K50" s="54" t="s">
        <v>155</v>
      </c>
      <c r="L50" s="54" t="s">
        <v>133</v>
      </c>
      <c r="M50" s="54" t="s">
        <v>221</v>
      </c>
      <c r="N50" s="54" t="s">
        <v>72</v>
      </c>
      <c r="O50" s="54" t="s">
        <v>222</v>
      </c>
      <c r="P50" s="54" t="s">
        <v>141</v>
      </c>
      <c r="Q50" s="54" t="s">
        <v>75</v>
      </c>
      <c r="R50" s="54" t="s">
        <v>76</v>
      </c>
    </row>
    <row r="51" spans="1:18" ht="60" customHeight="1">
      <c r="A51" s="54" t="s">
        <v>32</v>
      </c>
      <c r="B51" s="54" t="s">
        <v>223</v>
      </c>
      <c r="C51" s="54" t="s">
        <v>64</v>
      </c>
      <c r="D51" s="54" t="s">
        <v>224</v>
      </c>
      <c r="E51" s="48"/>
      <c r="F51" s="48"/>
      <c r="G51" s="48"/>
      <c r="H51" s="54" t="s">
        <v>212</v>
      </c>
      <c r="I51" s="54" t="s">
        <v>99</v>
      </c>
      <c r="J51" s="54" t="s">
        <v>68</v>
      </c>
      <c r="K51" s="54" t="s">
        <v>155</v>
      </c>
      <c r="L51" s="54" t="s">
        <v>123</v>
      </c>
      <c r="M51" s="54" t="s">
        <v>95</v>
      </c>
      <c r="N51" s="54" t="s">
        <v>72</v>
      </c>
      <c r="O51" s="54" t="s">
        <v>151</v>
      </c>
      <c r="P51" s="54" t="s">
        <v>152</v>
      </c>
      <c r="Q51" s="54" t="s">
        <v>75</v>
      </c>
      <c r="R51" s="54" t="s">
        <v>76</v>
      </c>
    </row>
    <row r="52" spans="1:18" ht="60" customHeight="1">
      <c r="A52" s="55" t="s">
        <v>34</v>
      </c>
      <c r="B52" s="55" t="s">
        <v>225</v>
      </c>
      <c r="C52" s="55" t="s">
        <v>226</v>
      </c>
      <c r="D52" s="55" t="s">
        <v>227</v>
      </c>
      <c r="E52" s="55">
        <v>132</v>
      </c>
      <c r="F52" s="55">
        <v>125</v>
      </c>
      <c r="G52" s="49"/>
      <c r="H52" s="55" t="s">
        <v>228</v>
      </c>
      <c r="I52" s="55" t="s">
        <v>86</v>
      </c>
      <c r="J52" s="55" t="s">
        <v>229</v>
      </c>
      <c r="K52" s="55" t="s">
        <v>230</v>
      </c>
      <c r="L52" s="55" t="s">
        <v>70</v>
      </c>
      <c r="M52" s="55" t="s">
        <v>231</v>
      </c>
      <c r="N52" s="55" t="s">
        <v>72</v>
      </c>
      <c r="O52" s="55" t="s">
        <v>73</v>
      </c>
      <c r="P52" s="55" t="s">
        <v>74</v>
      </c>
      <c r="Q52" s="55" t="s">
        <v>75</v>
      </c>
      <c r="R52" s="55" t="s">
        <v>76</v>
      </c>
    </row>
    <row r="53" spans="1:18" ht="60" customHeight="1">
      <c r="A53" s="55" t="s">
        <v>34</v>
      </c>
      <c r="B53" s="55" t="s">
        <v>232</v>
      </c>
      <c r="C53" s="55" t="s">
        <v>226</v>
      </c>
      <c r="D53" s="55" t="s">
        <v>233</v>
      </c>
      <c r="E53" s="55">
        <v>311</v>
      </c>
      <c r="F53" s="55">
        <v>91</v>
      </c>
      <c r="G53" s="49"/>
      <c r="H53" s="55" t="s">
        <v>234</v>
      </c>
      <c r="I53" s="55" t="s">
        <v>86</v>
      </c>
      <c r="J53" s="55" t="s">
        <v>235</v>
      </c>
      <c r="K53" s="55" t="s">
        <v>230</v>
      </c>
      <c r="L53" s="55" t="s">
        <v>70</v>
      </c>
      <c r="M53" s="55" t="s">
        <v>95</v>
      </c>
      <c r="N53" s="55" t="s">
        <v>72</v>
      </c>
      <c r="O53" s="55" t="s">
        <v>73</v>
      </c>
      <c r="P53" s="55" t="s">
        <v>74</v>
      </c>
      <c r="Q53" s="55" t="s">
        <v>75</v>
      </c>
      <c r="R53" s="55" t="s">
        <v>76</v>
      </c>
    </row>
    <row r="54" spans="1:18" ht="60" customHeight="1">
      <c r="A54" s="55" t="s">
        <v>34</v>
      </c>
      <c r="B54" s="55" t="s">
        <v>236</v>
      </c>
      <c r="C54" s="55" t="s">
        <v>226</v>
      </c>
      <c r="D54" s="55" t="s">
        <v>237</v>
      </c>
      <c r="E54" s="55">
        <v>758</v>
      </c>
      <c r="F54" s="55">
        <v>16</v>
      </c>
      <c r="G54" s="49"/>
      <c r="H54" s="55" t="s">
        <v>238</v>
      </c>
      <c r="I54" s="55" t="s">
        <v>99</v>
      </c>
      <c r="J54" s="55" t="s">
        <v>235</v>
      </c>
      <c r="K54" s="55" t="s">
        <v>230</v>
      </c>
      <c r="L54" s="55" t="s">
        <v>123</v>
      </c>
      <c r="M54" s="55" t="s">
        <v>95</v>
      </c>
      <c r="N54" s="55" t="s">
        <v>72</v>
      </c>
      <c r="O54" s="55" t="s">
        <v>73</v>
      </c>
      <c r="P54" s="55" t="s">
        <v>74</v>
      </c>
      <c r="Q54" s="55" t="s">
        <v>75</v>
      </c>
      <c r="R54" s="55" t="s">
        <v>76</v>
      </c>
    </row>
    <row r="55" spans="1:18" ht="60" customHeight="1">
      <c r="A55" s="55" t="s">
        <v>34</v>
      </c>
      <c r="B55" s="55" t="s">
        <v>239</v>
      </c>
      <c r="C55" s="55" t="s">
        <v>226</v>
      </c>
      <c r="D55" s="55" t="s">
        <v>38</v>
      </c>
      <c r="E55" s="55">
        <v>1328</v>
      </c>
      <c r="F55" s="55">
        <v>6</v>
      </c>
      <c r="G55" s="49"/>
      <c r="H55" s="55" t="s">
        <v>240</v>
      </c>
      <c r="I55" s="55" t="s">
        <v>99</v>
      </c>
      <c r="J55" s="55" t="s">
        <v>229</v>
      </c>
      <c r="K55" s="55" t="s">
        <v>230</v>
      </c>
      <c r="L55" s="55" t="s">
        <v>123</v>
      </c>
      <c r="M55" s="55" t="s">
        <v>95</v>
      </c>
      <c r="N55" s="55" t="s">
        <v>72</v>
      </c>
      <c r="O55" s="55" t="s">
        <v>73</v>
      </c>
      <c r="P55" s="55" t="s">
        <v>74</v>
      </c>
      <c r="Q55" s="55" t="s">
        <v>75</v>
      </c>
      <c r="R55" s="55" t="s">
        <v>76</v>
      </c>
    </row>
    <row r="56" spans="1:18" ht="60" customHeight="1">
      <c r="A56" s="55" t="s">
        <v>34</v>
      </c>
      <c r="B56" s="55" t="s">
        <v>241</v>
      </c>
      <c r="C56" s="55" t="s">
        <v>226</v>
      </c>
      <c r="D56" s="55" t="s">
        <v>92</v>
      </c>
      <c r="E56" s="49"/>
      <c r="F56" s="49"/>
      <c r="G56" s="49"/>
      <c r="H56" s="55" t="s">
        <v>179</v>
      </c>
      <c r="I56" s="55" t="s">
        <v>99</v>
      </c>
      <c r="J56" s="55" t="s">
        <v>229</v>
      </c>
      <c r="K56" s="55" t="s">
        <v>230</v>
      </c>
      <c r="L56" s="55" t="s">
        <v>123</v>
      </c>
      <c r="M56" s="55" t="s">
        <v>95</v>
      </c>
      <c r="N56" s="55" t="s">
        <v>72</v>
      </c>
      <c r="O56" s="55" t="s">
        <v>151</v>
      </c>
      <c r="P56" s="55" t="s">
        <v>152</v>
      </c>
      <c r="Q56" s="55" t="s">
        <v>75</v>
      </c>
      <c r="R56" s="55" t="s">
        <v>76</v>
      </c>
    </row>
    <row r="57" spans="1:18" ht="60" customHeight="1">
      <c r="A57" s="55" t="s">
        <v>34</v>
      </c>
      <c r="B57" s="55" t="s">
        <v>242</v>
      </c>
      <c r="C57" s="55" t="s">
        <v>226</v>
      </c>
      <c r="D57" s="55" t="s">
        <v>243</v>
      </c>
      <c r="E57" s="49"/>
      <c r="F57" s="49"/>
      <c r="G57" s="49"/>
      <c r="H57" s="55" t="s">
        <v>177</v>
      </c>
      <c r="I57" s="55" t="s">
        <v>99</v>
      </c>
      <c r="J57" s="55" t="s">
        <v>229</v>
      </c>
      <c r="K57" s="55" t="s">
        <v>230</v>
      </c>
      <c r="L57" s="55" t="s">
        <v>123</v>
      </c>
      <c r="M57" s="55" t="s">
        <v>95</v>
      </c>
      <c r="N57" s="55" t="s">
        <v>135</v>
      </c>
      <c r="O57" s="55" t="s">
        <v>125</v>
      </c>
      <c r="P57" s="55" t="s">
        <v>126</v>
      </c>
      <c r="Q57" s="55" t="s">
        <v>75</v>
      </c>
      <c r="R57" s="55" t="s">
        <v>76</v>
      </c>
    </row>
    <row r="58" spans="1:18" ht="60" customHeight="1">
      <c r="A58" s="55" t="s">
        <v>34</v>
      </c>
      <c r="B58" s="55" t="s">
        <v>244</v>
      </c>
      <c r="C58" s="55" t="s">
        <v>64</v>
      </c>
      <c r="D58" s="55" t="s">
        <v>245</v>
      </c>
      <c r="E58" s="49"/>
      <c r="F58" s="55">
        <v>181</v>
      </c>
      <c r="G58" s="49"/>
      <c r="H58" s="55" t="s">
        <v>132</v>
      </c>
      <c r="I58" s="55" t="s">
        <v>99</v>
      </c>
      <c r="J58" s="55" t="s">
        <v>68</v>
      </c>
      <c r="K58" s="55" t="s">
        <v>230</v>
      </c>
      <c r="L58" s="55" t="s">
        <v>133</v>
      </c>
      <c r="M58" s="55" t="s">
        <v>246</v>
      </c>
      <c r="N58" s="55" t="s">
        <v>135</v>
      </c>
      <c r="O58" s="55" t="s">
        <v>247</v>
      </c>
      <c r="P58" s="55" t="s">
        <v>74</v>
      </c>
      <c r="Q58" s="55" t="s">
        <v>75</v>
      </c>
      <c r="R58" s="55" t="s">
        <v>76</v>
      </c>
    </row>
    <row r="59" spans="1:18" ht="60" customHeight="1">
      <c r="A59" s="55" t="s">
        <v>34</v>
      </c>
      <c r="B59" s="55" t="s">
        <v>248</v>
      </c>
      <c r="C59" s="55" t="s">
        <v>226</v>
      </c>
      <c r="D59" s="55" t="s">
        <v>249</v>
      </c>
      <c r="E59" s="49"/>
      <c r="F59" s="49"/>
      <c r="G59" s="49"/>
      <c r="H59" s="55" t="s">
        <v>212</v>
      </c>
      <c r="I59" s="55" t="s">
        <v>99</v>
      </c>
      <c r="J59" s="55" t="s">
        <v>229</v>
      </c>
      <c r="K59" s="55" t="s">
        <v>230</v>
      </c>
      <c r="L59" s="55" t="s">
        <v>123</v>
      </c>
      <c r="M59" s="55" t="s">
        <v>95</v>
      </c>
      <c r="N59" s="55" t="s">
        <v>135</v>
      </c>
      <c r="O59" s="55" t="s">
        <v>125</v>
      </c>
      <c r="P59" s="55" t="s">
        <v>126</v>
      </c>
      <c r="Q59" s="55" t="s">
        <v>75</v>
      </c>
      <c r="R59" s="55" t="s">
        <v>76</v>
      </c>
    </row>
    <row r="60" spans="1:18" ht="60" customHeight="1">
      <c r="A60" s="55" t="s">
        <v>34</v>
      </c>
      <c r="B60" s="55" t="s">
        <v>250</v>
      </c>
      <c r="C60" s="55" t="s">
        <v>64</v>
      </c>
      <c r="D60" s="55" t="s">
        <v>251</v>
      </c>
      <c r="E60" s="49"/>
      <c r="F60" s="49"/>
      <c r="G60" s="49"/>
      <c r="H60" s="55" t="s">
        <v>183</v>
      </c>
      <c r="I60" s="55" t="s">
        <v>99</v>
      </c>
      <c r="J60" s="55" t="s">
        <v>68</v>
      </c>
      <c r="K60" s="55" t="s">
        <v>230</v>
      </c>
      <c r="L60" s="55" t="s">
        <v>123</v>
      </c>
      <c r="M60" s="55" t="s">
        <v>95</v>
      </c>
      <c r="N60" s="55" t="s">
        <v>135</v>
      </c>
      <c r="O60" s="55" t="s">
        <v>125</v>
      </c>
      <c r="P60" s="55" t="s">
        <v>126</v>
      </c>
      <c r="Q60" s="55" t="s">
        <v>75</v>
      </c>
      <c r="R60" s="55" t="s">
        <v>76</v>
      </c>
    </row>
    <row r="61" spans="1:18" ht="60" customHeight="1">
      <c r="A61" s="55" t="s">
        <v>34</v>
      </c>
      <c r="B61" s="55" t="s">
        <v>252</v>
      </c>
      <c r="C61" s="55" t="s">
        <v>226</v>
      </c>
      <c r="D61" s="55" t="s">
        <v>253</v>
      </c>
      <c r="E61" s="49"/>
      <c r="F61" s="49"/>
      <c r="G61" s="49"/>
      <c r="H61" s="55" t="s">
        <v>177</v>
      </c>
      <c r="I61" s="55" t="s">
        <v>99</v>
      </c>
      <c r="J61" s="55" t="s">
        <v>229</v>
      </c>
      <c r="K61" s="55" t="s">
        <v>230</v>
      </c>
      <c r="L61" s="55" t="s">
        <v>123</v>
      </c>
      <c r="M61" s="55" t="s">
        <v>95</v>
      </c>
      <c r="N61" s="55" t="s">
        <v>72</v>
      </c>
      <c r="O61" s="55" t="s">
        <v>151</v>
      </c>
      <c r="P61" s="55" t="s">
        <v>152</v>
      </c>
      <c r="Q61" s="55" t="s">
        <v>75</v>
      </c>
      <c r="R61" s="55" t="s">
        <v>76</v>
      </c>
    </row>
    <row r="62" spans="1:18" ht="60" customHeight="1">
      <c r="A62" s="55" t="s">
        <v>34</v>
      </c>
      <c r="B62" s="55" t="s">
        <v>254</v>
      </c>
      <c r="C62" s="55" t="s">
        <v>226</v>
      </c>
      <c r="D62" s="55" t="s">
        <v>255</v>
      </c>
      <c r="E62" s="49"/>
      <c r="F62" s="49"/>
      <c r="G62" s="49"/>
      <c r="H62" s="55" t="s">
        <v>185</v>
      </c>
      <c r="I62" s="55" t="s">
        <v>99</v>
      </c>
      <c r="J62" s="55" t="s">
        <v>229</v>
      </c>
      <c r="K62" s="55" t="s">
        <v>230</v>
      </c>
      <c r="L62" s="55" t="s">
        <v>123</v>
      </c>
      <c r="M62" s="55" t="s">
        <v>95</v>
      </c>
      <c r="N62" s="55" t="s">
        <v>135</v>
      </c>
      <c r="O62" s="55" t="s">
        <v>125</v>
      </c>
      <c r="P62" s="55" t="s">
        <v>126</v>
      </c>
      <c r="Q62" s="55" t="s">
        <v>75</v>
      </c>
      <c r="R62" s="55" t="s">
        <v>76</v>
      </c>
    </row>
    <row r="63" spans="1:18" ht="60" customHeight="1">
      <c r="A63" s="55" t="s">
        <v>34</v>
      </c>
      <c r="B63" s="55" t="s">
        <v>256</v>
      </c>
      <c r="C63" s="55" t="s">
        <v>226</v>
      </c>
      <c r="D63" s="55" t="s">
        <v>255</v>
      </c>
      <c r="E63" s="49"/>
      <c r="F63" s="49"/>
      <c r="G63" s="49"/>
      <c r="H63" s="55" t="s">
        <v>185</v>
      </c>
      <c r="I63" s="55" t="s">
        <v>99</v>
      </c>
      <c r="J63" s="55" t="s">
        <v>229</v>
      </c>
      <c r="K63" s="55" t="s">
        <v>230</v>
      </c>
      <c r="L63" s="55" t="s">
        <v>123</v>
      </c>
      <c r="M63" s="55" t="s">
        <v>95</v>
      </c>
      <c r="N63" s="55" t="s">
        <v>135</v>
      </c>
      <c r="O63" s="55" t="s">
        <v>125</v>
      </c>
      <c r="P63" s="55" t="s">
        <v>126</v>
      </c>
      <c r="Q63" s="55" t="s">
        <v>75</v>
      </c>
      <c r="R63" s="55" t="s">
        <v>76</v>
      </c>
    </row>
    <row r="64" spans="1:18" ht="60" customHeight="1">
      <c r="A64" s="55" t="s">
        <v>34</v>
      </c>
      <c r="B64" s="55" t="s">
        <v>257</v>
      </c>
      <c r="C64" s="55" t="s">
        <v>64</v>
      </c>
      <c r="D64" s="55" t="s">
        <v>258</v>
      </c>
      <c r="E64" s="49"/>
      <c r="F64" s="49"/>
      <c r="G64" s="49"/>
      <c r="H64" s="55" t="s">
        <v>212</v>
      </c>
      <c r="I64" s="55" t="s">
        <v>99</v>
      </c>
      <c r="J64" s="55" t="s">
        <v>68</v>
      </c>
      <c r="K64" s="55" t="s">
        <v>230</v>
      </c>
      <c r="L64" s="55" t="s">
        <v>123</v>
      </c>
      <c r="M64" s="55" t="s">
        <v>95</v>
      </c>
      <c r="N64" s="55" t="s">
        <v>135</v>
      </c>
      <c r="O64" s="55" t="s">
        <v>125</v>
      </c>
      <c r="P64" s="55" t="s">
        <v>126</v>
      </c>
      <c r="Q64" s="55" t="s">
        <v>75</v>
      </c>
      <c r="R64" s="55" t="s">
        <v>76</v>
      </c>
    </row>
    <row r="65" spans="1:18" ht="60" customHeight="1">
      <c r="A65" s="55" t="s">
        <v>34</v>
      </c>
      <c r="B65" s="55" t="s">
        <v>259</v>
      </c>
      <c r="C65" s="55" t="s">
        <v>64</v>
      </c>
      <c r="D65" s="55" t="s">
        <v>201</v>
      </c>
      <c r="E65" s="49"/>
      <c r="F65" s="49"/>
      <c r="G65" s="49"/>
      <c r="H65" s="55" t="s">
        <v>202</v>
      </c>
      <c r="I65" s="55" t="s">
        <v>99</v>
      </c>
      <c r="J65" s="55" t="s">
        <v>68</v>
      </c>
      <c r="K65" s="55" t="s">
        <v>230</v>
      </c>
      <c r="L65" s="55" t="s">
        <v>123</v>
      </c>
      <c r="M65" s="55" t="s">
        <v>95</v>
      </c>
      <c r="N65" s="55" t="s">
        <v>135</v>
      </c>
      <c r="O65" s="55" t="s">
        <v>125</v>
      </c>
      <c r="P65" s="55" t="s">
        <v>126</v>
      </c>
      <c r="Q65" s="55" t="s">
        <v>75</v>
      </c>
      <c r="R65" s="55" t="s">
        <v>76</v>
      </c>
    </row>
    <row r="66" spans="1:18" ht="60" customHeight="1">
      <c r="A66" s="55" t="s">
        <v>34</v>
      </c>
      <c r="B66" s="55" t="s">
        <v>260</v>
      </c>
      <c r="C66" s="55" t="s">
        <v>64</v>
      </c>
      <c r="D66" s="55" t="s">
        <v>97</v>
      </c>
      <c r="E66" s="49"/>
      <c r="F66" s="49"/>
      <c r="G66" s="49"/>
      <c r="H66" s="55" t="s">
        <v>192</v>
      </c>
      <c r="I66" s="55" t="s">
        <v>99</v>
      </c>
      <c r="J66" s="55" t="s">
        <v>68</v>
      </c>
      <c r="K66" s="55" t="s">
        <v>230</v>
      </c>
      <c r="L66" s="55" t="s">
        <v>186</v>
      </c>
      <c r="M66" s="55" t="s">
        <v>95</v>
      </c>
      <c r="N66" s="55" t="s">
        <v>135</v>
      </c>
      <c r="O66" s="55" t="s">
        <v>125</v>
      </c>
      <c r="P66" s="55" t="s">
        <v>126</v>
      </c>
      <c r="Q66" s="55" t="s">
        <v>75</v>
      </c>
      <c r="R66" s="55" t="s">
        <v>76</v>
      </c>
    </row>
    <row r="67" spans="1:18" ht="60" customHeight="1">
      <c r="A67" s="55" t="s">
        <v>34</v>
      </c>
      <c r="B67" s="55" t="s">
        <v>261</v>
      </c>
      <c r="C67" s="55" t="s">
        <v>64</v>
      </c>
      <c r="D67" s="55" t="s">
        <v>130</v>
      </c>
      <c r="E67" s="49"/>
      <c r="F67" s="49"/>
      <c r="G67" s="49"/>
      <c r="H67" s="55" t="s">
        <v>216</v>
      </c>
      <c r="I67" s="55" t="s">
        <v>99</v>
      </c>
      <c r="J67" s="55" t="s">
        <v>68</v>
      </c>
      <c r="K67" s="55" t="s">
        <v>230</v>
      </c>
      <c r="L67" s="55" t="s">
        <v>123</v>
      </c>
      <c r="M67" s="55" t="s">
        <v>95</v>
      </c>
      <c r="N67" s="55" t="s">
        <v>135</v>
      </c>
      <c r="O67" s="55" t="s">
        <v>125</v>
      </c>
      <c r="P67" s="55" t="s">
        <v>126</v>
      </c>
      <c r="Q67" s="55" t="s">
        <v>75</v>
      </c>
      <c r="R67" s="55" t="s">
        <v>76</v>
      </c>
    </row>
    <row r="68" spans="1:18" ht="60" customHeight="1">
      <c r="A68" s="55" t="s">
        <v>34</v>
      </c>
      <c r="B68" s="55" t="s">
        <v>262</v>
      </c>
      <c r="C68" s="55" t="s">
        <v>64</v>
      </c>
      <c r="D68" s="55" t="s">
        <v>37</v>
      </c>
      <c r="E68" s="49"/>
      <c r="F68" s="49"/>
      <c r="G68" s="49"/>
      <c r="H68" s="55" t="s">
        <v>192</v>
      </c>
      <c r="I68" s="55" t="s">
        <v>99</v>
      </c>
      <c r="J68" s="55" t="s">
        <v>68</v>
      </c>
      <c r="K68" s="55" t="s">
        <v>230</v>
      </c>
      <c r="L68" s="55" t="s">
        <v>123</v>
      </c>
      <c r="M68" s="55" t="s">
        <v>95</v>
      </c>
      <c r="N68" s="55" t="s">
        <v>72</v>
      </c>
      <c r="O68" s="55" t="s">
        <v>151</v>
      </c>
      <c r="P68" s="55" t="s">
        <v>152</v>
      </c>
      <c r="Q68" s="55" t="s">
        <v>75</v>
      </c>
      <c r="R68" s="55" t="s">
        <v>76</v>
      </c>
    </row>
    <row r="69" spans="1:18" ht="60" customHeight="1">
      <c r="A69" s="55" t="s">
        <v>34</v>
      </c>
      <c r="B69" s="55" t="s">
        <v>263</v>
      </c>
      <c r="C69" s="55" t="s">
        <v>226</v>
      </c>
      <c r="D69" s="55" t="s">
        <v>97</v>
      </c>
      <c r="E69" s="49"/>
      <c r="F69" s="49"/>
      <c r="G69" s="49"/>
      <c r="H69" s="55" t="s">
        <v>177</v>
      </c>
      <c r="I69" s="55" t="s">
        <v>99</v>
      </c>
      <c r="J69" s="55" t="s">
        <v>229</v>
      </c>
      <c r="K69" s="55" t="s">
        <v>230</v>
      </c>
      <c r="L69" s="55" t="s">
        <v>123</v>
      </c>
      <c r="M69" s="55" t="s">
        <v>95</v>
      </c>
      <c r="N69" s="55" t="s">
        <v>72</v>
      </c>
      <c r="O69" s="55" t="s">
        <v>151</v>
      </c>
      <c r="P69" s="55" t="s">
        <v>152</v>
      </c>
      <c r="Q69" s="55" t="s">
        <v>75</v>
      </c>
      <c r="R69" s="55" t="s">
        <v>76</v>
      </c>
    </row>
    <row r="70" spans="1:18" ht="60" customHeight="1">
      <c r="A70" s="55" t="s">
        <v>34</v>
      </c>
      <c r="B70" s="55" t="s">
        <v>264</v>
      </c>
      <c r="C70" s="55" t="s">
        <v>226</v>
      </c>
      <c r="D70" s="55" t="s">
        <v>251</v>
      </c>
      <c r="E70" s="49"/>
      <c r="F70" s="49"/>
      <c r="G70" s="49"/>
      <c r="H70" s="55" t="s">
        <v>185</v>
      </c>
      <c r="I70" s="55" t="s">
        <v>99</v>
      </c>
      <c r="J70" s="55" t="s">
        <v>229</v>
      </c>
      <c r="K70" s="55" t="s">
        <v>230</v>
      </c>
      <c r="L70" s="55" t="s">
        <v>123</v>
      </c>
      <c r="M70" s="55" t="s">
        <v>95</v>
      </c>
      <c r="N70" s="55" t="s">
        <v>135</v>
      </c>
      <c r="O70" s="55" t="s">
        <v>125</v>
      </c>
      <c r="P70" s="55" t="s">
        <v>126</v>
      </c>
      <c r="Q70" s="55" t="s">
        <v>75</v>
      </c>
      <c r="R70" s="55" t="s">
        <v>76</v>
      </c>
    </row>
    <row r="71" spans="1:18" ht="60" customHeight="1">
      <c r="A71" s="55" t="s">
        <v>34</v>
      </c>
      <c r="B71" s="55" t="s">
        <v>265</v>
      </c>
      <c r="C71" s="55" t="s">
        <v>226</v>
      </c>
      <c r="D71" s="55" t="s">
        <v>251</v>
      </c>
      <c r="E71" s="49"/>
      <c r="F71" s="49"/>
      <c r="G71" s="49"/>
      <c r="H71" s="55" t="s">
        <v>183</v>
      </c>
      <c r="I71" s="55" t="s">
        <v>99</v>
      </c>
      <c r="J71" s="55" t="s">
        <v>229</v>
      </c>
      <c r="K71" s="55" t="s">
        <v>230</v>
      </c>
      <c r="L71" s="55" t="s">
        <v>123</v>
      </c>
      <c r="M71" s="55" t="s">
        <v>95</v>
      </c>
      <c r="N71" s="55" t="s">
        <v>135</v>
      </c>
      <c r="O71" s="55" t="s">
        <v>125</v>
      </c>
      <c r="P71" s="55" t="s">
        <v>126</v>
      </c>
      <c r="Q71" s="55" t="s">
        <v>75</v>
      </c>
      <c r="R71" s="55" t="s">
        <v>76</v>
      </c>
    </row>
    <row r="72" spans="1:18" ht="60" customHeight="1">
      <c r="A72" s="55" t="s">
        <v>34</v>
      </c>
      <c r="B72" s="55" t="s">
        <v>266</v>
      </c>
      <c r="C72" s="55" t="s">
        <v>64</v>
      </c>
      <c r="D72" s="55" t="s">
        <v>267</v>
      </c>
      <c r="E72" s="49"/>
      <c r="F72" s="49"/>
      <c r="G72" s="49"/>
      <c r="H72" s="55" t="s">
        <v>179</v>
      </c>
      <c r="I72" s="55" t="s">
        <v>99</v>
      </c>
      <c r="J72" s="55" t="s">
        <v>68</v>
      </c>
      <c r="K72" s="55" t="s">
        <v>230</v>
      </c>
      <c r="L72" s="55" t="s">
        <v>186</v>
      </c>
      <c r="M72" s="55" t="s">
        <v>95</v>
      </c>
      <c r="N72" s="55" t="s">
        <v>135</v>
      </c>
      <c r="O72" s="55" t="s">
        <v>125</v>
      </c>
      <c r="P72" s="55" t="s">
        <v>126</v>
      </c>
      <c r="Q72" s="55" t="s">
        <v>75</v>
      </c>
      <c r="R72" s="55" t="s">
        <v>76</v>
      </c>
    </row>
    <row r="73" spans="1:18" ht="60" customHeight="1">
      <c r="A73" s="55" t="s">
        <v>34</v>
      </c>
      <c r="B73" s="55" t="s">
        <v>268</v>
      </c>
      <c r="C73" s="55" t="s">
        <v>226</v>
      </c>
      <c r="D73" s="55" t="s">
        <v>251</v>
      </c>
      <c r="E73" s="49"/>
      <c r="F73" s="49"/>
      <c r="G73" s="49"/>
      <c r="H73" s="55" t="s">
        <v>185</v>
      </c>
      <c r="I73" s="55" t="s">
        <v>99</v>
      </c>
      <c r="J73" s="55" t="s">
        <v>229</v>
      </c>
      <c r="K73" s="55" t="s">
        <v>230</v>
      </c>
      <c r="L73" s="55" t="s">
        <v>123</v>
      </c>
      <c r="M73" s="55" t="s">
        <v>95</v>
      </c>
      <c r="N73" s="55" t="s">
        <v>135</v>
      </c>
      <c r="O73" s="55" t="s">
        <v>125</v>
      </c>
      <c r="P73" s="55" t="s">
        <v>126</v>
      </c>
      <c r="Q73" s="55" t="s">
        <v>75</v>
      </c>
      <c r="R73" s="55" t="s">
        <v>76</v>
      </c>
    </row>
    <row r="74" spans="1:18" ht="60" customHeight="1">
      <c r="A74" s="55" t="s">
        <v>34</v>
      </c>
      <c r="B74" s="55" t="s">
        <v>269</v>
      </c>
      <c r="C74" s="55" t="s">
        <v>226</v>
      </c>
      <c r="D74" s="55" t="s">
        <v>251</v>
      </c>
      <c r="E74" s="49"/>
      <c r="F74" s="49"/>
      <c r="G74" s="49"/>
      <c r="H74" s="55" t="s">
        <v>177</v>
      </c>
      <c r="I74" s="55" t="s">
        <v>99</v>
      </c>
      <c r="J74" s="55" t="s">
        <v>229</v>
      </c>
      <c r="K74" s="55" t="s">
        <v>230</v>
      </c>
      <c r="L74" s="55" t="s">
        <v>123</v>
      </c>
      <c r="M74" s="55" t="s">
        <v>95</v>
      </c>
      <c r="N74" s="55" t="s">
        <v>135</v>
      </c>
      <c r="O74" s="55" t="s">
        <v>125</v>
      </c>
      <c r="P74" s="55" t="s">
        <v>126</v>
      </c>
      <c r="Q74" s="55" t="s">
        <v>75</v>
      </c>
      <c r="R74" s="55" t="s">
        <v>76</v>
      </c>
    </row>
    <row r="75" spans="1:18" ht="60" customHeight="1">
      <c r="A75" s="55" t="s">
        <v>34</v>
      </c>
      <c r="B75" s="55" t="s">
        <v>270</v>
      </c>
      <c r="C75" s="55" t="s">
        <v>226</v>
      </c>
      <c r="D75" s="55" t="s">
        <v>251</v>
      </c>
      <c r="E75" s="49"/>
      <c r="F75" s="49"/>
      <c r="G75" s="49"/>
      <c r="H75" s="55" t="s">
        <v>177</v>
      </c>
      <c r="I75" s="55" t="s">
        <v>99</v>
      </c>
      <c r="J75" s="55" t="s">
        <v>229</v>
      </c>
      <c r="K75" s="55" t="s">
        <v>230</v>
      </c>
      <c r="L75" s="55" t="s">
        <v>123</v>
      </c>
      <c r="M75" s="55" t="s">
        <v>95</v>
      </c>
      <c r="N75" s="55" t="s">
        <v>135</v>
      </c>
      <c r="O75" s="55" t="s">
        <v>125</v>
      </c>
      <c r="P75" s="55" t="s">
        <v>126</v>
      </c>
      <c r="Q75" s="55" t="s">
        <v>75</v>
      </c>
      <c r="R75" s="55" t="s">
        <v>76</v>
      </c>
    </row>
    <row r="76" spans="1:18" ht="60" customHeight="1">
      <c r="A76" s="55" t="s">
        <v>34</v>
      </c>
      <c r="B76" s="55" t="s">
        <v>271</v>
      </c>
      <c r="C76" s="55" t="s">
        <v>226</v>
      </c>
      <c r="D76" s="55" t="s">
        <v>251</v>
      </c>
      <c r="E76" s="49"/>
      <c r="F76" s="49"/>
      <c r="G76" s="49"/>
      <c r="H76" s="55" t="s">
        <v>183</v>
      </c>
      <c r="I76" s="55" t="s">
        <v>99</v>
      </c>
      <c r="J76" s="55" t="s">
        <v>229</v>
      </c>
      <c r="K76" s="55" t="s">
        <v>230</v>
      </c>
      <c r="L76" s="55" t="s">
        <v>123</v>
      </c>
      <c r="M76" s="55" t="s">
        <v>95</v>
      </c>
      <c r="N76" s="55" t="s">
        <v>135</v>
      </c>
      <c r="O76" s="55" t="s">
        <v>125</v>
      </c>
      <c r="P76" s="55" t="s">
        <v>126</v>
      </c>
      <c r="Q76" s="55" t="s">
        <v>75</v>
      </c>
      <c r="R76" s="55" t="s">
        <v>76</v>
      </c>
    </row>
    <row r="77" spans="1:18" ht="60" customHeight="1">
      <c r="A77" s="55" t="s">
        <v>34</v>
      </c>
      <c r="B77" s="55" t="s">
        <v>272</v>
      </c>
      <c r="C77" s="55" t="s">
        <v>226</v>
      </c>
      <c r="D77" s="55" t="s">
        <v>273</v>
      </c>
      <c r="E77" s="49"/>
      <c r="F77" s="49"/>
      <c r="G77" s="49"/>
      <c r="H77" s="55" t="s">
        <v>274</v>
      </c>
      <c r="I77" s="55" t="s">
        <v>99</v>
      </c>
      <c r="J77" s="55" t="s">
        <v>229</v>
      </c>
      <c r="K77" s="55" t="s">
        <v>230</v>
      </c>
      <c r="L77" s="55" t="s">
        <v>123</v>
      </c>
      <c r="M77" s="55" t="s">
        <v>95</v>
      </c>
      <c r="N77" s="55" t="s">
        <v>135</v>
      </c>
      <c r="O77" s="55" t="s">
        <v>125</v>
      </c>
      <c r="P77" s="55" t="s">
        <v>126</v>
      </c>
      <c r="Q77" s="55" t="s">
        <v>75</v>
      </c>
      <c r="R77" s="55" t="s">
        <v>76</v>
      </c>
    </row>
    <row r="78" spans="1:18" ht="60" customHeight="1">
      <c r="A78" s="55" t="s">
        <v>34</v>
      </c>
      <c r="B78" s="55" t="s">
        <v>275</v>
      </c>
      <c r="C78" s="55" t="s">
        <v>226</v>
      </c>
      <c r="D78" s="55" t="s">
        <v>267</v>
      </c>
      <c r="E78" s="49"/>
      <c r="F78" s="49"/>
      <c r="G78" s="49"/>
      <c r="H78" s="55" t="s">
        <v>177</v>
      </c>
      <c r="I78" s="55" t="s">
        <v>99</v>
      </c>
      <c r="J78" s="55" t="s">
        <v>276</v>
      </c>
      <c r="K78" s="55" t="s">
        <v>230</v>
      </c>
      <c r="L78" s="55" t="s">
        <v>123</v>
      </c>
      <c r="M78" s="55" t="s">
        <v>95</v>
      </c>
      <c r="N78" s="55" t="s">
        <v>135</v>
      </c>
      <c r="O78" s="55" t="s">
        <v>125</v>
      </c>
      <c r="P78" s="55" t="s">
        <v>126</v>
      </c>
      <c r="Q78" s="55" t="s">
        <v>75</v>
      </c>
      <c r="R78" s="55" t="s">
        <v>76</v>
      </c>
    </row>
    <row r="79" spans="1:18" ht="60" customHeight="1">
      <c r="A79" s="55" t="s">
        <v>34</v>
      </c>
      <c r="B79" s="55" t="s">
        <v>277</v>
      </c>
      <c r="C79" s="55" t="s">
        <v>226</v>
      </c>
      <c r="D79" s="55" t="s">
        <v>253</v>
      </c>
      <c r="E79" s="49"/>
      <c r="F79" s="49"/>
      <c r="G79" s="49"/>
      <c r="H79" s="55" t="s">
        <v>177</v>
      </c>
      <c r="I79" s="55" t="s">
        <v>99</v>
      </c>
      <c r="J79" s="55" t="s">
        <v>229</v>
      </c>
      <c r="K79" s="55" t="s">
        <v>230</v>
      </c>
      <c r="L79" s="55" t="s">
        <v>123</v>
      </c>
      <c r="M79" s="55" t="s">
        <v>95</v>
      </c>
      <c r="N79" s="55" t="s">
        <v>72</v>
      </c>
      <c r="O79" s="55" t="s">
        <v>151</v>
      </c>
      <c r="P79" s="55" t="s">
        <v>152</v>
      </c>
      <c r="Q79" s="55" t="s">
        <v>75</v>
      </c>
      <c r="R79" s="55" t="s">
        <v>76</v>
      </c>
    </row>
    <row r="80" spans="1:18" ht="60" customHeight="1">
      <c r="A80" s="55" t="s">
        <v>34</v>
      </c>
      <c r="B80" s="55" t="s">
        <v>278</v>
      </c>
      <c r="C80" s="55" t="s">
        <v>226</v>
      </c>
      <c r="D80" s="55" t="s">
        <v>279</v>
      </c>
      <c r="E80" s="49"/>
      <c r="F80" s="49"/>
      <c r="G80" s="49"/>
      <c r="H80" s="55" t="s">
        <v>212</v>
      </c>
      <c r="I80" s="55" t="s">
        <v>99</v>
      </c>
      <c r="J80" s="55" t="s">
        <v>229</v>
      </c>
      <c r="K80" s="55" t="s">
        <v>230</v>
      </c>
      <c r="L80" s="55" t="s">
        <v>123</v>
      </c>
      <c r="M80" s="55" t="s">
        <v>95</v>
      </c>
      <c r="N80" s="55" t="s">
        <v>135</v>
      </c>
      <c r="O80" s="55" t="s">
        <v>125</v>
      </c>
      <c r="P80" s="55" t="s">
        <v>126</v>
      </c>
      <c r="Q80" s="55" t="s">
        <v>75</v>
      </c>
      <c r="R80" s="55" t="s">
        <v>76</v>
      </c>
    </row>
    <row r="81" spans="1:18" ht="60" customHeight="1">
      <c r="A81" s="55" t="s">
        <v>34</v>
      </c>
      <c r="B81" s="55" t="s">
        <v>280</v>
      </c>
      <c r="C81" s="55" t="s">
        <v>226</v>
      </c>
      <c r="D81" s="55" t="s">
        <v>251</v>
      </c>
      <c r="E81" s="49"/>
      <c r="F81" s="49"/>
      <c r="G81" s="49"/>
      <c r="H81" s="55" t="s">
        <v>185</v>
      </c>
      <c r="I81" s="55" t="s">
        <v>99</v>
      </c>
      <c r="J81" s="55" t="s">
        <v>229</v>
      </c>
      <c r="K81" s="55" t="s">
        <v>230</v>
      </c>
      <c r="L81" s="55" t="s">
        <v>123</v>
      </c>
      <c r="M81" s="55" t="s">
        <v>95</v>
      </c>
      <c r="N81" s="55" t="s">
        <v>135</v>
      </c>
      <c r="O81" s="55" t="s">
        <v>125</v>
      </c>
      <c r="P81" s="55" t="s">
        <v>126</v>
      </c>
      <c r="Q81" s="55" t="s">
        <v>75</v>
      </c>
      <c r="R81" s="55" t="s">
        <v>76</v>
      </c>
    </row>
    <row r="82" spans="1:18" ht="60" customHeight="1">
      <c r="A82" s="55" t="s">
        <v>34</v>
      </c>
      <c r="B82" s="55" t="s">
        <v>281</v>
      </c>
      <c r="C82" s="55" t="s">
        <v>64</v>
      </c>
      <c r="D82" s="55" t="s">
        <v>282</v>
      </c>
      <c r="E82" s="49"/>
      <c r="F82" s="49"/>
      <c r="G82" s="49"/>
      <c r="H82" s="55" t="s">
        <v>197</v>
      </c>
      <c r="I82" s="55" t="s">
        <v>99</v>
      </c>
      <c r="J82" s="55" t="s">
        <v>68</v>
      </c>
      <c r="K82" s="55" t="s">
        <v>230</v>
      </c>
      <c r="L82" s="55" t="s">
        <v>123</v>
      </c>
      <c r="M82" s="55" t="s">
        <v>95</v>
      </c>
      <c r="N82" s="55" t="s">
        <v>135</v>
      </c>
      <c r="O82" s="55" t="s">
        <v>125</v>
      </c>
      <c r="P82" s="55" t="s">
        <v>126</v>
      </c>
      <c r="Q82" s="55" t="s">
        <v>75</v>
      </c>
      <c r="R82" s="55" t="s">
        <v>76</v>
      </c>
    </row>
    <row r="83" spans="1:18" ht="60" customHeight="1">
      <c r="A83" s="55" t="s">
        <v>34</v>
      </c>
      <c r="B83" s="55" t="s">
        <v>283</v>
      </c>
      <c r="C83" s="55" t="s">
        <v>226</v>
      </c>
      <c r="D83" s="55" t="s">
        <v>255</v>
      </c>
      <c r="E83" s="49"/>
      <c r="F83" s="49"/>
      <c r="G83" s="49"/>
      <c r="H83" s="55" t="s">
        <v>185</v>
      </c>
      <c r="I83" s="55" t="s">
        <v>99</v>
      </c>
      <c r="J83" s="55" t="s">
        <v>229</v>
      </c>
      <c r="K83" s="55" t="s">
        <v>230</v>
      </c>
      <c r="L83" s="55" t="s">
        <v>123</v>
      </c>
      <c r="M83" s="55" t="s">
        <v>95</v>
      </c>
      <c r="N83" s="55" t="s">
        <v>135</v>
      </c>
      <c r="O83" s="55" t="s">
        <v>125</v>
      </c>
      <c r="P83" s="55" t="s">
        <v>126</v>
      </c>
      <c r="Q83" s="55" t="s">
        <v>75</v>
      </c>
      <c r="R83" s="55" t="s">
        <v>76</v>
      </c>
    </row>
    <row r="84" spans="1:18" ht="60" customHeight="1">
      <c r="A84" s="55" t="s">
        <v>34</v>
      </c>
      <c r="B84" s="55" t="s">
        <v>284</v>
      </c>
      <c r="C84" s="55" t="s">
        <v>64</v>
      </c>
      <c r="D84" s="55" t="s">
        <v>227</v>
      </c>
      <c r="E84" s="49"/>
      <c r="F84" s="49"/>
      <c r="G84" s="49"/>
      <c r="H84" s="55" t="s">
        <v>202</v>
      </c>
      <c r="I84" s="55" t="s">
        <v>99</v>
      </c>
      <c r="J84" s="55" t="s">
        <v>68</v>
      </c>
      <c r="K84" s="55" t="s">
        <v>230</v>
      </c>
      <c r="L84" s="55" t="s">
        <v>186</v>
      </c>
      <c r="M84" s="55" t="s">
        <v>95</v>
      </c>
      <c r="N84" s="55" t="s">
        <v>135</v>
      </c>
      <c r="O84" s="55" t="s">
        <v>125</v>
      </c>
      <c r="P84" s="55" t="s">
        <v>126</v>
      </c>
      <c r="Q84" s="55" t="s">
        <v>75</v>
      </c>
      <c r="R84" s="55" t="s">
        <v>76</v>
      </c>
    </row>
    <row r="85" spans="1:18" ht="60" customHeight="1">
      <c r="A85" s="55" t="s">
        <v>34</v>
      </c>
      <c r="B85" s="55" t="s">
        <v>285</v>
      </c>
      <c r="C85" s="55" t="s">
        <v>226</v>
      </c>
      <c r="D85" s="55" t="s">
        <v>251</v>
      </c>
      <c r="E85" s="49"/>
      <c r="F85" s="49"/>
      <c r="G85" s="49"/>
      <c r="H85" s="55" t="s">
        <v>185</v>
      </c>
      <c r="I85" s="55" t="s">
        <v>99</v>
      </c>
      <c r="J85" s="55" t="s">
        <v>229</v>
      </c>
      <c r="K85" s="55" t="s">
        <v>230</v>
      </c>
      <c r="L85" s="55" t="s">
        <v>123</v>
      </c>
      <c r="M85" s="55" t="s">
        <v>95</v>
      </c>
      <c r="N85" s="55" t="s">
        <v>135</v>
      </c>
      <c r="O85" s="55" t="s">
        <v>125</v>
      </c>
      <c r="P85" s="55" t="s">
        <v>126</v>
      </c>
      <c r="Q85" s="55" t="s">
        <v>75</v>
      </c>
      <c r="R85" s="55" t="s">
        <v>76</v>
      </c>
    </row>
    <row r="86" spans="1:18" ht="60" customHeight="1">
      <c r="A86" s="55" t="s">
        <v>34</v>
      </c>
      <c r="B86" s="55" t="s">
        <v>286</v>
      </c>
      <c r="C86" s="55" t="s">
        <v>226</v>
      </c>
      <c r="D86" s="55" t="s">
        <v>253</v>
      </c>
      <c r="E86" s="49"/>
      <c r="F86" s="49"/>
      <c r="G86" s="49"/>
      <c r="H86" s="55" t="s">
        <v>177</v>
      </c>
      <c r="I86" s="55" t="s">
        <v>99</v>
      </c>
      <c r="J86" s="55" t="s">
        <v>229</v>
      </c>
      <c r="K86" s="55" t="s">
        <v>230</v>
      </c>
      <c r="L86" s="55" t="s">
        <v>123</v>
      </c>
      <c r="M86" s="55" t="s">
        <v>95</v>
      </c>
      <c r="N86" s="55" t="s">
        <v>72</v>
      </c>
      <c r="O86" s="55" t="s">
        <v>151</v>
      </c>
      <c r="P86" s="55" t="s">
        <v>152</v>
      </c>
      <c r="Q86" s="55" t="s">
        <v>75</v>
      </c>
      <c r="R86" s="55" t="s">
        <v>76</v>
      </c>
    </row>
    <row r="87" spans="1:18" ht="60" customHeight="1">
      <c r="A87" s="55" t="s">
        <v>34</v>
      </c>
      <c r="B87" s="55" t="s">
        <v>287</v>
      </c>
      <c r="C87" s="55" t="s">
        <v>226</v>
      </c>
      <c r="D87" s="55" t="s">
        <v>253</v>
      </c>
      <c r="E87" s="49"/>
      <c r="F87" s="49"/>
      <c r="G87" s="49"/>
      <c r="H87" s="55" t="s">
        <v>177</v>
      </c>
      <c r="I87" s="55" t="s">
        <v>99</v>
      </c>
      <c r="J87" s="55" t="s">
        <v>229</v>
      </c>
      <c r="K87" s="55" t="s">
        <v>230</v>
      </c>
      <c r="L87" s="55" t="s">
        <v>123</v>
      </c>
      <c r="M87" s="55" t="s">
        <v>95</v>
      </c>
      <c r="N87" s="55" t="s">
        <v>72</v>
      </c>
      <c r="O87" s="55" t="s">
        <v>151</v>
      </c>
      <c r="P87" s="55" t="s">
        <v>152</v>
      </c>
      <c r="Q87" s="55" t="s">
        <v>75</v>
      </c>
      <c r="R87" s="55" t="s">
        <v>76</v>
      </c>
    </row>
    <row r="88" spans="1:18" ht="60" customHeight="1">
      <c r="A88" s="55" t="s">
        <v>34</v>
      </c>
      <c r="B88" s="55" t="s">
        <v>288</v>
      </c>
      <c r="C88" s="55" t="s">
        <v>64</v>
      </c>
      <c r="D88" s="55" t="s">
        <v>199</v>
      </c>
      <c r="E88" s="49"/>
      <c r="F88" s="49"/>
      <c r="G88" s="49"/>
      <c r="H88" s="55" t="s">
        <v>289</v>
      </c>
      <c r="I88" s="55" t="s">
        <v>99</v>
      </c>
      <c r="J88" s="55" t="s">
        <v>290</v>
      </c>
      <c r="K88" s="55" t="s">
        <v>230</v>
      </c>
      <c r="L88" s="55" t="s">
        <v>186</v>
      </c>
      <c r="M88" s="55" t="s">
        <v>95</v>
      </c>
      <c r="N88" s="55" t="s">
        <v>72</v>
      </c>
      <c r="O88" s="55" t="s">
        <v>151</v>
      </c>
      <c r="P88" s="55" t="s">
        <v>152</v>
      </c>
      <c r="Q88" s="55" t="s">
        <v>75</v>
      </c>
      <c r="R88" s="55" t="s">
        <v>76</v>
      </c>
    </row>
    <row r="89" spans="1:18" ht="60" customHeight="1">
      <c r="A89" s="55" t="s">
        <v>34</v>
      </c>
      <c r="B89" s="55" t="s">
        <v>291</v>
      </c>
      <c r="C89" s="55" t="s">
        <v>64</v>
      </c>
      <c r="D89" s="55" t="s">
        <v>112</v>
      </c>
      <c r="E89" s="49"/>
      <c r="F89" s="49"/>
      <c r="G89" s="49"/>
      <c r="H89" s="55" t="s">
        <v>292</v>
      </c>
      <c r="I89" s="55" t="s">
        <v>99</v>
      </c>
      <c r="J89" s="55" t="s">
        <v>68</v>
      </c>
      <c r="K89" s="55" t="s">
        <v>230</v>
      </c>
      <c r="L89" s="55" t="s">
        <v>123</v>
      </c>
      <c r="M89" s="55" t="s">
        <v>95</v>
      </c>
      <c r="N89" s="55" t="s">
        <v>135</v>
      </c>
      <c r="O89" s="55" t="s">
        <v>125</v>
      </c>
      <c r="P89" s="55" t="s">
        <v>126</v>
      </c>
      <c r="Q89" s="55" t="s">
        <v>75</v>
      </c>
      <c r="R89" s="55" t="s">
        <v>76</v>
      </c>
    </row>
  </sheetData>
  <mergeCells count="2">
    <mergeCell ref="A2:M2"/>
    <mergeCell ref="A1:M1"/>
  </mergeCells>
  <pageMargins left="0.75" right="0.75" top="1" bottom="1" header="0.5" footer="0.5"/>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L119"/>
  <sheetViews>
    <sheetView showGridLines="0" workbookViewId="0">
      <pane xSplit="14" ySplit="4" topLeftCell="O5" activePane="bottomRight" state="frozen"/>
      <selection pane="topRight"/>
      <selection pane="bottomLeft"/>
      <selection pane="bottomRight"/>
    </sheetView>
  </sheetViews>
  <sheetFormatPr baseColWidth="10" defaultColWidth="8.83203125" defaultRowHeight="14"/>
  <cols>
    <col min="1" max="1" width="7" customWidth="1"/>
    <col min="2" max="2" width="16" customWidth="1"/>
    <col min="3" max="3" width="30" customWidth="1"/>
    <col min="4" max="4" width="20" customWidth="1"/>
    <col min="5" max="5" width="12" customWidth="1"/>
    <col min="6" max="6" width="11" customWidth="1"/>
    <col min="7" max="7" width="10" customWidth="1"/>
    <col min="8" max="9" width="12" customWidth="1"/>
    <col min="10" max="11" width="10" customWidth="1"/>
    <col min="12" max="12" width="14" customWidth="1"/>
    <col min="13" max="13" width="11" customWidth="1"/>
    <col min="14" max="14" width="12" customWidth="1"/>
    <col min="15" max="15" width="38" customWidth="1"/>
    <col min="16" max="16" width="30" customWidth="1"/>
    <col min="17" max="17" width="22" customWidth="1"/>
    <col min="18" max="18" width="30" customWidth="1"/>
    <col min="19" max="19" width="44" customWidth="1"/>
    <col min="20" max="21" width="42" customWidth="1"/>
    <col min="22" max="22" width="32" customWidth="1"/>
    <col min="23" max="23" width="14" customWidth="1"/>
    <col min="24" max="24" width="10" customWidth="1"/>
    <col min="25" max="25" width="18" customWidth="1"/>
    <col min="26" max="27" width="16" customWidth="1"/>
    <col min="28" max="28" width="14" customWidth="1"/>
    <col min="29" max="29" width="18" customWidth="1"/>
    <col min="30" max="30" width="22" customWidth="1"/>
    <col min="31" max="31" width="18" customWidth="1"/>
    <col min="32" max="32" width="22" customWidth="1"/>
    <col min="33" max="33" width="34" customWidth="1"/>
    <col min="34" max="34" width="30" customWidth="1"/>
    <col min="35" max="35" width="46" customWidth="1"/>
    <col min="36" max="36" width="22" customWidth="1"/>
    <col min="37" max="37" width="28" customWidth="1"/>
    <col min="38" max="38" width="62" customWidth="1"/>
  </cols>
  <sheetData>
    <row r="1" spans="1:38" ht="32" customHeight="1">
      <c r="A1" s="88" t="s">
        <v>293</v>
      </c>
      <c r="B1" s="77"/>
      <c r="C1" s="77"/>
      <c r="D1" s="77"/>
      <c r="E1" s="77"/>
      <c r="F1" s="77"/>
      <c r="G1" s="77"/>
      <c r="H1" s="77"/>
      <c r="I1" s="77"/>
      <c r="J1" s="77"/>
      <c r="K1" s="77"/>
      <c r="L1" s="77"/>
      <c r="M1" s="77"/>
      <c r="N1" s="77"/>
      <c r="O1" s="77"/>
      <c r="P1" s="77"/>
      <c r="Q1" s="77"/>
      <c r="R1" s="77"/>
      <c r="S1" s="77"/>
      <c r="T1" s="77"/>
      <c r="U1" s="77"/>
      <c r="V1" s="77"/>
    </row>
    <row r="2" spans="1:38" ht="30" customHeight="1">
      <c r="A2" s="87" t="s">
        <v>294</v>
      </c>
      <c r="B2" s="77"/>
      <c r="C2" s="77"/>
      <c r="D2" s="77"/>
      <c r="E2" s="77"/>
      <c r="F2" s="77"/>
      <c r="G2" s="77"/>
      <c r="H2" s="77"/>
      <c r="I2" s="77"/>
      <c r="J2" s="77"/>
      <c r="K2" s="77"/>
      <c r="L2" s="77"/>
      <c r="M2" s="77"/>
      <c r="N2" s="77"/>
      <c r="O2" s="77"/>
      <c r="P2" s="77"/>
      <c r="Q2" s="77"/>
      <c r="R2" s="77"/>
      <c r="S2" s="77"/>
      <c r="T2" s="77"/>
      <c r="U2" s="77"/>
      <c r="V2" s="77"/>
    </row>
    <row r="3" spans="1:38">
      <c r="A3" s="40"/>
      <c r="B3" s="40"/>
      <c r="C3" s="40"/>
      <c r="D3" s="40"/>
      <c r="E3" s="40"/>
      <c r="F3" s="40"/>
      <c r="G3" s="40"/>
      <c r="H3" s="40"/>
      <c r="I3" s="40"/>
      <c r="J3" s="40"/>
      <c r="K3" s="40"/>
      <c r="L3" s="40"/>
      <c r="M3" s="40"/>
      <c r="N3" s="40"/>
      <c r="O3" s="40"/>
      <c r="P3" s="40"/>
      <c r="Q3" s="40"/>
      <c r="R3" s="40"/>
      <c r="S3" s="40"/>
      <c r="T3" s="40"/>
      <c r="U3" s="40"/>
      <c r="V3" s="40"/>
    </row>
    <row r="4" spans="1:38" ht="42" customHeight="1">
      <c r="A4" s="56" t="s">
        <v>295</v>
      </c>
      <c r="B4" s="57" t="s">
        <v>296</v>
      </c>
      <c r="C4" s="57" t="s">
        <v>46</v>
      </c>
      <c r="D4" s="57" t="s">
        <v>297</v>
      </c>
      <c r="E4" s="57" t="s">
        <v>298</v>
      </c>
      <c r="F4" s="57" t="s">
        <v>299</v>
      </c>
      <c r="G4" s="57" t="s">
        <v>300</v>
      </c>
      <c r="H4" s="57" t="s">
        <v>301</v>
      </c>
      <c r="I4" s="57" t="s">
        <v>302</v>
      </c>
      <c r="J4" s="57" t="s">
        <v>303</v>
      </c>
      <c r="K4" s="57" t="s">
        <v>304</v>
      </c>
      <c r="L4" s="57" t="s">
        <v>305</v>
      </c>
      <c r="M4" s="57" t="s">
        <v>306</v>
      </c>
      <c r="N4" s="57" t="s">
        <v>307</v>
      </c>
      <c r="O4" s="57" t="s">
        <v>308</v>
      </c>
      <c r="P4" s="57" t="s">
        <v>309</v>
      </c>
      <c r="Q4" s="57" t="s">
        <v>310</v>
      </c>
      <c r="R4" s="57" t="s">
        <v>311</v>
      </c>
      <c r="S4" s="57" t="s">
        <v>312</v>
      </c>
      <c r="T4" s="57" t="s">
        <v>313</v>
      </c>
      <c r="U4" s="57" t="s">
        <v>314</v>
      </c>
      <c r="V4" s="58" t="s">
        <v>315</v>
      </c>
      <c r="W4" s="58" t="s">
        <v>316</v>
      </c>
      <c r="X4" s="58" t="s">
        <v>317</v>
      </c>
      <c r="Y4" s="58" t="s">
        <v>48</v>
      </c>
      <c r="Z4" s="58" t="s">
        <v>318</v>
      </c>
      <c r="AA4" s="58" t="s">
        <v>319</v>
      </c>
      <c r="AB4" s="58" t="s">
        <v>320</v>
      </c>
      <c r="AC4" s="58" t="s">
        <v>321</v>
      </c>
      <c r="AD4" s="58" t="s">
        <v>322</v>
      </c>
      <c r="AE4" s="58" t="s">
        <v>323</v>
      </c>
      <c r="AF4" s="58" t="s">
        <v>324</v>
      </c>
      <c r="AG4" s="58" t="s">
        <v>325</v>
      </c>
      <c r="AH4" s="58" t="s">
        <v>58</v>
      </c>
      <c r="AI4" s="58" t="s">
        <v>59</v>
      </c>
      <c r="AJ4" s="58" t="s">
        <v>60</v>
      </c>
      <c r="AK4" s="58" t="s">
        <v>61</v>
      </c>
      <c r="AL4" s="58" t="s">
        <v>62</v>
      </c>
    </row>
    <row r="5" spans="1:38" ht="55" customHeight="1">
      <c r="A5" s="59">
        <v>1</v>
      </c>
      <c r="B5" s="60" t="s">
        <v>326</v>
      </c>
      <c r="C5" s="60" t="s">
        <v>327</v>
      </c>
      <c r="D5" s="60" t="s">
        <v>328</v>
      </c>
      <c r="E5" s="60" t="s">
        <v>329</v>
      </c>
      <c r="F5" s="61">
        <v>537</v>
      </c>
      <c r="G5" s="61">
        <f>(H5/5*'Scoring Model'!$B$5+I5/5*'Scoring Model'!$B$6+J5/5*'Scoring Model'!$B$7+K5/5*'Scoring Model'!$B$8+L5/5*'Scoring Model'!$B$9+M5/5*'Scoring Model'!$B$10+N5/5*'Scoring Model'!$B$11)*100</f>
        <v>83.000000000000014</v>
      </c>
      <c r="H5" s="62">
        <v>4</v>
      </c>
      <c r="I5" s="62">
        <v>5</v>
      </c>
      <c r="J5" s="62">
        <v>4</v>
      </c>
      <c r="K5" s="62">
        <v>4</v>
      </c>
      <c r="L5" s="62">
        <v>3</v>
      </c>
      <c r="M5" s="62">
        <v>4</v>
      </c>
      <c r="N5" s="62">
        <v>5</v>
      </c>
      <c r="O5" s="60" t="s">
        <v>330</v>
      </c>
      <c r="P5" s="60" t="s">
        <v>331</v>
      </c>
      <c r="Q5" s="60" t="s">
        <v>332</v>
      </c>
      <c r="R5" s="60" t="s">
        <v>333</v>
      </c>
      <c r="S5" s="60" t="s">
        <v>334</v>
      </c>
      <c r="T5" s="60" t="s">
        <v>335</v>
      </c>
      <c r="U5" s="60" t="s">
        <v>336</v>
      </c>
      <c r="V5" s="63" t="s">
        <v>337</v>
      </c>
      <c r="W5" s="40"/>
      <c r="X5" s="40"/>
      <c r="Y5" s="40"/>
      <c r="Z5" s="40"/>
      <c r="AA5" s="40"/>
      <c r="AB5" s="40"/>
      <c r="AC5" s="40"/>
      <c r="AD5" s="40"/>
      <c r="AE5" s="40"/>
      <c r="AF5" s="40"/>
      <c r="AG5" s="40"/>
    </row>
    <row r="6" spans="1:38" ht="55" customHeight="1">
      <c r="A6" s="64">
        <v>2</v>
      </c>
      <c r="B6" s="65" t="s">
        <v>326</v>
      </c>
      <c r="C6" s="65" t="s">
        <v>338</v>
      </c>
      <c r="D6" s="65" t="s">
        <v>339</v>
      </c>
      <c r="E6" s="65" t="s">
        <v>340</v>
      </c>
      <c r="F6" s="66">
        <v>1500</v>
      </c>
      <c r="G6" s="66">
        <f>(H6/5*'Scoring Model'!$B$5+I6/5*'Scoring Model'!$B$6+J6/5*'Scoring Model'!$B$7+K6/5*'Scoring Model'!$B$8+L6/5*'Scoring Model'!$B$9+M6/5*'Scoring Model'!$B$10+N6/5*'Scoring Model'!$B$11)*100</f>
        <v>82</v>
      </c>
      <c r="H6" s="67">
        <v>5</v>
      </c>
      <c r="I6" s="67">
        <v>5</v>
      </c>
      <c r="J6" s="67">
        <v>4</v>
      </c>
      <c r="K6" s="67">
        <v>5</v>
      </c>
      <c r="L6" s="67">
        <v>2</v>
      </c>
      <c r="M6" s="67">
        <v>2</v>
      </c>
      <c r="N6" s="67">
        <v>5</v>
      </c>
      <c r="O6" s="65" t="s">
        <v>341</v>
      </c>
      <c r="P6" s="65" t="s">
        <v>342</v>
      </c>
      <c r="Q6" s="65" t="s">
        <v>343</v>
      </c>
      <c r="R6" s="65" t="s">
        <v>344</v>
      </c>
      <c r="S6" s="65" t="s">
        <v>345</v>
      </c>
      <c r="T6" s="65" t="s">
        <v>346</v>
      </c>
      <c r="U6" s="65" t="s">
        <v>347</v>
      </c>
      <c r="V6" s="68" t="s">
        <v>348</v>
      </c>
      <c r="W6" s="40"/>
      <c r="X6" s="40"/>
      <c r="Y6" s="40"/>
      <c r="Z6" s="40"/>
      <c r="AA6" s="40"/>
      <c r="AB6" s="40"/>
      <c r="AC6" s="40"/>
      <c r="AD6" s="40"/>
      <c r="AE6" s="40"/>
      <c r="AF6" s="40"/>
      <c r="AG6" s="40"/>
    </row>
    <row r="7" spans="1:38" ht="55" customHeight="1">
      <c r="A7" s="64">
        <v>3</v>
      </c>
      <c r="B7" s="65" t="s">
        <v>326</v>
      </c>
      <c r="C7" s="65" t="s">
        <v>349</v>
      </c>
      <c r="D7" s="65" t="s">
        <v>350</v>
      </c>
      <c r="E7" s="65" t="s">
        <v>329</v>
      </c>
      <c r="F7" s="66">
        <v>2600</v>
      </c>
      <c r="G7" s="66">
        <f>(H7/5*'Scoring Model'!$B$5+I7/5*'Scoring Model'!$B$6+J7/5*'Scoring Model'!$B$7+K7/5*'Scoring Model'!$B$8+L7/5*'Scoring Model'!$B$9+M7/5*'Scoring Model'!$B$10+N7/5*'Scoring Model'!$B$11)*100</f>
        <v>81</v>
      </c>
      <c r="H7" s="67">
        <v>5</v>
      </c>
      <c r="I7" s="67">
        <v>5</v>
      </c>
      <c r="J7" s="67">
        <v>3</v>
      </c>
      <c r="K7" s="67">
        <v>2</v>
      </c>
      <c r="L7" s="67">
        <v>5</v>
      </c>
      <c r="M7" s="67">
        <v>4</v>
      </c>
      <c r="N7" s="67">
        <v>4</v>
      </c>
      <c r="O7" s="65" t="s">
        <v>351</v>
      </c>
      <c r="P7" s="65" t="s">
        <v>352</v>
      </c>
      <c r="Q7" s="65" t="s">
        <v>353</v>
      </c>
      <c r="R7" s="65" t="s">
        <v>354</v>
      </c>
      <c r="S7" s="65" t="s">
        <v>355</v>
      </c>
      <c r="T7" s="65" t="s">
        <v>356</v>
      </c>
      <c r="U7" s="65" t="s">
        <v>357</v>
      </c>
      <c r="V7" s="68" t="s">
        <v>358</v>
      </c>
      <c r="W7" s="40"/>
      <c r="X7" s="40"/>
      <c r="Y7" s="40"/>
      <c r="Z7" s="40"/>
      <c r="AA7" s="40"/>
      <c r="AB7" s="40"/>
      <c r="AC7" s="40"/>
      <c r="AD7" s="40"/>
      <c r="AE7" s="40"/>
      <c r="AF7" s="40"/>
      <c r="AG7" s="40"/>
    </row>
    <row r="8" spans="1:38" ht="55" customHeight="1">
      <c r="A8" s="64">
        <v>4</v>
      </c>
      <c r="B8" s="65" t="s">
        <v>326</v>
      </c>
      <c r="C8" s="65" t="s">
        <v>359</v>
      </c>
      <c r="D8" s="65" t="s">
        <v>360</v>
      </c>
      <c r="E8" s="65" t="s">
        <v>340</v>
      </c>
      <c r="F8" s="66">
        <v>20000</v>
      </c>
      <c r="G8" s="66">
        <f>(H8/5*'Scoring Model'!$B$5+I8/5*'Scoring Model'!$B$6+J8/5*'Scoring Model'!$B$7+K8/5*'Scoring Model'!$B$8+L8/5*'Scoring Model'!$B$9+M8/5*'Scoring Model'!$B$10+N8/5*'Scoring Model'!$B$11)*100</f>
        <v>79.000000000000014</v>
      </c>
      <c r="H8" s="67">
        <v>5</v>
      </c>
      <c r="I8" s="67">
        <v>4</v>
      </c>
      <c r="J8" s="67">
        <v>4</v>
      </c>
      <c r="K8" s="67">
        <v>3</v>
      </c>
      <c r="L8" s="67">
        <v>3</v>
      </c>
      <c r="M8" s="67">
        <v>4</v>
      </c>
      <c r="N8" s="67">
        <v>4</v>
      </c>
      <c r="O8" s="65" t="s">
        <v>361</v>
      </c>
      <c r="P8" s="65" t="s">
        <v>362</v>
      </c>
      <c r="Q8" s="65" t="s">
        <v>363</v>
      </c>
      <c r="R8" s="65" t="s">
        <v>364</v>
      </c>
      <c r="S8" s="65" t="s">
        <v>365</v>
      </c>
      <c r="T8" s="65" t="s">
        <v>366</v>
      </c>
      <c r="U8" s="65" t="s">
        <v>367</v>
      </c>
      <c r="V8" s="68" t="s">
        <v>368</v>
      </c>
      <c r="W8" s="40"/>
      <c r="X8" s="40"/>
      <c r="Y8" s="40"/>
      <c r="Z8" s="40"/>
      <c r="AA8" s="40"/>
      <c r="AB8" s="40"/>
      <c r="AC8" s="40"/>
      <c r="AD8" s="40"/>
      <c r="AE8" s="40"/>
      <c r="AF8" s="40"/>
      <c r="AG8" s="40"/>
    </row>
    <row r="9" spans="1:38" ht="55" customHeight="1">
      <c r="A9" s="64">
        <v>5</v>
      </c>
      <c r="B9" s="65" t="s">
        <v>369</v>
      </c>
      <c r="C9" s="65" t="s">
        <v>370</v>
      </c>
      <c r="D9" s="65" t="s">
        <v>328</v>
      </c>
      <c r="E9" s="65" t="s">
        <v>329</v>
      </c>
      <c r="F9" s="66">
        <v>550</v>
      </c>
      <c r="G9" s="66">
        <f>(H9/5*'Scoring Model'!$B$5+I9/5*'Scoring Model'!$B$6+J9/5*'Scoring Model'!$B$7+K9/5*'Scoring Model'!$B$8+L9/5*'Scoring Model'!$B$9+M9/5*'Scoring Model'!$B$10+N9/5*'Scoring Model'!$B$11)*100</f>
        <v>76.000000000000014</v>
      </c>
      <c r="H9" s="67">
        <v>4</v>
      </c>
      <c r="I9" s="67">
        <v>4</v>
      </c>
      <c r="J9" s="67">
        <v>3</v>
      </c>
      <c r="K9" s="67">
        <v>4</v>
      </c>
      <c r="L9" s="67">
        <v>4</v>
      </c>
      <c r="M9" s="67">
        <v>4</v>
      </c>
      <c r="N9" s="67">
        <v>3</v>
      </c>
      <c r="O9" s="65" t="s">
        <v>371</v>
      </c>
      <c r="P9" s="65" t="s">
        <v>372</v>
      </c>
      <c r="Q9" s="65" t="s">
        <v>373</v>
      </c>
      <c r="R9" s="65" t="s">
        <v>374</v>
      </c>
      <c r="S9" s="65" t="s">
        <v>375</v>
      </c>
      <c r="T9" s="65" t="s">
        <v>376</v>
      </c>
      <c r="U9" s="65" t="s">
        <v>377</v>
      </c>
      <c r="V9" s="68" t="s">
        <v>378</v>
      </c>
      <c r="W9" s="40"/>
      <c r="X9" s="40"/>
      <c r="Y9" s="40"/>
      <c r="Z9" s="40"/>
      <c r="AA9" s="40"/>
      <c r="AB9" s="40"/>
      <c r="AC9" s="40"/>
      <c r="AD9" s="40"/>
      <c r="AE9" s="40"/>
      <c r="AF9" s="40"/>
      <c r="AG9" s="40"/>
    </row>
    <row r="10" spans="1:38" ht="55" customHeight="1">
      <c r="A10" s="64">
        <v>6</v>
      </c>
      <c r="B10" s="65" t="s">
        <v>369</v>
      </c>
      <c r="C10" s="65" t="s">
        <v>379</v>
      </c>
      <c r="D10" s="65" t="s">
        <v>350</v>
      </c>
      <c r="E10" s="65" t="s">
        <v>329</v>
      </c>
      <c r="F10" s="19"/>
      <c r="G10" s="66">
        <f>(H10/5*'Scoring Model'!$B$5+I10/5*'Scoring Model'!$B$6+J10/5*'Scoring Model'!$B$7+K10/5*'Scoring Model'!$B$8+L10/5*'Scoring Model'!$B$9+M10/5*'Scoring Model'!$B$10+N10/5*'Scoring Model'!$B$11)*100</f>
        <v>75.000000000000014</v>
      </c>
      <c r="H10" s="67">
        <v>3</v>
      </c>
      <c r="I10" s="67">
        <v>5</v>
      </c>
      <c r="J10" s="67">
        <v>3</v>
      </c>
      <c r="K10" s="67">
        <v>4</v>
      </c>
      <c r="L10" s="67">
        <v>4</v>
      </c>
      <c r="M10" s="67">
        <v>3</v>
      </c>
      <c r="N10" s="67">
        <v>5</v>
      </c>
      <c r="O10" s="65" t="s">
        <v>380</v>
      </c>
      <c r="P10" s="65" t="s">
        <v>381</v>
      </c>
      <c r="Q10" s="65" t="s">
        <v>382</v>
      </c>
      <c r="R10" s="65" t="s">
        <v>383</v>
      </c>
      <c r="S10" s="65" t="s">
        <v>384</v>
      </c>
      <c r="T10" s="65" t="s">
        <v>385</v>
      </c>
      <c r="U10" s="65" t="s">
        <v>386</v>
      </c>
      <c r="V10" s="68" t="s">
        <v>387</v>
      </c>
      <c r="W10" s="40"/>
      <c r="X10" s="40"/>
      <c r="Y10" s="40"/>
      <c r="Z10" s="40"/>
      <c r="AA10" s="40"/>
      <c r="AB10" s="40"/>
      <c r="AC10" s="40"/>
      <c r="AD10" s="40"/>
      <c r="AE10" s="40"/>
      <c r="AF10" s="40"/>
      <c r="AG10" s="40"/>
    </row>
    <row r="11" spans="1:38" ht="55" customHeight="1">
      <c r="A11" s="64">
        <v>7</v>
      </c>
      <c r="B11" s="65" t="s">
        <v>369</v>
      </c>
      <c r="C11" s="65" t="s">
        <v>388</v>
      </c>
      <c r="D11" s="65" t="s">
        <v>389</v>
      </c>
      <c r="E11" s="65" t="s">
        <v>390</v>
      </c>
      <c r="F11" s="66">
        <v>5</v>
      </c>
      <c r="G11" s="66">
        <f>(H11/5*'Scoring Model'!$B$5+I11/5*'Scoring Model'!$B$6+J11/5*'Scoring Model'!$B$7+K11/5*'Scoring Model'!$B$8+L11/5*'Scoring Model'!$B$9+M11/5*'Scoring Model'!$B$10+N11/5*'Scoring Model'!$B$11)*100</f>
        <v>74.000000000000014</v>
      </c>
      <c r="H11" s="67">
        <v>2</v>
      </c>
      <c r="I11" s="67">
        <v>4</v>
      </c>
      <c r="J11" s="67">
        <v>4</v>
      </c>
      <c r="K11" s="67">
        <v>4</v>
      </c>
      <c r="L11" s="67">
        <v>3</v>
      </c>
      <c r="M11" s="67">
        <v>5</v>
      </c>
      <c r="N11" s="67">
        <v>5</v>
      </c>
      <c r="O11" s="65" t="s">
        <v>391</v>
      </c>
      <c r="P11" s="65" t="s">
        <v>392</v>
      </c>
      <c r="Q11" s="65" t="s">
        <v>393</v>
      </c>
      <c r="R11" s="65" t="s">
        <v>394</v>
      </c>
      <c r="S11" s="65" t="s">
        <v>395</v>
      </c>
      <c r="T11" s="65" t="s">
        <v>396</v>
      </c>
      <c r="U11" s="65" t="s">
        <v>397</v>
      </c>
      <c r="V11" s="68" t="s">
        <v>398</v>
      </c>
      <c r="W11" s="40"/>
      <c r="X11" s="40"/>
      <c r="Y11" s="40"/>
      <c r="Z11" s="40"/>
      <c r="AA11" s="40"/>
      <c r="AB11" s="40"/>
      <c r="AC11" s="40"/>
      <c r="AD11" s="40"/>
      <c r="AE11" s="40"/>
      <c r="AF11" s="40"/>
      <c r="AG11" s="40"/>
    </row>
    <row r="12" spans="1:38" ht="55" customHeight="1">
      <c r="A12" s="64">
        <v>8</v>
      </c>
      <c r="B12" s="65" t="s">
        <v>369</v>
      </c>
      <c r="C12" s="65" t="s">
        <v>399</v>
      </c>
      <c r="D12" s="65" t="s">
        <v>400</v>
      </c>
      <c r="E12" s="65" t="s">
        <v>401</v>
      </c>
      <c r="F12" s="66">
        <v>150</v>
      </c>
      <c r="G12" s="66">
        <f>(H12/5*'Scoring Model'!$B$5+I12/5*'Scoring Model'!$B$6+J12/5*'Scoring Model'!$B$7+K12/5*'Scoring Model'!$B$8+L12/5*'Scoring Model'!$B$9+M12/5*'Scoring Model'!$B$10+N12/5*'Scoring Model'!$B$11)*100</f>
        <v>72.000000000000014</v>
      </c>
      <c r="H12" s="67">
        <v>4</v>
      </c>
      <c r="I12" s="67">
        <v>4</v>
      </c>
      <c r="J12" s="67">
        <v>3</v>
      </c>
      <c r="K12" s="67">
        <v>3</v>
      </c>
      <c r="L12" s="67">
        <v>3</v>
      </c>
      <c r="M12" s="67">
        <v>4</v>
      </c>
      <c r="N12" s="67">
        <v>4</v>
      </c>
      <c r="O12" s="65" t="s">
        <v>402</v>
      </c>
      <c r="P12" s="65" t="s">
        <v>403</v>
      </c>
      <c r="Q12" s="65" t="s">
        <v>404</v>
      </c>
      <c r="R12" s="65" t="s">
        <v>405</v>
      </c>
      <c r="S12" s="65" t="s">
        <v>406</v>
      </c>
      <c r="T12" s="65" t="s">
        <v>407</v>
      </c>
      <c r="U12" s="65" t="s">
        <v>408</v>
      </c>
      <c r="V12" s="68" t="s">
        <v>409</v>
      </c>
      <c r="W12" s="40"/>
      <c r="X12" s="40"/>
      <c r="Y12" s="40"/>
      <c r="Z12" s="40"/>
      <c r="AA12" s="40"/>
      <c r="AB12" s="40"/>
      <c r="AC12" s="40"/>
      <c r="AD12" s="40"/>
      <c r="AE12" s="40"/>
      <c r="AF12" s="40"/>
      <c r="AG12" s="40"/>
    </row>
    <row r="13" spans="1:38" ht="55" customHeight="1">
      <c r="A13" s="64">
        <v>9</v>
      </c>
      <c r="B13" s="65" t="s">
        <v>410</v>
      </c>
      <c r="C13" s="65" t="s">
        <v>411</v>
      </c>
      <c r="D13" s="65" t="s">
        <v>339</v>
      </c>
      <c r="E13" s="65" t="s">
        <v>329</v>
      </c>
      <c r="F13" s="66">
        <v>137</v>
      </c>
      <c r="G13" s="66">
        <f>(H13/5*'Scoring Model'!$B$5+I13/5*'Scoring Model'!$B$6+J13/5*'Scoring Model'!$B$7+K13/5*'Scoring Model'!$B$8+L13/5*'Scoring Model'!$B$9+M13/5*'Scoring Model'!$B$10+N13/5*'Scoring Model'!$B$11)*100</f>
        <v>64</v>
      </c>
      <c r="H13" s="67">
        <v>3</v>
      </c>
      <c r="I13" s="67">
        <v>3</v>
      </c>
      <c r="J13" s="67">
        <v>2</v>
      </c>
      <c r="K13" s="67">
        <v>3</v>
      </c>
      <c r="L13" s="67">
        <v>3</v>
      </c>
      <c r="M13" s="67">
        <v>5</v>
      </c>
      <c r="N13" s="67">
        <v>4</v>
      </c>
      <c r="O13" s="65" t="s">
        <v>412</v>
      </c>
      <c r="P13" s="65" t="s">
        <v>413</v>
      </c>
      <c r="Q13" s="65" t="s">
        <v>414</v>
      </c>
      <c r="R13" s="65" t="s">
        <v>415</v>
      </c>
      <c r="S13" s="65" t="s">
        <v>416</v>
      </c>
      <c r="T13" s="65" t="s">
        <v>417</v>
      </c>
      <c r="U13" s="8"/>
      <c r="V13" s="68" t="s">
        <v>418</v>
      </c>
      <c r="W13" s="40"/>
      <c r="X13" s="40"/>
      <c r="Y13" s="40"/>
      <c r="Z13" s="40"/>
      <c r="AA13" s="40"/>
      <c r="AB13" s="40"/>
      <c r="AC13" s="40"/>
      <c r="AD13" s="40"/>
      <c r="AE13" s="40"/>
      <c r="AF13" s="40"/>
      <c r="AG13" s="40"/>
    </row>
    <row r="14" spans="1:38" ht="55" customHeight="1">
      <c r="A14" s="64">
        <v>10</v>
      </c>
      <c r="B14" s="65" t="s">
        <v>410</v>
      </c>
      <c r="C14" s="65" t="s">
        <v>419</v>
      </c>
      <c r="D14" s="65" t="s">
        <v>339</v>
      </c>
      <c r="E14" s="65" t="s">
        <v>329</v>
      </c>
      <c r="F14" s="66">
        <v>500</v>
      </c>
      <c r="G14" s="66">
        <f>(H14/5*'Scoring Model'!$B$5+I14/5*'Scoring Model'!$B$6+J14/5*'Scoring Model'!$B$7+K14/5*'Scoring Model'!$B$8+L14/5*'Scoring Model'!$B$9+M14/5*'Scoring Model'!$B$10+N14/5*'Scoring Model'!$B$11)*100</f>
        <v>63.000000000000014</v>
      </c>
      <c r="H14" s="67">
        <v>4</v>
      </c>
      <c r="I14" s="67">
        <v>3</v>
      </c>
      <c r="J14" s="67">
        <v>4</v>
      </c>
      <c r="K14" s="67">
        <v>1</v>
      </c>
      <c r="L14" s="67">
        <v>3</v>
      </c>
      <c r="M14" s="67">
        <v>3</v>
      </c>
      <c r="N14" s="67">
        <v>5</v>
      </c>
      <c r="O14" s="65" t="s">
        <v>420</v>
      </c>
      <c r="P14" s="65" t="s">
        <v>421</v>
      </c>
      <c r="Q14" s="65" t="s">
        <v>422</v>
      </c>
      <c r="R14" s="65" t="s">
        <v>423</v>
      </c>
      <c r="S14" s="65" t="s">
        <v>424</v>
      </c>
      <c r="T14" s="65" t="s">
        <v>425</v>
      </c>
      <c r="U14" s="65" t="s">
        <v>426</v>
      </c>
      <c r="V14" s="68" t="s">
        <v>427</v>
      </c>
      <c r="W14" s="40"/>
      <c r="X14" s="40"/>
      <c r="Y14" s="40"/>
      <c r="Z14" s="40"/>
      <c r="AA14" s="40"/>
      <c r="AB14" s="40"/>
      <c r="AC14" s="40"/>
      <c r="AD14" s="40"/>
      <c r="AE14" s="40"/>
      <c r="AF14" s="40"/>
      <c r="AG14" s="40"/>
    </row>
    <row r="15" spans="1:38" ht="55" customHeight="1">
      <c r="A15" s="64">
        <v>11</v>
      </c>
      <c r="B15" s="65" t="s">
        <v>410</v>
      </c>
      <c r="C15" s="65" t="s">
        <v>428</v>
      </c>
      <c r="D15" s="65" t="s">
        <v>350</v>
      </c>
      <c r="E15" s="65" t="s">
        <v>340</v>
      </c>
      <c r="F15" s="66">
        <v>3300</v>
      </c>
      <c r="G15" s="66">
        <f>(H15/5*'Scoring Model'!$B$5+I15/5*'Scoring Model'!$B$6+J15/5*'Scoring Model'!$B$7+K15/5*'Scoring Model'!$B$8+L15/5*'Scoring Model'!$B$9+M15/5*'Scoring Model'!$B$10+N15/5*'Scoring Model'!$B$11)*100</f>
        <v>62.000000000000014</v>
      </c>
      <c r="H15" s="67">
        <v>5</v>
      </c>
      <c r="I15" s="67">
        <v>3</v>
      </c>
      <c r="J15" s="67">
        <v>3</v>
      </c>
      <c r="K15" s="67">
        <v>1</v>
      </c>
      <c r="L15" s="67">
        <v>2</v>
      </c>
      <c r="M15" s="67">
        <v>4</v>
      </c>
      <c r="N15" s="67">
        <v>2</v>
      </c>
      <c r="O15" s="65" t="s">
        <v>429</v>
      </c>
      <c r="P15" s="65" t="s">
        <v>430</v>
      </c>
      <c r="Q15" s="65" t="s">
        <v>431</v>
      </c>
      <c r="R15" s="65" t="s">
        <v>432</v>
      </c>
      <c r="S15" s="65" t="s">
        <v>433</v>
      </c>
      <c r="T15" s="65" t="s">
        <v>434</v>
      </c>
      <c r="U15" s="65" t="s">
        <v>435</v>
      </c>
      <c r="V15" s="68" t="s">
        <v>436</v>
      </c>
      <c r="W15" s="40"/>
      <c r="X15" s="40"/>
      <c r="Y15" s="40"/>
      <c r="Z15" s="40"/>
      <c r="AA15" s="40"/>
      <c r="AB15" s="40"/>
      <c r="AC15" s="40"/>
      <c r="AD15" s="40"/>
      <c r="AE15" s="40"/>
      <c r="AF15" s="40"/>
      <c r="AG15" s="40"/>
    </row>
    <row r="16" spans="1:38" ht="55" customHeight="1">
      <c r="A16" s="64">
        <v>12</v>
      </c>
      <c r="B16" s="65" t="s">
        <v>410</v>
      </c>
      <c r="C16" s="65" t="s">
        <v>437</v>
      </c>
      <c r="D16" s="65" t="s">
        <v>350</v>
      </c>
      <c r="E16" s="65" t="s">
        <v>329</v>
      </c>
      <c r="F16" s="66">
        <v>600</v>
      </c>
      <c r="G16" s="66">
        <f>(H16/5*'Scoring Model'!$B$5+I16/5*'Scoring Model'!$B$6+J16/5*'Scoring Model'!$B$7+K16/5*'Scoring Model'!$B$8+L16/5*'Scoring Model'!$B$9+M16/5*'Scoring Model'!$B$10+N16/5*'Scoring Model'!$B$11)*100</f>
        <v>61</v>
      </c>
      <c r="H16" s="67">
        <v>4</v>
      </c>
      <c r="I16" s="67">
        <v>3</v>
      </c>
      <c r="J16" s="67">
        <v>3</v>
      </c>
      <c r="K16" s="67">
        <v>2</v>
      </c>
      <c r="L16" s="67">
        <v>3</v>
      </c>
      <c r="M16" s="67">
        <v>3</v>
      </c>
      <c r="N16" s="67">
        <v>3</v>
      </c>
      <c r="O16" s="65" t="s">
        <v>438</v>
      </c>
      <c r="P16" s="65" t="s">
        <v>439</v>
      </c>
      <c r="Q16" s="65" t="s">
        <v>440</v>
      </c>
      <c r="R16" s="65" t="s">
        <v>441</v>
      </c>
      <c r="S16" s="65" t="s">
        <v>442</v>
      </c>
      <c r="T16" s="65" t="s">
        <v>443</v>
      </c>
      <c r="U16" s="8"/>
      <c r="V16" s="68" t="s">
        <v>444</v>
      </c>
      <c r="W16" s="40"/>
      <c r="X16" s="40"/>
      <c r="Y16" s="40"/>
      <c r="Z16" s="40"/>
      <c r="AA16" s="40"/>
      <c r="AB16" s="40"/>
      <c r="AC16" s="40"/>
      <c r="AD16" s="40"/>
      <c r="AE16" s="40"/>
      <c r="AF16" s="40"/>
      <c r="AG16" s="40"/>
    </row>
    <row r="17" spans="1:33" ht="55" customHeight="1">
      <c r="A17" s="64">
        <v>13</v>
      </c>
      <c r="B17" s="65" t="s">
        <v>410</v>
      </c>
      <c r="C17" s="65" t="s">
        <v>445</v>
      </c>
      <c r="D17" s="65" t="s">
        <v>339</v>
      </c>
      <c r="E17" s="65" t="s">
        <v>329</v>
      </c>
      <c r="F17" s="66">
        <v>112</v>
      </c>
      <c r="G17" s="66">
        <f>(H17/5*'Scoring Model'!$B$5+I17/5*'Scoring Model'!$B$6+J17/5*'Scoring Model'!$B$7+K17/5*'Scoring Model'!$B$8+L17/5*'Scoring Model'!$B$9+M17/5*'Scoring Model'!$B$10+N17/5*'Scoring Model'!$B$11)*100</f>
        <v>61</v>
      </c>
      <c r="H17" s="67">
        <v>3</v>
      </c>
      <c r="I17" s="67">
        <v>3</v>
      </c>
      <c r="J17" s="67">
        <v>2</v>
      </c>
      <c r="K17" s="67">
        <v>4</v>
      </c>
      <c r="L17" s="67">
        <v>3</v>
      </c>
      <c r="M17" s="67">
        <v>3</v>
      </c>
      <c r="N17" s="67">
        <v>4</v>
      </c>
      <c r="O17" s="65" t="s">
        <v>446</v>
      </c>
      <c r="P17" s="65" t="s">
        <v>447</v>
      </c>
      <c r="Q17" s="65" t="s">
        <v>414</v>
      </c>
      <c r="R17" s="65" t="s">
        <v>448</v>
      </c>
      <c r="S17" s="65" t="s">
        <v>449</v>
      </c>
      <c r="T17" s="65" t="s">
        <v>450</v>
      </c>
      <c r="U17" s="8"/>
      <c r="V17" s="68" t="s">
        <v>418</v>
      </c>
      <c r="W17" s="40"/>
      <c r="X17" s="40"/>
      <c r="Y17" s="40"/>
      <c r="Z17" s="40"/>
      <c r="AA17" s="40"/>
      <c r="AB17" s="40"/>
      <c r="AC17" s="40"/>
      <c r="AD17" s="40"/>
      <c r="AE17" s="40"/>
      <c r="AF17" s="40"/>
      <c r="AG17" s="40"/>
    </row>
    <row r="18" spans="1:33" ht="55" customHeight="1">
      <c r="A18" s="64">
        <v>14</v>
      </c>
      <c r="B18" s="65" t="s">
        <v>410</v>
      </c>
      <c r="C18" s="65" t="s">
        <v>451</v>
      </c>
      <c r="D18" s="65" t="s">
        <v>328</v>
      </c>
      <c r="E18" s="65" t="s">
        <v>329</v>
      </c>
      <c r="F18" s="66">
        <v>76</v>
      </c>
      <c r="G18" s="66">
        <f>(H18/5*'Scoring Model'!$B$5+I18/5*'Scoring Model'!$B$6+J18/5*'Scoring Model'!$B$7+K18/5*'Scoring Model'!$B$8+L18/5*'Scoring Model'!$B$9+M18/5*'Scoring Model'!$B$10+N18/5*'Scoring Model'!$B$11)*100</f>
        <v>59.000000000000007</v>
      </c>
      <c r="H18" s="67">
        <v>2</v>
      </c>
      <c r="I18" s="67">
        <v>3</v>
      </c>
      <c r="J18" s="67">
        <v>2</v>
      </c>
      <c r="K18" s="67">
        <v>4</v>
      </c>
      <c r="L18" s="67">
        <v>3</v>
      </c>
      <c r="M18" s="67">
        <v>4</v>
      </c>
      <c r="N18" s="67">
        <v>3</v>
      </c>
      <c r="O18" s="65" t="s">
        <v>452</v>
      </c>
      <c r="P18" s="65" t="s">
        <v>453</v>
      </c>
      <c r="Q18" s="65" t="s">
        <v>414</v>
      </c>
      <c r="R18" s="65" t="s">
        <v>454</v>
      </c>
      <c r="S18" s="65" t="s">
        <v>455</v>
      </c>
      <c r="T18" s="65" t="s">
        <v>456</v>
      </c>
      <c r="U18" s="8"/>
      <c r="V18" s="68" t="s">
        <v>418</v>
      </c>
      <c r="W18" s="40"/>
      <c r="X18" s="40"/>
      <c r="Y18" s="40"/>
      <c r="Z18" s="40"/>
      <c r="AA18" s="40"/>
      <c r="AB18" s="40"/>
      <c r="AC18" s="40"/>
      <c r="AD18" s="40"/>
      <c r="AE18" s="40"/>
      <c r="AF18" s="40"/>
      <c r="AG18" s="40"/>
    </row>
    <row r="19" spans="1:33" ht="55" customHeight="1">
      <c r="A19" s="64">
        <v>15</v>
      </c>
      <c r="B19" s="65" t="s">
        <v>410</v>
      </c>
      <c r="C19" s="65" t="s">
        <v>457</v>
      </c>
      <c r="D19" s="65" t="s">
        <v>328</v>
      </c>
      <c r="E19" s="65" t="s">
        <v>329</v>
      </c>
      <c r="F19" s="66">
        <v>832</v>
      </c>
      <c r="G19" s="66">
        <f>(H19/5*'Scoring Model'!$B$5+I19/5*'Scoring Model'!$B$6+J19/5*'Scoring Model'!$B$7+K19/5*'Scoring Model'!$B$8+L19/5*'Scoring Model'!$B$9+M19/5*'Scoring Model'!$B$10+N19/5*'Scoring Model'!$B$11)*100</f>
        <v>58.000000000000007</v>
      </c>
      <c r="H19" s="67">
        <v>4</v>
      </c>
      <c r="I19" s="67">
        <v>2</v>
      </c>
      <c r="J19" s="67">
        <v>2</v>
      </c>
      <c r="K19" s="67">
        <v>3</v>
      </c>
      <c r="L19" s="67">
        <v>2</v>
      </c>
      <c r="M19" s="67">
        <v>4</v>
      </c>
      <c r="N19" s="67">
        <v>3</v>
      </c>
      <c r="O19" s="65" t="s">
        <v>458</v>
      </c>
      <c r="P19" s="65" t="s">
        <v>459</v>
      </c>
      <c r="Q19" s="65" t="s">
        <v>460</v>
      </c>
      <c r="R19" s="65" t="s">
        <v>461</v>
      </c>
      <c r="S19" s="65" t="s">
        <v>462</v>
      </c>
      <c r="T19" s="65" t="s">
        <v>463</v>
      </c>
      <c r="U19" s="65" t="s">
        <v>464</v>
      </c>
      <c r="V19" s="68" t="s">
        <v>465</v>
      </c>
      <c r="W19" s="40"/>
      <c r="X19" s="40"/>
      <c r="Y19" s="40"/>
      <c r="Z19" s="40"/>
      <c r="AA19" s="40"/>
      <c r="AB19" s="40"/>
      <c r="AC19" s="40"/>
      <c r="AD19" s="40"/>
      <c r="AE19" s="40"/>
      <c r="AF19" s="40"/>
      <c r="AG19" s="40"/>
    </row>
    <row r="20" spans="1:33" ht="55" customHeight="1">
      <c r="A20" s="64">
        <v>16</v>
      </c>
      <c r="B20" s="65" t="s">
        <v>410</v>
      </c>
      <c r="C20" s="65" t="s">
        <v>466</v>
      </c>
      <c r="D20" s="65" t="s">
        <v>328</v>
      </c>
      <c r="E20" s="65" t="s">
        <v>329</v>
      </c>
      <c r="F20" s="66">
        <v>640</v>
      </c>
      <c r="G20" s="66">
        <f>(H20/5*'Scoring Model'!$B$5+I20/5*'Scoring Model'!$B$6+J20/5*'Scoring Model'!$B$7+K20/5*'Scoring Model'!$B$8+L20/5*'Scoring Model'!$B$9+M20/5*'Scoring Model'!$B$10+N20/5*'Scoring Model'!$B$11)*100</f>
        <v>58.000000000000007</v>
      </c>
      <c r="H20" s="67">
        <v>4</v>
      </c>
      <c r="I20" s="67">
        <v>2</v>
      </c>
      <c r="J20" s="67">
        <v>2</v>
      </c>
      <c r="K20" s="67">
        <v>3</v>
      </c>
      <c r="L20" s="67">
        <v>2</v>
      </c>
      <c r="M20" s="67">
        <v>4</v>
      </c>
      <c r="N20" s="67">
        <v>3</v>
      </c>
      <c r="O20" s="65" t="s">
        <v>467</v>
      </c>
      <c r="P20" s="65" t="s">
        <v>468</v>
      </c>
      <c r="Q20" s="65" t="s">
        <v>414</v>
      </c>
      <c r="R20" s="65" t="s">
        <v>469</v>
      </c>
      <c r="S20" s="65" t="s">
        <v>470</v>
      </c>
      <c r="T20" s="65" t="s">
        <v>471</v>
      </c>
      <c r="U20" s="8"/>
      <c r="V20" s="68" t="s">
        <v>418</v>
      </c>
      <c r="W20" s="40"/>
      <c r="X20" s="40"/>
      <c r="Y20" s="40"/>
      <c r="Z20" s="40"/>
      <c r="AA20" s="40"/>
      <c r="AB20" s="40"/>
      <c r="AC20" s="40"/>
      <c r="AD20" s="40"/>
      <c r="AE20" s="40"/>
      <c r="AF20" s="40"/>
      <c r="AG20" s="40"/>
    </row>
    <row r="21" spans="1:33" ht="55" customHeight="1">
      <c r="A21" s="64">
        <v>17</v>
      </c>
      <c r="B21" s="65" t="s">
        <v>410</v>
      </c>
      <c r="C21" s="65" t="s">
        <v>472</v>
      </c>
      <c r="D21" s="65" t="s">
        <v>339</v>
      </c>
      <c r="E21" s="65" t="s">
        <v>329</v>
      </c>
      <c r="F21" s="66">
        <v>500</v>
      </c>
      <c r="G21" s="66">
        <f>(H21/5*'Scoring Model'!$B$5+I21/5*'Scoring Model'!$B$6+J21/5*'Scoring Model'!$B$7+K21/5*'Scoring Model'!$B$8+L21/5*'Scoring Model'!$B$9+M21/5*'Scoring Model'!$B$10+N21/5*'Scoring Model'!$B$11)*100</f>
        <v>58.000000000000007</v>
      </c>
      <c r="H21" s="67">
        <v>4</v>
      </c>
      <c r="I21" s="67">
        <v>2</v>
      </c>
      <c r="J21" s="67">
        <v>2</v>
      </c>
      <c r="K21" s="67">
        <v>4</v>
      </c>
      <c r="L21" s="67">
        <v>2</v>
      </c>
      <c r="M21" s="67">
        <v>3</v>
      </c>
      <c r="N21" s="67">
        <v>3</v>
      </c>
      <c r="O21" s="65" t="s">
        <v>473</v>
      </c>
      <c r="P21" s="65" t="s">
        <v>474</v>
      </c>
      <c r="Q21" s="65" t="s">
        <v>475</v>
      </c>
      <c r="R21" s="65" t="s">
        <v>476</v>
      </c>
      <c r="S21" s="65" t="s">
        <v>477</v>
      </c>
      <c r="T21" s="65" t="s">
        <v>478</v>
      </c>
      <c r="U21" s="65" t="s">
        <v>479</v>
      </c>
      <c r="V21" s="68" t="s">
        <v>480</v>
      </c>
      <c r="W21" s="40"/>
      <c r="X21" s="40"/>
      <c r="Y21" s="40"/>
      <c r="Z21" s="40"/>
      <c r="AA21" s="40"/>
      <c r="AB21" s="40"/>
      <c r="AC21" s="40"/>
      <c r="AD21" s="40"/>
      <c r="AE21" s="40"/>
      <c r="AF21" s="40"/>
      <c r="AG21" s="40"/>
    </row>
    <row r="22" spans="1:33" ht="55" customHeight="1">
      <c r="A22" s="64">
        <v>18</v>
      </c>
      <c r="B22" s="65" t="s">
        <v>410</v>
      </c>
      <c r="C22" s="65" t="s">
        <v>481</v>
      </c>
      <c r="D22" s="65" t="s">
        <v>350</v>
      </c>
      <c r="E22" s="65" t="s">
        <v>329</v>
      </c>
      <c r="F22" s="66">
        <v>450</v>
      </c>
      <c r="G22" s="66">
        <f>(H22/5*'Scoring Model'!$B$5+I22/5*'Scoring Model'!$B$6+J22/5*'Scoring Model'!$B$7+K22/5*'Scoring Model'!$B$8+L22/5*'Scoring Model'!$B$9+M22/5*'Scoring Model'!$B$10+N22/5*'Scoring Model'!$B$11)*100</f>
        <v>57.000000000000007</v>
      </c>
      <c r="H22" s="67">
        <v>3</v>
      </c>
      <c r="I22" s="67">
        <v>2</v>
      </c>
      <c r="J22" s="67">
        <v>2</v>
      </c>
      <c r="K22" s="67">
        <v>4</v>
      </c>
      <c r="L22" s="67">
        <v>2</v>
      </c>
      <c r="M22" s="67">
        <v>4</v>
      </c>
      <c r="N22" s="67">
        <v>3</v>
      </c>
      <c r="O22" s="65" t="s">
        <v>482</v>
      </c>
      <c r="P22" s="65" t="s">
        <v>483</v>
      </c>
      <c r="Q22" s="65" t="s">
        <v>414</v>
      </c>
      <c r="R22" s="65" t="s">
        <v>484</v>
      </c>
      <c r="S22" s="65" t="s">
        <v>485</v>
      </c>
      <c r="T22" s="65" t="s">
        <v>486</v>
      </c>
      <c r="U22" s="8"/>
      <c r="V22" s="68" t="s">
        <v>418</v>
      </c>
      <c r="W22" s="40"/>
      <c r="X22" s="40"/>
      <c r="Y22" s="40"/>
      <c r="Z22" s="40"/>
      <c r="AA22" s="40"/>
      <c r="AB22" s="40"/>
      <c r="AC22" s="40"/>
      <c r="AD22" s="40"/>
      <c r="AE22" s="40"/>
      <c r="AF22" s="40"/>
      <c r="AG22" s="40"/>
    </row>
    <row r="23" spans="1:33" ht="55" customHeight="1">
      <c r="A23" s="64">
        <v>19</v>
      </c>
      <c r="B23" s="65" t="s">
        <v>410</v>
      </c>
      <c r="C23" s="65" t="s">
        <v>487</v>
      </c>
      <c r="D23" s="65" t="s">
        <v>328</v>
      </c>
      <c r="E23" s="65" t="s">
        <v>329</v>
      </c>
      <c r="F23" s="66">
        <v>67</v>
      </c>
      <c r="G23" s="66">
        <f>(H23/5*'Scoring Model'!$B$5+I23/5*'Scoring Model'!$B$6+J23/5*'Scoring Model'!$B$7+K23/5*'Scoring Model'!$B$8+L23/5*'Scoring Model'!$B$9+M23/5*'Scoring Model'!$B$10+N23/5*'Scoring Model'!$B$11)*100</f>
        <v>57.000000000000007</v>
      </c>
      <c r="H23" s="67">
        <v>2</v>
      </c>
      <c r="I23" s="67">
        <v>3</v>
      </c>
      <c r="J23" s="67">
        <v>3</v>
      </c>
      <c r="K23" s="67">
        <v>3</v>
      </c>
      <c r="L23" s="67">
        <v>2</v>
      </c>
      <c r="M23" s="67">
        <v>4</v>
      </c>
      <c r="N23" s="67">
        <v>3</v>
      </c>
      <c r="O23" s="65" t="s">
        <v>488</v>
      </c>
      <c r="P23" s="65" t="s">
        <v>489</v>
      </c>
      <c r="Q23" s="65" t="s">
        <v>490</v>
      </c>
      <c r="R23" s="65" t="s">
        <v>491</v>
      </c>
      <c r="S23" s="65" t="s">
        <v>492</v>
      </c>
      <c r="T23" s="65" t="s">
        <v>493</v>
      </c>
      <c r="U23" s="65" t="s">
        <v>494</v>
      </c>
      <c r="V23" s="68" t="s">
        <v>444</v>
      </c>
      <c r="W23" s="40"/>
      <c r="X23" s="40"/>
      <c r="Y23" s="40"/>
      <c r="Z23" s="40"/>
      <c r="AA23" s="40"/>
      <c r="AB23" s="40"/>
      <c r="AC23" s="40"/>
      <c r="AD23" s="40"/>
      <c r="AE23" s="40"/>
      <c r="AF23" s="40"/>
      <c r="AG23" s="40"/>
    </row>
    <row r="24" spans="1:33" ht="55" customHeight="1">
      <c r="A24" s="64">
        <v>20</v>
      </c>
      <c r="B24" s="65" t="s">
        <v>410</v>
      </c>
      <c r="C24" s="65" t="s">
        <v>495</v>
      </c>
      <c r="D24" s="65" t="s">
        <v>360</v>
      </c>
      <c r="E24" s="65" t="s">
        <v>340</v>
      </c>
      <c r="F24" s="66">
        <v>10000</v>
      </c>
      <c r="G24" s="66">
        <f>(H24/5*'Scoring Model'!$B$5+I24/5*'Scoring Model'!$B$6+J24/5*'Scoring Model'!$B$7+K24/5*'Scoring Model'!$B$8+L24/5*'Scoring Model'!$B$9+M24/5*'Scoring Model'!$B$10+N24/5*'Scoring Model'!$B$11)*100</f>
        <v>57.000000000000007</v>
      </c>
      <c r="H24" s="67">
        <v>5</v>
      </c>
      <c r="I24" s="67">
        <v>2</v>
      </c>
      <c r="J24" s="67">
        <v>2</v>
      </c>
      <c r="K24" s="67">
        <v>2</v>
      </c>
      <c r="L24" s="67">
        <v>2</v>
      </c>
      <c r="M24" s="67">
        <v>3</v>
      </c>
      <c r="N24" s="67">
        <v>4</v>
      </c>
      <c r="O24" s="65" t="s">
        <v>496</v>
      </c>
      <c r="P24" s="65" t="s">
        <v>497</v>
      </c>
      <c r="Q24" s="65" t="s">
        <v>414</v>
      </c>
      <c r="R24" s="65" t="s">
        <v>498</v>
      </c>
      <c r="S24" s="65" t="s">
        <v>499</v>
      </c>
      <c r="T24" s="65" t="s">
        <v>500</v>
      </c>
      <c r="U24" s="8"/>
      <c r="V24" s="68" t="s">
        <v>418</v>
      </c>
      <c r="W24" s="40"/>
      <c r="X24" s="40"/>
      <c r="Y24" s="40"/>
      <c r="Z24" s="40"/>
      <c r="AA24" s="40"/>
      <c r="AB24" s="40"/>
      <c r="AC24" s="40"/>
      <c r="AD24" s="40"/>
      <c r="AE24" s="40"/>
      <c r="AF24" s="40"/>
      <c r="AG24" s="40"/>
    </row>
    <row r="25" spans="1:33" ht="55" customHeight="1">
      <c r="A25" s="64">
        <v>21</v>
      </c>
      <c r="B25" s="65" t="s">
        <v>410</v>
      </c>
      <c r="C25" s="65" t="s">
        <v>501</v>
      </c>
      <c r="D25" s="65" t="s">
        <v>339</v>
      </c>
      <c r="E25" s="65" t="s">
        <v>340</v>
      </c>
      <c r="F25" s="66">
        <v>4200</v>
      </c>
      <c r="G25" s="66">
        <f>(H25/5*'Scoring Model'!$B$5+I25/5*'Scoring Model'!$B$6+J25/5*'Scoring Model'!$B$7+K25/5*'Scoring Model'!$B$8+L25/5*'Scoring Model'!$B$9+M25/5*'Scoring Model'!$B$10+N25/5*'Scoring Model'!$B$11)*100</f>
        <v>56.000000000000007</v>
      </c>
      <c r="H25" s="67">
        <v>5</v>
      </c>
      <c r="I25" s="67">
        <v>2</v>
      </c>
      <c r="J25" s="67">
        <v>2</v>
      </c>
      <c r="K25" s="67">
        <v>1</v>
      </c>
      <c r="L25" s="67">
        <v>2</v>
      </c>
      <c r="M25" s="67">
        <v>4</v>
      </c>
      <c r="N25" s="67">
        <v>3</v>
      </c>
      <c r="O25" s="65" t="s">
        <v>502</v>
      </c>
      <c r="P25" s="65" t="s">
        <v>503</v>
      </c>
      <c r="Q25" s="65" t="s">
        <v>414</v>
      </c>
      <c r="R25" s="65" t="s">
        <v>504</v>
      </c>
      <c r="S25" s="65" t="s">
        <v>505</v>
      </c>
      <c r="T25" s="65" t="s">
        <v>506</v>
      </c>
      <c r="U25" s="65" t="s">
        <v>507</v>
      </c>
      <c r="V25" s="68" t="s">
        <v>508</v>
      </c>
      <c r="W25" s="40"/>
      <c r="X25" s="40"/>
      <c r="Y25" s="40"/>
      <c r="Z25" s="40"/>
      <c r="AA25" s="40"/>
      <c r="AB25" s="40"/>
      <c r="AC25" s="40"/>
      <c r="AD25" s="40"/>
      <c r="AE25" s="40"/>
      <c r="AF25" s="40"/>
      <c r="AG25" s="40"/>
    </row>
    <row r="26" spans="1:33" ht="55" customHeight="1">
      <c r="A26" s="64">
        <v>22</v>
      </c>
      <c r="B26" s="65" t="s">
        <v>410</v>
      </c>
      <c r="C26" s="65" t="s">
        <v>509</v>
      </c>
      <c r="D26" s="65" t="s">
        <v>339</v>
      </c>
      <c r="E26" s="65" t="s">
        <v>329</v>
      </c>
      <c r="F26" s="66">
        <v>217</v>
      </c>
      <c r="G26" s="66">
        <f>(H26/5*'Scoring Model'!$B$5+I26/5*'Scoring Model'!$B$6+J26/5*'Scoring Model'!$B$7+K26/5*'Scoring Model'!$B$8+L26/5*'Scoring Model'!$B$9+M26/5*'Scoring Model'!$B$10+N26/5*'Scoring Model'!$B$11)*100</f>
        <v>55.000000000000007</v>
      </c>
      <c r="H26" s="67">
        <v>3</v>
      </c>
      <c r="I26" s="67">
        <v>3</v>
      </c>
      <c r="J26" s="67">
        <v>2</v>
      </c>
      <c r="K26" s="67">
        <v>2</v>
      </c>
      <c r="L26" s="67">
        <v>3</v>
      </c>
      <c r="M26" s="67">
        <v>3</v>
      </c>
      <c r="N26" s="67">
        <v>4</v>
      </c>
      <c r="O26" s="65" t="s">
        <v>510</v>
      </c>
      <c r="P26" s="65" t="s">
        <v>511</v>
      </c>
      <c r="Q26" s="65" t="s">
        <v>414</v>
      </c>
      <c r="R26" s="65" t="s">
        <v>512</v>
      </c>
      <c r="S26" s="65" t="s">
        <v>513</v>
      </c>
      <c r="T26" s="65" t="s">
        <v>514</v>
      </c>
      <c r="U26" s="8"/>
      <c r="V26" s="68" t="s">
        <v>444</v>
      </c>
      <c r="W26" s="40"/>
      <c r="X26" s="40"/>
      <c r="Y26" s="40"/>
      <c r="Z26" s="40"/>
      <c r="AA26" s="40"/>
      <c r="AB26" s="40"/>
      <c r="AC26" s="40"/>
      <c r="AD26" s="40"/>
      <c r="AE26" s="40"/>
      <c r="AF26" s="40"/>
      <c r="AG26" s="40"/>
    </row>
    <row r="27" spans="1:33" ht="55" customHeight="1">
      <c r="A27" s="64">
        <v>23</v>
      </c>
      <c r="B27" s="65" t="s">
        <v>410</v>
      </c>
      <c r="C27" s="65" t="s">
        <v>515</v>
      </c>
      <c r="D27" s="65" t="s">
        <v>360</v>
      </c>
      <c r="E27" s="65" t="s">
        <v>340</v>
      </c>
      <c r="F27" s="66">
        <v>7000</v>
      </c>
      <c r="G27" s="66">
        <f>(H27/5*'Scoring Model'!$B$5+I27/5*'Scoring Model'!$B$6+J27/5*'Scoring Model'!$B$7+K27/5*'Scoring Model'!$B$8+L27/5*'Scoring Model'!$B$9+M27/5*'Scoring Model'!$B$10+N27/5*'Scoring Model'!$B$11)*100</f>
        <v>53</v>
      </c>
      <c r="H27" s="67">
        <v>5</v>
      </c>
      <c r="I27" s="67">
        <v>2</v>
      </c>
      <c r="J27" s="67">
        <v>2</v>
      </c>
      <c r="K27" s="67">
        <v>1</v>
      </c>
      <c r="L27" s="67">
        <v>2</v>
      </c>
      <c r="M27" s="67">
        <v>3</v>
      </c>
      <c r="N27" s="67">
        <v>3</v>
      </c>
      <c r="O27" s="65" t="s">
        <v>516</v>
      </c>
      <c r="P27" s="65" t="s">
        <v>503</v>
      </c>
      <c r="Q27" s="65" t="s">
        <v>414</v>
      </c>
      <c r="R27" s="65" t="s">
        <v>517</v>
      </c>
      <c r="S27" s="65" t="s">
        <v>518</v>
      </c>
      <c r="T27" s="65" t="s">
        <v>519</v>
      </c>
      <c r="U27" s="8"/>
      <c r="V27" s="68" t="s">
        <v>418</v>
      </c>
      <c r="W27" s="40"/>
      <c r="X27" s="40"/>
      <c r="Y27" s="40"/>
      <c r="Z27" s="40"/>
      <c r="AA27" s="40"/>
      <c r="AB27" s="40"/>
      <c r="AC27" s="40"/>
      <c r="AD27" s="40"/>
      <c r="AE27" s="40"/>
      <c r="AF27" s="40"/>
      <c r="AG27" s="40"/>
    </row>
    <row r="28" spans="1:33" ht="55" customHeight="1">
      <c r="A28" s="64">
        <v>24</v>
      </c>
      <c r="B28" s="65" t="s">
        <v>410</v>
      </c>
      <c r="C28" s="65" t="s">
        <v>520</v>
      </c>
      <c r="D28" s="65" t="s">
        <v>350</v>
      </c>
      <c r="E28" s="65" t="s">
        <v>329</v>
      </c>
      <c r="F28" s="66">
        <v>1200</v>
      </c>
      <c r="G28" s="66">
        <f>(H28/5*'Scoring Model'!$B$5+I28/5*'Scoring Model'!$B$6+J28/5*'Scoring Model'!$B$7+K28/5*'Scoring Model'!$B$8+L28/5*'Scoring Model'!$B$9+M28/5*'Scoring Model'!$B$10+N28/5*'Scoring Model'!$B$11)*100</f>
        <v>52</v>
      </c>
      <c r="H28" s="67">
        <v>4</v>
      </c>
      <c r="I28" s="67">
        <v>2</v>
      </c>
      <c r="J28" s="67">
        <v>2</v>
      </c>
      <c r="K28" s="67">
        <v>2</v>
      </c>
      <c r="L28" s="67">
        <v>2</v>
      </c>
      <c r="M28" s="67">
        <v>3</v>
      </c>
      <c r="N28" s="67">
        <v>3</v>
      </c>
      <c r="O28" s="65" t="s">
        <v>521</v>
      </c>
      <c r="P28" s="65" t="s">
        <v>522</v>
      </c>
      <c r="Q28" s="65" t="s">
        <v>490</v>
      </c>
      <c r="R28" s="65" t="s">
        <v>523</v>
      </c>
      <c r="S28" s="65" t="s">
        <v>524</v>
      </c>
      <c r="T28" s="65" t="s">
        <v>525</v>
      </c>
      <c r="U28" s="8"/>
      <c r="V28" s="68" t="s">
        <v>418</v>
      </c>
      <c r="W28" s="40"/>
      <c r="X28" s="40"/>
      <c r="Y28" s="40"/>
      <c r="Z28" s="40"/>
      <c r="AA28" s="40"/>
      <c r="AB28" s="40"/>
      <c r="AC28" s="40"/>
      <c r="AD28" s="40"/>
      <c r="AE28" s="40"/>
      <c r="AF28" s="40"/>
      <c r="AG28" s="40"/>
    </row>
    <row r="29" spans="1:33" ht="55" customHeight="1">
      <c r="A29" s="64">
        <v>25</v>
      </c>
      <c r="B29" s="65" t="s">
        <v>410</v>
      </c>
      <c r="C29" s="65" t="s">
        <v>526</v>
      </c>
      <c r="D29" s="65" t="s">
        <v>339</v>
      </c>
      <c r="E29" s="65" t="s">
        <v>329</v>
      </c>
      <c r="F29" s="66">
        <v>17</v>
      </c>
      <c r="G29" s="66">
        <f>(H29/5*'Scoring Model'!$B$5+I29/5*'Scoring Model'!$B$6+J29/5*'Scoring Model'!$B$7+K29/5*'Scoring Model'!$B$8+L29/5*'Scoring Model'!$B$9+M29/5*'Scoring Model'!$B$10+N29/5*'Scoring Model'!$B$11)*100</f>
        <v>50.000000000000014</v>
      </c>
      <c r="H29" s="67">
        <v>2</v>
      </c>
      <c r="I29" s="67">
        <v>2</v>
      </c>
      <c r="J29" s="67">
        <v>2</v>
      </c>
      <c r="K29" s="67">
        <v>3</v>
      </c>
      <c r="L29" s="67">
        <v>2</v>
      </c>
      <c r="M29" s="67">
        <v>4</v>
      </c>
      <c r="N29" s="67">
        <v>3</v>
      </c>
      <c r="O29" s="65" t="s">
        <v>527</v>
      </c>
      <c r="P29" s="65" t="s">
        <v>528</v>
      </c>
      <c r="Q29" s="65" t="s">
        <v>414</v>
      </c>
      <c r="R29" s="65" t="s">
        <v>529</v>
      </c>
      <c r="S29" s="65" t="s">
        <v>530</v>
      </c>
      <c r="T29" s="65" t="s">
        <v>531</v>
      </c>
      <c r="U29" s="8"/>
      <c r="V29" s="68" t="s">
        <v>418</v>
      </c>
      <c r="W29" s="40"/>
      <c r="X29" s="40"/>
      <c r="Y29" s="40"/>
      <c r="Z29" s="40"/>
      <c r="AA29" s="40"/>
      <c r="AB29" s="40"/>
      <c r="AC29" s="40"/>
      <c r="AD29" s="40"/>
      <c r="AE29" s="40"/>
      <c r="AF29" s="40"/>
      <c r="AG29" s="40"/>
    </row>
    <row r="30" spans="1:33" ht="55" customHeight="1">
      <c r="A30" s="64">
        <v>26</v>
      </c>
      <c r="B30" s="65" t="s">
        <v>410</v>
      </c>
      <c r="C30" s="65" t="s">
        <v>532</v>
      </c>
      <c r="D30" s="65" t="s">
        <v>339</v>
      </c>
      <c r="E30" s="65" t="s">
        <v>329</v>
      </c>
      <c r="F30" s="66">
        <v>250</v>
      </c>
      <c r="G30" s="66">
        <f>(H30/5*'Scoring Model'!$B$5+I30/5*'Scoring Model'!$B$6+J30/5*'Scoring Model'!$B$7+K30/5*'Scoring Model'!$B$8+L30/5*'Scoring Model'!$B$9+M30/5*'Scoring Model'!$B$10+N30/5*'Scoring Model'!$B$11)*100</f>
        <v>48</v>
      </c>
      <c r="H30" s="67">
        <v>3</v>
      </c>
      <c r="I30" s="67">
        <v>2</v>
      </c>
      <c r="J30" s="67">
        <v>2</v>
      </c>
      <c r="K30" s="67">
        <v>3</v>
      </c>
      <c r="L30" s="67">
        <v>1</v>
      </c>
      <c r="M30" s="67">
        <v>3</v>
      </c>
      <c r="N30" s="67">
        <v>2</v>
      </c>
      <c r="O30" s="65" t="s">
        <v>533</v>
      </c>
      <c r="P30" s="65" t="s">
        <v>534</v>
      </c>
      <c r="Q30" s="65" t="s">
        <v>535</v>
      </c>
      <c r="R30" s="65" t="s">
        <v>536</v>
      </c>
      <c r="S30" s="65" t="s">
        <v>537</v>
      </c>
      <c r="T30" s="65" t="s">
        <v>538</v>
      </c>
      <c r="U30" s="65" t="s">
        <v>539</v>
      </c>
      <c r="V30" s="68" t="s">
        <v>540</v>
      </c>
      <c r="W30" s="40"/>
      <c r="X30" s="40"/>
      <c r="Y30" s="40"/>
      <c r="Z30" s="40"/>
      <c r="AA30" s="40"/>
      <c r="AB30" s="40"/>
      <c r="AC30" s="40"/>
      <c r="AD30" s="40"/>
      <c r="AE30" s="40"/>
      <c r="AF30" s="40"/>
      <c r="AG30" s="40"/>
    </row>
    <row r="31" spans="1:33" ht="55" customHeight="1">
      <c r="A31" s="64">
        <v>27</v>
      </c>
      <c r="B31" s="65" t="s">
        <v>410</v>
      </c>
      <c r="C31" s="65" t="s">
        <v>541</v>
      </c>
      <c r="D31" s="65" t="s">
        <v>350</v>
      </c>
      <c r="E31" s="65" t="s">
        <v>329</v>
      </c>
      <c r="F31" s="19"/>
      <c r="G31" s="66">
        <f>(H31/5*'Scoring Model'!$B$5+I31/5*'Scoring Model'!$B$6+J31/5*'Scoring Model'!$B$7+K31/5*'Scoring Model'!$B$8+L31/5*'Scoring Model'!$B$9+M31/5*'Scoring Model'!$B$10+N31/5*'Scoring Model'!$B$11)*100</f>
        <v>46.000000000000007</v>
      </c>
      <c r="H31" s="67">
        <v>1</v>
      </c>
      <c r="I31" s="67">
        <v>2</v>
      </c>
      <c r="J31" s="67">
        <v>1</v>
      </c>
      <c r="K31" s="67">
        <v>3</v>
      </c>
      <c r="L31" s="67">
        <v>2</v>
      </c>
      <c r="M31" s="67">
        <v>5</v>
      </c>
      <c r="N31" s="67">
        <v>3</v>
      </c>
      <c r="O31" s="65" t="s">
        <v>527</v>
      </c>
      <c r="P31" s="65" t="s">
        <v>414</v>
      </c>
      <c r="Q31" s="65" t="s">
        <v>414</v>
      </c>
      <c r="R31" s="65" t="s">
        <v>542</v>
      </c>
      <c r="S31" s="65" t="s">
        <v>543</v>
      </c>
      <c r="T31" s="65" t="s">
        <v>544</v>
      </c>
      <c r="U31" s="8"/>
      <c r="V31" s="68" t="s">
        <v>418</v>
      </c>
      <c r="W31" s="40"/>
      <c r="X31" s="40"/>
      <c r="Y31" s="40"/>
      <c r="Z31" s="40"/>
      <c r="AA31" s="40"/>
      <c r="AB31" s="40"/>
      <c r="AC31" s="40"/>
      <c r="AD31" s="40"/>
      <c r="AE31" s="40"/>
      <c r="AF31" s="40"/>
      <c r="AG31" s="40"/>
    </row>
    <row r="32" spans="1:33" ht="55" customHeight="1">
      <c r="A32" s="69">
        <v>28</v>
      </c>
      <c r="B32" s="70" t="s">
        <v>410</v>
      </c>
      <c r="C32" s="70" t="s">
        <v>545</v>
      </c>
      <c r="D32" s="70" t="s">
        <v>339</v>
      </c>
      <c r="E32" s="70" t="s">
        <v>329</v>
      </c>
      <c r="F32" s="71">
        <v>18</v>
      </c>
      <c r="G32" s="71">
        <f>(H32/5*'Scoring Model'!$B$5+I32/5*'Scoring Model'!$B$6+J32/5*'Scoring Model'!$B$7+K32/5*'Scoring Model'!$B$8+L32/5*'Scoring Model'!$B$9+M32/5*'Scoring Model'!$B$10+N32/5*'Scoring Model'!$B$11)*100</f>
        <v>46.000000000000007</v>
      </c>
      <c r="H32" s="72">
        <v>2</v>
      </c>
      <c r="I32" s="72">
        <v>2</v>
      </c>
      <c r="J32" s="72">
        <v>2</v>
      </c>
      <c r="K32" s="72">
        <v>3</v>
      </c>
      <c r="L32" s="72">
        <v>2</v>
      </c>
      <c r="M32" s="72">
        <v>3</v>
      </c>
      <c r="N32" s="72">
        <v>2</v>
      </c>
      <c r="O32" s="70" t="s">
        <v>527</v>
      </c>
      <c r="P32" s="70" t="s">
        <v>546</v>
      </c>
      <c r="Q32" s="70" t="s">
        <v>414</v>
      </c>
      <c r="R32" s="70" t="s">
        <v>547</v>
      </c>
      <c r="S32" s="70" t="s">
        <v>548</v>
      </c>
      <c r="T32" s="70" t="s">
        <v>549</v>
      </c>
      <c r="U32" s="11"/>
      <c r="V32" s="73" t="s">
        <v>418</v>
      </c>
      <c r="W32" s="40"/>
      <c r="X32" s="40"/>
      <c r="Y32" s="40"/>
      <c r="Z32" s="40"/>
      <c r="AA32" s="40"/>
      <c r="AB32" s="40"/>
      <c r="AC32" s="40"/>
      <c r="AD32" s="40"/>
      <c r="AE32" s="40"/>
      <c r="AF32" s="40"/>
      <c r="AG32" s="40"/>
    </row>
    <row r="33" spans="1:38" ht="55" customHeight="1">
      <c r="A33" s="74">
        <v>29</v>
      </c>
      <c r="B33" s="74" t="s">
        <v>410</v>
      </c>
      <c r="C33" s="74" t="s">
        <v>550</v>
      </c>
      <c r="D33" s="74" t="s">
        <v>339</v>
      </c>
      <c r="E33" s="74" t="s">
        <v>329</v>
      </c>
      <c r="F33" s="74">
        <v>35</v>
      </c>
      <c r="G33" s="74">
        <f>(H33/5*'Scoring Model'!$B$5+I33/5*'Scoring Model'!$B$6+J33/5*'Scoring Model'!$B$7+K33/5*'Scoring Model'!$B$8+L33/5*'Scoring Model'!$B$9+M33/5*'Scoring Model'!$B$10+N33/5*'Scoring Model'!$B$11)*100</f>
        <v>45.000000000000007</v>
      </c>
      <c r="H33" s="74">
        <v>1</v>
      </c>
      <c r="I33" s="74">
        <v>2</v>
      </c>
      <c r="J33" s="74">
        <v>2</v>
      </c>
      <c r="K33" s="74">
        <v>3</v>
      </c>
      <c r="L33" s="74">
        <v>2</v>
      </c>
      <c r="M33" s="74">
        <v>4</v>
      </c>
      <c r="N33" s="74">
        <v>2</v>
      </c>
      <c r="O33" s="74" t="s">
        <v>527</v>
      </c>
      <c r="P33" s="74" t="s">
        <v>551</v>
      </c>
      <c r="Q33" s="74" t="s">
        <v>414</v>
      </c>
      <c r="R33" s="74" t="s">
        <v>552</v>
      </c>
      <c r="S33" s="74" t="s">
        <v>553</v>
      </c>
      <c r="T33" s="74" t="s">
        <v>486</v>
      </c>
      <c r="U33" s="40"/>
      <c r="V33" s="74" t="s">
        <v>418</v>
      </c>
      <c r="W33" s="40"/>
      <c r="X33" s="40"/>
      <c r="Y33" s="40"/>
      <c r="Z33" s="40"/>
      <c r="AA33" s="40"/>
      <c r="AB33" s="40"/>
      <c r="AC33" s="40"/>
      <c r="AD33" s="40"/>
      <c r="AE33" s="40"/>
      <c r="AF33" s="40"/>
      <c r="AG33" s="40"/>
    </row>
    <row r="34" spans="1:38" ht="55" customHeight="1">
      <c r="A34" s="74">
        <v>30</v>
      </c>
      <c r="B34" s="74" t="s">
        <v>410</v>
      </c>
      <c r="C34" s="74" t="s">
        <v>554</v>
      </c>
      <c r="D34" s="74" t="s">
        <v>350</v>
      </c>
      <c r="E34" s="74" t="s">
        <v>329</v>
      </c>
      <c r="F34" s="40"/>
      <c r="G34" s="74">
        <f>(H34/5*'Scoring Model'!$B$5+I34/5*'Scoring Model'!$B$6+J34/5*'Scoring Model'!$B$7+K34/5*'Scoring Model'!$B$8+L34/5*'Scoring Model'!$B$9+M34/5*'Scoring Model'!$B$10+N34/5*'Scoring Model'!$B$11)*100</f>
        <v>43.000000000000007</v>
      </c>
      <c r="H34" s="74">
        <v>1</v>
      </c>
      <c r="I34" s="74">
        <v>2</v>
      </c>
      <c r="J34" s="74">
        <v>1</v>
      </c>
      <c r="K34" s="74">
        <v>3</v>
      </c>
      <c r="L34" s="74">
        <v>2</v>
      </c>
      <c r="M34" s="74">
        <v>4</v>
      </c>
      <c r="N34" s="74">
        <v>3</v>
      </c>
      <c r="O34" s="74" t="s">
        <v>555</v>
      </c>
      <c r="P34" s="74" t="s">
        <v>556</v>
      </c>
      <c r="Q34" s="74" t="s">
        <v>414</v>
      </c>
      <c r="R34" s="74" t="s">
        <v>557</v>
      </c>
      <c r="S34" s="74" t="s">
        <v>558</v>
      </c>
      <c r="T34" s="74" t="s">
        <v>559</v>
      </c>
      <c r="U34" s="40"/>
      <c r="V34" s="74" t="s">
        <v>418</v>
      </c>
      <c r="W34" s="40"/>
      <c r="X34" s="40"/>
      <c r="Y34" s="40"/>
      <c r="Z34" s="40"/>
      <c r="AA34" s="40"/>
      <c r="AB34" s="40"/>
      <c r="AC34" s="40"/>
      <c r="AD34" s="40"/>
      <c r="AE34" s="40"/>
      <c r="AF34" s="40"/>
      <c r="AG34" s="40"/>
    </row>
    <row r="35" spans="1:38" ht="42" customHeight="1">
      <c r="A35" s="75">
        <v>31</v>
      </c>
      <c r="B35" s="75" t="s">
        <v>560</v>
      </c>
      <c r="C35" s="75" t="s">
        <v>63</v>
      </c>
      <c r="D35" s="50"/>
      <c r="E35" s="50"/>
      <c r="F35" s="75">
        <v>1323</v>
      </c>
      <c r="G35" s="50"/>
      <c r="H35" s="50"/>
      <c r="I35" s="50"/>
      <c r="J35" s="50"/>
      <c r="K35" s="50"/>
      <c r="L35" s="50"/>
      <c r="M35" s="50"/>
      <c r="N35" s="50"/>
      <c r="O35" s="75" t="s">
        <v>561</v>
      </c>
      <c r="P35" s="75" t="s">
        <v>562</v>
      </c>
      <c r="Q35" s="75" t="s">
        <v>563</v>
      </c>
      <c r="R35" s="75" t="s">
        <v>564</v>
      </c>
      <c r="S35" s="75" t="s">
        <v>69</v>
      </c>
      <c r="T35" s="75" t="s">
        <v>67</v>
      </c>
      <c r="U35" s="50"/>
      <c r="V35" s="75" t="s">
        <v>565</v>
      </c>
      <c r="W35" s="75" t="s">
        <v>566</v>
      </c>
      <c r="X35" s="75" t="s">
        <v>567</v>
      </c>
      <c r="Y35" s="75" t="s">
        <v>37</v>
      </c>
      <c r="Z35" s="75" t="s">
        <v>64</v>
      </c>
      <c r="AA35" s="50"/>
      <c r="AB35" s="50"/>
      <c r="AC35" s="50"/>
      <c r="AD35" s="50"/>
      <c r="AE35" s="50"/>
      <c r="AF35" s="50"/>
      <c r="AG35" s="75" t="s">
        <v>568</v>
      </c>
      <c r="AH35" s="75" t="s">
        <v>72</v>
      </c>
      <c r="AI35" s="75" t="s">
        <v>73</v>
      </c>
      <c r="AJ35" s="75" t="s">
        <v>74</v>
      </c>
      <c r="AK35" s="75" t="s">
        <v>75</v>
      </c>
      <c r="AL35" s="75" t="s">
        <v>76</v>
      </c>
    </row>
    <row r="36" spans="1:38" ht="42" customHeight="1">
      <c r="A36" s="75">
        <v>32</v>
      </c>
      <c r="B36" s="75" t="s">
        <v>560</v>
      </c>
      <c r="C36" s="75" t="s">
        <v>142</v>
      </c>
      <c r="D36" s="50"/>
      <c r="E36" s="50"/>
      <c r="F36" s="75">
        <v>193</v>
      </c>
      <c r="G36" s="50"/>
      <c r="H36" s="50"/>
      <c r="I36" s="50"/>
      <c r="J36" s="50"/>
      <c r="K36" s="50"/>
      <c r="L36" s="50"/>
      <c r="M36" s="50"/>
      <c r="N36" s="50"/>
      <c r="O36" s="75" t="s">
        <v>569</v>
      </c>
      <c r="P36" s="75" t="s">
        <v>562</v>
      </c>
      <c r="Q36" s="75" t="s">
        <v>563</v>
      </c>
      <c r="R36" s="75" t="s">
        <v>564</v>
      </c>
      <c r="S36" s="75" t="s">
        <v>69</v>
      </c>
      <c r="T36" s="50"/>
      <c r="U36" s="50"/>
      <c r="V36" s="75" t="s">
        <v>565</v>
      </c>
      <c r="W36" s="75" t="s">
        <v>566</v>
      </c>
      <c r="X36" s="75" t="s">
        <v>567</v>
      </c>
      <c r="Y36" s="75" t="s">
        <v>130</v>
      </c>
      <c r="Z36" s="75" t="s">
        <v>64</v>
      </c>
      <c r="AA36" s="50"/>
      <c r="AB36" s="50"/>
      <c r="AC36" s="50"/>
      <c r="AD36" s="50"/>
      <c r="AE36" s="50"/>
      <c r="AF36" s="50"/>
      <c r="AG36" s="75" t="s">
        <v>570</v>
      </c>
      <c r="AH36" s="75" t="s">
        <v>72</v>
      </c>
      <c r="AI36" s="75" t="s">
        <v>140</v>
      </c>
      <c r="AJ36" s="75" t="s">
        <v>141</v>
      </c>
      <c r="AK36" s="75" t="s">
        <v>75</v>
      </c>
      <c r="AL36" s="75" t="s">
        <v>76</v>
      </c>
    </row>
    <row r="37" spans="1:38" ht="42" customHeight="1">
      <c r="A37" s="75">
        <v>33</v>
      </c>
      <c r="B37" s="75" t="s">
        <v>560</v>
      </c>
      <c r="C37" s="75" t="s">
        <v>261</v>
      </c>
      <c r="D37" s="50"/>
      <c r="E37" s="50"/>
      <c r="F37" s="50"/>
      <c r="G37" s="50"/>
      <c r="H37" s="50"/>
      <c r="I37" s="50"/>
      <c r="J37" s="50"/>
      <c r="K37" s="50"/>
      <c r="L37" s="50"/>
      <c r="M37" s="50"/>
      <c r="N37" s="50"/>
      <c r="O37" s="75" t="s">
        <v>571</v>
      </c>
      <c r="P37" s="75" t="s">
        <v>562</v>
      </c>
      <c r="Q37" s="75" t="s">
        <v>563</v>
      </c>
      <c r="R37" s="75" t="s">
        <v>572</v>
      </c>
      <c r="S37" s="75" t="s">
        <v>230</v>
      </c>
      <c r="T37" s="50"/>
      <c r="U37" s="50"/>
      <c r="V37" s="75" t="s">
        <v>573</v>
      </c>
      <c r="W37" s="75" t="s">
        <v>566</v>
      </c>
      <c r="X37" s="75" t="s">
        <v>567</v>
      </c>
      <c r="Y37" s="75" t="s">
        <v>130</v>
      </c>
      <c r="Z37" s="75" t="s">
        <v>64</v>
      </c>
      <c r="AA37" s="50"/>
      <c r="AB37" s="50"/>
      <c r="AC37" s="50"/>
      <c r="AD37" s="50"/>
      <c r="AE37" s="50"/>
      <c r="AF37" s="50"/>
      <c r="AG37" s="75" t="s">
        <v>568</v>
      </c>
      <c r="AH37" s="75" t="s">
        <v>135</v>
      </c>
      <c r="AI37" s="75" t="s">
        <v>125</v>
      </c>
      <c r="AJ37" s="75" t="s">
        <v>126</v>
      </c>
      <c r="AK37" s="75" t="s">
        <v>75</v>
      </c>
      <c r="AL37" s="75" t="s">
        <v>76</v>
      </c>
    </row>
    <row r="38" spans="1:38" ht="42" customHeight="1">
      <c r="A38" s="75">
        <v>34</v>
      </c>
      <c r="B38" s="75" t="s">
        <v>560</v>
      </c>
      <c r="C38" s="75" t="s">
        <v>77</v>
      </c>
      <c r="D38" s="50"/>
      <c r="E38" s="50"/>
      <c r="F38" s="75">
        <v>997</v>
      </c>
      <c r="G38" s="50"/>
      <c r="H38" s="50"/>
      <c r="I38" s="50"/>
      <c r="J38" s="50"/>
      <c r="K38" s="50"/>
      <c r="L38" s="50"/>
      <c r="M38" s="50"/>
      <c r="N38" s="50"/>
      <c r="O38" s="75" t="s">
        <v>574</v>
      </c>
      <c r="P38" s="75" t="s">
        <v>562</v>
      </c>
      <c r="Q38" s="75" t="s">
        <v>563</v>
      </c>
      <c r="R38" s="75" t="s">
        <v>564</v>
      </c>
      <c r="S38" s="75" t="s">
        <v>69</v>
      </c>
      <c r="T38" s="75" t="s">
        <v>80</v>
      </c>
      <c r="U38" s="50"/>
      <c r="V38" s="75" t="s">
        <v>565</v>
      </c>
      <c r="W38" s="75" t="s">
        <v>566</v>
      </c>
      <c r="X38" s="75" t="s">
        <v>567</v>
      </c>
      <c r="Y38" s="75" t="s">
        <v>33</v>
      </c>
      <c r="Z38" s="75" t="s">
        <v>64</v>
      </c>
      <c r="AA38" s="75" t="s">
        <v>575</v>
      </c>
      <c r="AB38" s="50"/>
      <c r="AC38" s="50"/>
      <c r="AD38" s="50"/>
      <c r="AE38" s="50"/>
      <c r="AF38" s="50"/>
      <c r="AG38" s="75" t="s">
        <v>568</v>
      </c>
      <c r="AH38" s="75" t="s">
        <v>72</v>
      </c>
      <c r="AI38" s="75" t="s">
        <v>73</v>
      </c>
      <c r="AJ38" s="75" t="s">
        <v>74</v>
      </c>
      <c r="AK38" s="75" t="s">
        <v>75</v>
      </c>
      <c r="AL38" s="75" t="s">
        <v>76</v>
      </c>
    </row>
    <row r="39" spans="1:38" ht="42" customHeight="1">
      <c r="A39" s="75">
        <v>35</v>
      </c>
      <c r="B39" s="75" t="s">
        <v>560</v>
      </c>
      <c r="C39" s="75" t="s">
        <v>129</v>
      </c>
      <c r="D39" s="50"/>
      <c r="E39" s="50"/>
      <c r="F39" s="75">
        <v>800</v>
      </c>
      <c r="G39" s="50"/>
      <c r="H39" s="50"/>
      <c r="I39" s="50"/>
      <c r="J39" s="50"/>
      <c r="K39" s="50"/>
      <c r="L39" s="50"/>
      <c r="M39" s="50"/>
      <c r="N39" s="50"/>
      <c r="O39" s="75" t="s">
        <v>576</v>
      </c>
      <c r="P39" s="75" t="s">
        <v>562</v>
      </c>
      <c r="Q39" s="75" t="s">
        <v>563</v>
      </c>
      <c r="R39" s="75" t="s">
        <v>564</v>
      </c>
      <c r="S39" s="75" t="s">
        <v>69</v>
      </c>
      <c r="T39" s="50"/>
      <c r="U39" s="50"/>
      <c r="V39" s="75" t="s">
        <v>573</v>
      </c>
      <c r="W39" s="75" t="s">
        <v>566</v>
      </c>
      <c r="X39" s="75" t="s">
        <v>567</v>
      </c>
      <c r="Y39" s="75" t="s">
        <v>130</v>
      </c>
      <c r="Z39" s="75" t="s">
        <v>64</v>
      </c>
      <c r="AA39" s="50"/>
      <c r="AB39" s="50"/>
      <c r="AC39" s="50"/>
      <c r="AD39" s="50"/>
      <c r="AE39" s="50"/>
      <c r="AF39" s="50"/>
      <c r="AG39" s="75" t="s">
        <v>577</v>
      </c>
      <c r="AH39" s="75" t="s">
        <v>135</v>
      </c>
      <c r="AI39" s="75" t="s">
        <v>136</v>
      </c>
      <c r="AJ39" s="75" t="s">
        <v>74</v>
      </c>
      <c r="AK39" s="75" t="s">
        <v>75</v>
      </c>
      <c r="AL39" s="75" t="s">
        <v>76</v>
      </c>
    </row>
    <row r="40" spans="1:38" ht="42" customHeight="1">
      <c r="A40" s="75">
        <v>36</v>
      </c>
      <c r="B40" s="75" t="s">
        <v>560</v>
      </c>
      <c r="C40" s="75" t="s">
        <v>145</v>
      </c>
      <c r="D40" s="50"/>
      <c r="E40" s="50"/>
      <c r="F40" s="75">
        <v>720</v>
      </c>
      <c r="G40" s="50"/>
      <c r="H40" s="50"/>
      <c r="I40" s="50"/>
      <c r="J40" s="50"/>
      <c r="K40" s="50"/>
      <c r="L40" s="50"/>
      <c r="M40" s="50"/>
      <c r="N40" s="50"/>
      <c r="O40" s="75" t="s">
        <v>578</v>
      </c>
      <c r="P40" s="75" t="s">
        <v>562</v>
      </c>
      <c r="Q40" s="75" t="s">
        <v>563</v>
      </c>
      <c r="R40" s="75" t="s">
        <v>564</v>
      </c>
      <c r="S40" s="75" t="s">
        <v>69</v>
      </c>
      <c r="T40" s="50"/>
      <c r="U40" s="50"/>
      <c r="V40" s="75" t="s">
        <v>565</v>
      </c>
      <c r="W40" s="75" t="s">
        <v>566</v>
      </c>
      <c r="X40" s="75" t="s">
        <v>567</v>
      </c>
      <c r="Y40" s="75" t="s">
        <v>146</v>
      </c>
      <c r="Z40" s="75" t="s">
        <v>64</v>
      </c>
      <c r="AA40" s="50"/>
      <c r="AB40" s="50"/>
      <c r="AC40" s="50"/>
      <c r="AD40" s="50"/>
      <c r="AE40" s="50"/>
      <c r="AF40" s="50"/>
      <c r="AG40" s="75" t="s">
        <v>579</v>
      </c>
      <c r="AH40" s="75" t="s">
        <v>72</v>
      </c>
      <c r="AI40" s="75" t="s">
        <v>140</v>
      </c>
      <c r="AJ40" s="75" t="s">
        <v>141</v>
      </c>
      <c r="AK40" s="75" t="s">
        <v>75</v>
      </c>
      <c r="AL40" s="75" t="s">
        <v>76</v>
      </c>
    </row>
    <row r="41" spans="1:38" ht="42" customHeight="1">
      <c r="A41" s="75">
        <v>37</v>
      </c>
      <c r="B41" s="75" t="s">
        <v>560</v>
      </c>
      <c r="C41" s="75" t="s">
        <v>88</v>
      </c>
      <c r="D41" s="50"/>
      <c r="E41" s="50"/>
      <c r="F41" s="75">
        <v>596</v>
      </c>
      <c r="G41" s="50"/>
      <c r="H41" s="50"/>
      <c r="I41" s="50"/>
      <c r="J41" s="50"/>
      <c r="K41" s="50"/>
      <c r="L41" s="50"/>
      <c r="M41" s="50"/>
      <c r="N41" s="50"/>
      <c r="O41" s="75" t="s">
        <v>580</v>
      </c>
      <c r="P41" s="75" t="s">
        <v>562</v>
      </c>
      <c r="Q41" s="75" t="s">
        <v>563</v>
      </c>
      <c r="R41" s="75" t="s">
        <v>564</v>
      </c>
      <c r="S41" s="75" t="s">
        <v>69</v>
      </c>
      <c r="T41" s="75" t="s">
        <v>90</v>
      </c>
      <c r="U41" s="50"/>
      <c r="V41" s="75" t="s">
        <v>565</v>
      </c>
      <c r="W41" s="75" t="s">
        <v>566</v>
      </c>
      <c r="X41" s="75" t="s">
        <v>567</v>
      </c>
      <c r="Y41" s="75" t="s">
        <v>35</v>
      </c>
      <c r="Z41" s="75" t="s">
        <v>64</v>
      </c>
      <c r="AA41" s="50"/>
      <c r="AB41" s="50"/>
      <c r="AC41" s="50"/>
      <c r="AD41" s="50"/>
      <c r="AE41" s="50"/>
      <c r="AF41" s="50"/>
      <c r="AG41" s="75" t="s">
        <v>568</v>
      </c>
      <c r="AH41" s="75" t="s">
        <v>72</v>
      </c>
      <c r="AI41" s="75" t="s">
        <v>73</v>
      </c>
      <c r="AJ41" s="75" t="s">
        <v>74</v>
      </c>
      <c r="AK41" s="75" t="s">
        <v>75</v>
      </c>
      <c r="AL41" s="75" t="s">
        <v>76</v>
      </c>
    </row>
    <row r="42" spans="1:38" ht="42" customHeight="1">
      <c r="A42" s="75">
        <v>38</v>
      </c>
      <c r="B42" s="75" t="s">
        <v>560</v>
      </c>
      <c r="C42" s="75" t="s">
        <v>119</v>
      </c>
      <c r="D42" s="50"/>
      <c r="E42" s="50"/>
      <c r="F42" s="50"/>
      <c r="G42" s="50"/>
      <c r="H42" s="50"/>
      <c r="I42" s="50"/>
      <c r="J42" s="50"/>
      <c r="K42" s="50"/>
      <c r="L42" s="50"/>
      <c r="M42" s="50"/>
      <c r="N42" s="50"/>
      <c r="O42" s="75" t="s">
        <v>581</v>
      </c>
      <c r="P42" s="75" t="s">
        <v>562</v>
      </c>
      <c r="Q42" s="75" t="s">
        <v>563</v>
      </c>
      <c r="R42" s="75" t="s">
        <v>564</v>
      </c>
      <c r="S42" s="75" t="s">
        <v>69</v>
      </c>
      <c r="T42" s="50"/>
      <c r="U42" s="50"/>
      <c r="V42" s="75" t="s">
        <v>573</v>
      </c>
      <c r="W42" s="75" t="s">
        <v>566</v>
      </c>
      <c r="X42" s="75" t="s">
        <v>567</v>
      </c>
      <c r="Y42" s="75" t="s">
        <v>120</v>
      </c>
      <c r="Z42" s="75" t="s">
        <v>64</v>
      </c>
      <c r="AA42" s="50"/>
      <c r="AB42" s="50"/>
      <c r="AC42" s="50"/>
      <c r="AD42" s="50"/>
      <c r="AE42" s="50"/>
      <c r="AF42" s="50"/>
      <c r="AG42" s="75" t="s">
        <v>568</v>
      </c>
      <c r="AH42" s="75" t="s">
        <v>124</v>
      </c>
      <c r="AI42" s="75" t="s">
        <v>125</v>
      </c>
      <c r="AJ42" s="75" t="s">
        <v>126</v>
      </c>
      <c r="AK42" s="75" t="s">
        <v>75</v>
      </c>
      <c r="AL42" s="75" t="s">
        <v>76</v>
      </c>
    </row>
    <row r="43" spans="1:38" ht="42" customHeight="1">
      <c r="A43" s="75">
        <v>39</v>
      </c>
      <c r="B43" s="75" t="s">
        <v>560</v>
      </c>
      <c r="C43" s="75" t="s">
        <v>114</v>
      </c>
      <c r="D43" s="50"/>
      <c r="E43" s="50"/>
      <c r="F43" s="75">
        <v>148</v>
      </c>
      <c r="G43" s="50"/>
      <c r="H43" s="50"/>
      <c r="I43" s="50"/>
      <c r="J43" s="50"/>
      <c r="K43" s="50"/>
      <c r="L43" s="50"/>
      <c r="M43" s="50"/>
      <c r="N43" s="50"/>
      <c r="O43" s="75" t="s">
        <v>582</v>
      </c>
      <c r="P43" s="75" t="s">
        <v>562</v>
      </c>
      <c r="Q43" s="75" t="s">
        <v>563</v>
      </c>
      <c r="R43" s="75" t="s">
        <v>564</v>
      </c>
      <c r="S43" s="75" t="s">
        <v>69</v>
      </c>
      <c r="T43" s="50"/>
      <c r="U43" s="50"/>
      <c r="V43" s="75" t="s">
        <v>565</v>
      </c>
      <c r="W43" s="75" t="s">
        <v>566</v>
      </c>
      <c r="X43" s="75" t="s">
        <v>567</v>
      </c>
      <c r="Y43" s="75" t="s">
        <v>40</v>
      </c>
      <c r="Z43" s="75" t="s">
        <v>64</v>
      </c>
      <c r="AA43" s="50"/>
      <c r="AB43" s="50"/>
      <c r="AC43" s="50"/>
      <c r="AD43" s="50"/>
      <c r="AE43" s="50"/>
      <c r="AF43" s="50"/>
      <c r="AG43" s="75" t="s">
        <v>568</v>
      </c>
      <c r="AH43" s="75" t="s">
        <v>72</v>
      </c>
      <c r="AI43" s="75" t="s">
        <v>73</v>
      </c>
      <c r="AJ43" s="75" t="s">
        <v>74</v>
      </c>
      <c r="AK43" s="75" t="s">
        <v>75</v>
      </c>
      <c r="AL43" s="75" t="s">
        <v>76</v>
      </c>
    </row>
    <row r="44" spans="1:38" ht="42" customHeight="1">
      <c r="A44" s="75">
        <v>40</v>
      </c>
      <c r="B44" s="75" t="s">
        <v>560</v>
      </c>
      <c r="C44" s="75" t="s">
        <v>83</v>
      </c>
      <c r="D44" s="50"/>
      <c r="E44" s="50"/>
      <c r="F44" s="75">
        <v>560</v>
      </c>
      <c r="G44" s="50"/>
      <c r="H44" s="50"/>
      <c r="I44" s="50"/>
      <c r="J44" s="50"/>
      <c r="K44" s="50"/>
      <c r="L44" s="50"/>
      <c r="M44" s="50"/>
      <c r="N44" s="50"/>
      <c r="O44" s="75" t="s">
        <v>583</v>
      </c>
      <c r="P44" s="75" t="s">
        <v>562</v>
      </c>
      <c r="Q44" s="75" t="s">
        <v>563</v>
      </c>
      <c r="R44" s="75" t="s">
        <v>564</v>
      </c>
      <c r="S44" s="75" t="s">
        <v>69</v>
      </c>
      <c r="T44" s="75" t="s">
        <v>86</v>
      </c>
      <c r="U44" s="50"/>
      <c r="V44" s="75" t="s">
        <v>565</v>
      </c>
      <c r="W44" s="75" t="s">
        <v>566</v>
      </c>
      <c r="X44" s="75" t="s">
        <v>567</v>
      </c>
      <c r="Y44" s="75" t="s">
        <v>36</v>
      </c>
      <c r="Z44" s="75" t="s">
        <v>64</v>
      </c>
      <c r="AA44" s="50"/>
      <c r="AB44" s="50"/>
      <c r="AC44" s="50"/>
      <c r="AD44" s="50"/>
      <c r="AE44" s="50"/>
      <c r="AF44" s="50"/>
      <c r="AG44" s="75" t="s">
        <v>568</v>
      </c>
      <c r="AH44" s="75" t="s">
        <v>72</v>
      </c>
      <c r="AI44" s="75" t="s">
        <v>73</v>
      </c>
      <c r="AJ44" s="75" t="s">
        <v>74</v>
      </c>
      <c r="AK44" s="75" t="s">
        <v>75</v>
      </c>
      <c r="AL44" s="75" t="s">
        <v>76</v>
      </c>
    </row>
    <row r="45" spans="1:38" ht="42" customHeight="1">
      <c r="A45" s="75">
        <v>41</v>
      </c>
      <c r="B45" s="75" t="s">
        <v>560</v>
      </c>
      <c r="C45" s="75" t="s">
        <v>193</v>
      </c>
      <c r="D45" s="50"/>
      <c r="E45" s="50"/>
      <c r="F45" s="75">
        <v>500</v>
      </c>
      <c r="G45" s="50"/>
      <c r="H45" s="50"/>
      <c r="I45" s="50"/>
      <c r="J45" s="50"/>
      <c r="K45" s="50"/>
      <c r="L45" s="50"/>
      <c r="M45" s="50"/>
      <c r="N45" s="50"/>
      <c r="O45" s="75" t="s">
        <v>571</v>
      </c>
      <c r="P45" s="75" t="s">
        <v>562</v>
      </c>
      <c r="Q45" s="75" t="s">
        <v>563</v>
      </c>
      <c r="R45" s="75" t="s">
        <v>584</v>
      </c>
      <c r="S45" s="75" t="s">
        <v>155</v>
      </c>
      <c r="T45" s="50"/>
      <c r="U45" s="50"/>
      <c r="V45" s="75" t="s">
        <v>573</v>
      </c>
      <c r="W45" s="75" t="s">
        <v>566</v>
      </c>
      <c r="X45" s="75" t="s">
        <v>567</v>
      </c>
      <c r="Y45" s="75" t="s">
        <v>39</v>
      </c>
      <c r="Z45" s="75" t="s">
        <v>64</v>
      </c>
      <c r="AA45" s="50"/>
      <c r="AB45" s="50"/>
      <c r="AC45" s="50"/>
      <c r="AD45" s="50"/>
      <c r="AE45" s="50"/>
      <c r="AF45" s="50"/>
      <c r="AG45" s="75" t="s">
        <v>585</v>
      </c>
      <c r="AH45" s="75" t="s">
        <v>72</v>
      </c>
      <c r="AI45" s="75" t="s">
        <v>195</v>
      </c>
      <c r="AJ45" s="75" t="s">
        <v>141</v>
      </c>
      <c r="AK45" s="75" t="s">
        <v>75</v>
      </c>
      <c r="AL45" s="75" t="s">
        <v>76</v>
      </c>
    </row>
    <row r="46" spans="1:38" ht="42" customHeight="1">
      <c r="A46" s="75">
        <v>42</v>
      </c>
      <c r="B46" s="75" t="s">
        <v>560</v>
      </c>
      <c r="C46" s="75" t="s">
        <v>127</v>
      </c>
      <c r="D46" s="50"/>
      <c r="E46" s="50"/>
      <c r="F46" s="50"/>
      <c r="G46" s="50"/>
      <c r="H46" s="50"/>
      <c r="I46" s="50"/>
      <c r="J46" s="50"/>
      <c r="K46" s="50"/>
      <c r="L46" s="50"/>
      <c r="M46" s="50"/>
      <c r="N46" s="50"/>
      <c r="O46" s="75" t="s">
        <v>586</v>
      </c>
      <c r="P46" s="75" t="s">
        <v>562</v>
      </c>
      <c r="Q46" s="75" t="s">
        <v>563</v>
      </c>
      <c r="R46" s="75" t="s">
        <v>564</v>
      </c>
      <c r="S46" s="75" t="s">
        <v>69</v>
      </c>
      <c r="T46" s="50"/>
      <c r="U46" s="50"/>
      <c r="V46" s="75" t="s">
        <v>573</v>
      </c>
      <c r="W46" s="75" t="s">
        <v>566</v>
      </c>
      <c r="X46" s="75" t="s">
        <v>567</v>
      </c>
      <c r="Y46" s="75" t="s">
        <v>120</v>
      </c>
      <c r="Z46" s="75" t="s">
        <v>64</v>
      </c>
      <c r="AA46" s="50"/>
      <c r="AB46" s="50"/>
      <c r="AC46" s="50"/>
      <c r="AD46" s="50"/>
      <c r="AE46" s="50"/>
      <c r="AF46" s="50"/>
      <c r="AG46" s="75" t="s">
        <v>568</v>
      </c>
      <c r="AH46" s="75" t="s">
        <v>124</v>
      </c>
      <c r="AI46" s="75" t="s">
        <v>125</v>
      </c>
      <c r="AJ46" s="75" t="s">
        <v>126</v>
      </c>
      <c r="AK46" s="75" t="s">
        <v>75</v>
      </c>
      <c r="AL46" s="75" t="s">
        <v>76</v>
      </c>
    </row>
    <row r="47" spans="1:38" ht="42" customHeight="1">
      <c r="A47" s="75">
        <v>43</v>
      </c>
      <c r="B47" s="75" t="s">
        <v>560</v>
      </c>
      <c r="C47" s="75" t="s">
        <v>148</v>
      </c>
      <c r="D47" s="50"/>
      <c r="E47" s="50"/>
      <c r="F47" s="50"/>
      <c r="G47" s="50"/>
      <c r="H47" s="50"/>
      <c r="I47" s="50"/>
      <c r="J47" s="50"/>
      <c r="K47" s="50"/>
      <c r="L47" s="50"/>
      <c r="M47" s="50"/>
      <c r="N47" s="50"/>
      <c r="O47" s="75" t="s">
        <v>587</v>
      </c>
      <c r="P47" s="75" t="s">
        <v>562</v>
      </c>
      <c r="Q47" s="75" t="s">
        <v>563</v>
      </c>
      <c r="R47" s="75" t="s">
        <v>564</v>
      </c>
      <c r="S47" s="75" t="s">
        <v>69</v>
      </c>
      <c r="T47" s="50"/>
      <c r="U47" s="50"/>
      <c r="V47" s="75" t="s">
        <v>573</v>
      </c>
      <c r="W47" s="75" t="s">
        <v>566</v>
      </c>
      <c r="X47" s="75" t="s">
        <v>567</v>
      </c>
      <c r="Y47" s="75" t="s">
        <v>130</v>
      </c>
      <c r="Z47" s="75" t="s">
        <v>64</v>
      </c>
      <c r="AA47" s="50"/>
      <c r="AB47" s="50"/>
      <c r="AC47" s="50"/>
      <c r="AD47" s="50"/>
      <c r="AE47" s="50"/>
      <c r="AF47" s="50"/>
      <c r="AG47" s="75" t="s">
        <v>568</v>
      </c>
      <c r="AH47" s="75" t="s">
        <v>72</v>
      </c>
      <c r="AI47" s="75" t="s">
        <v>151</v>
      </c>
      <c r="AJ47" s="75" t="s">
        <v>152</v>
      </c>
      <c r="AK47" s="75" t="s">
        <v>75</v>
      </c>
      <c r="AL47" s="75" t="s">
        <v>76</v>
      </c>
    </row>
    <row r="48" spans="1:38" ht="42" customHeight="1">
      <c r="A48" s="75">
        <v>44</v>
      </c>
      <c r="B48" s="75" t="s">
        <v>560</v>
      </c>
      <c r="C48" s="75" t="s">
        <v>223</v>
      </c>
      <c r="D48" s="50"/>
      <c r="E48" s="50"/>
      <c r="F48" s="50"/>
      <c r="G48" s="50"/>
      <c r="H48" s="50"/>
      <c r="I48" s="50"/>
      <c r="J48" s="50"/>
      <c r="K48" s="50"/>
      <c r="L48" s="50"/>
      <c r="M48" s="50"/>
      <c r="N48" s="50"/>
      <c r="O48" s="75" t="s">
        <v>571</v>
      </c>
      <c r="P48" s="75" t="s">
        <v>562</v>
      </c>
      <c r="Q48" s="75" t="s">
        <v>563</v>
      </c>
      <c r="R48" s="75" t="s">
        <v>584</v>
      </c>
      <c r="S48" s="75" t="s">
        <v>155</v>
      </c>
      <c r="T48" s="50"/>
      <c r="U48" s="50"/>
      <c r="V48" s="75" t="s">
        <v>573</v>
      </c>
      <c r="W48" s="75" t="s">
        <v>566</v>
      </c>
      <c r="X48" s="75" t="s">
        <v>567</v>
      </c>
      <c r="Y48" s="75" t="s">
        <v>224</v>
      </c>
      <c r="Z48" s="75" t="s">
        <v>64</v>
      </c>
      <c r="AA48" s="50"/>
      <c r="AB48" s="50"/>
      <c r="AC48" s="50"/>
      <c r="AD48" s="50"/>
      <c r="AE48" s="50"/>
      <c r="AF48" s="50"/>
      <c r="AG48" s="75" t="s">
        <v>568</v>
      </c>
      <c r="AH48" s="75" t="s">
        <v>72</v>
      </c>
      <c r="AI48" s="75" t="s">
        <v>151</v>
      </c>
      <c r="AJ48" s="75" t="s">
        <v>152</v>
      </c>
      <c r="AK48" s="75" t="s">
        <v>75</v>
      </c>
      <c r="AL48" s="75" t="s">
        <v>76</v>
      </c>
    </row>
    <row r="49" spans="1:38" ht="42" customHeight="1">
      <c r="A49" s="75">
        <v>45</v>
      </c>
      <c r="B49" s="75" t="s">
        <v>560</v>
      </c>
      <c r="C49" s="75" t="s">
        <v>236</v>
      </c>
      <c r="D49" s="50"/>
      <c r="E49" s="50"/>
      <c r="F49" s="75">
        <v>16</v>
      </c>
      <c r="G49" s="50"/>
      <c r="H49" s="50"/>
      <c r="I49" s="50"/>
      <c r="J49" s="50"/>
      <c r="K49" s="50"/>
      <c r="L49" s="50"/>
      <c r="M49" s="50"/>
      <c r="N49" s="50"/>
      <c r="O49" s="75" t="s">
        <v>571</v>
      </c>
      <c r="P49" s="75" t="s">
        <v>562</v>
      </c>
      <c r="Q49" s="75" t="s">
        <v>563</v>
      </c>
      <c r="R49" s="75" t="s">
        <v>572</v>
      </c>
      <c r="S49" s="75" t="s">
        <v>230</v>
      </c>
      <c r="T49" s="50"/>
      <c r="U49" s="50"/>
      <c r="V49" s="75" t="s">
        <v>573</v>
      </c>
      <c r="W49" s="75" t="s">
        <v>566</v>
      </c>
      <c r="X49" s="75" t="s">
        <v>567</v>
      </c>
      <c r="Y49" s="75" t="s">
        <v>237</v>
      </c>
      <c r="Z49" s="75" t="s">
        <v>226</v>
      </c>
      <c r="AA49" s="75" t="s">
        <v>575</v>
      </c>
      <c r="AB49" s="75" t="s">
        <v>588</v>
      </c>
      <c r="AC49" s="50"/>
      <c r="AD49" s="50"/>
      <c r="AE49" s="50"/>
      <c r="AF49" s="50"/>
      <c r="AG49" s="75" t="s">
        <v>568</v>
      </c>
      <c r="AH49" s="75" t="s">
        <v>72</v>
      </c>
      <c r="AI49" s="75" t="s">
        <v>73</v>
      </c>
      <c r="AJ49" s="75" t="s">
        <v>74</v>
      </c>
      <c r="AK49" s="75" t="s">
        <v>75</v>
      </c>
      <c r="AL49" s="75" t="s">
        <v>76</v>
      </c>
    </row>
    <row r="50" spans="1:38" ht="42" customHeight="1">
      <c r="A50" s="75">
        <v>46</v>
      </c>
      <c r="B50" s="75" t="s">
        <v>560</v>
      </c>
      <c r="C50" s="75" t="s">
        <v>137</v>
      </c>
      <c r="D50" s="50"/>
      <c r="E50" s="50"/>
      <c r="F50" s="75">
        <v>374</v>
      </c>
      <c r="G50" s="50"/>
      <c r="H50" s="50"/>
      <c r="I50" s="50"/>
      <c r="J50" s="50"/>
      <c r="K50" s="50"/>
      <c r="L50" s="50"/>
      <c r="M50" s="50"/>
      <c r="N50" s="50"/>
      <c r="O50" s="75" t="s">
        <v>589</v>
      </c>
      <c r="P50" s="75" t="s">
        <v>562</v>
      </c>
      <c r="Q50" s="75" t="s">
        <v>563</v>
      </c>
      <c r="R50" s="75" t="s">
        <v>564</v>
      </c>
      <c r="S50" s="75" t="s">
        <v>69</v>
      </c>
      <c r="T50" s="50"/>
      <c r="U50" s="50"/>
      <c r="V50" s="75" t="s">
        <v>565</v>
      </c>
      <c r="W50" s="75" t="s">
        <v>566</v>
      </c>
      <c r="X50" s="75" t="s">
        <v>567</v>
      </c>
      <c r="Y50" s="75" t="s">
        <v>138</v>
      </c>
      <c r="Z50" s="75" t="s">
        <v>64</v>
      </c>
      <c r="AA50" s="50"/>
      <c r="AB50" s="50"/>
      <c r="AC50" s="50"/>
      <c r="AD50" s="50"/>
      <c r="AE50" s="50"/>
      <c r="AF50" s="50"/>
      <c r="AG50" s="75" t="s">
        <v>590</v>
      </c>
      <c r="AH50" s="75" t="s">
        <v>72</v>
      </c>
      <c r="AI50" s="75" t="s">
        <v>140</v>
      </c>
      <c r="AJ50" s="75" t="s">
        <v>141</v>
      </c>
      <c r="AK50" s="75" t="s">
        <v>75</v>
      </c>
      <c r="AL50" s="75" t="s">
        <v>76</v>
      </c>
    </row>
    <row r="51" spans="1:38" ht="42" customHeight="1">
      <c r="A51" s="75">
        <v>47</v>
      </c>
      <c r="B51" s="75" t="s">
        <v>560</v>
      </c>
      <c r="C51" s="75" t="s">
        <v>111</v>
      </c>
      <c r="D51" s="50"/>
      <c r="E51" s="50"/>
      <c r="F51" s="75">
        <v>137</v>
      </c>
      <c r="G51" s="50"/>
      <c r="H51" s="50"/>
      <c r="I51" s="50"/>
      <c r="J51" s="50"/>
      <c r="K51" s="50"/>
      <c r="L51" s="50"/>
      <c r="M51" s="50"/>
      <c r="N51" s="50"/>
      <c r="O51" s="75" t="s">
        <v>591</v>
      </c>
      <c r="P51" s="75" t="s">
        <v>562</v>
      </c>
      <c r="Q51" s="75" t="s">
        <v>563</v>
      </c>
      <c r="R51" s="75" t="s">
        <v>564</v>
      </c>
      <c r="S51" s="75" t="s">
        <v>69</v>
      </c>
      <c r="T51" s="50"/>
      <c r="U51" s="50"/>
      <c r="V51" s="75" t="s">
        <v>565</v>
      </c>
      <c r="W51" s="75" t="s">
        <v>566</v>
      </c>
      <c r="X51" s="75" t="s">
        <v>567</v>
      </c>
      <c r="Y51" s="75" t="s">
        <v>112</v>
      </c>
      <c r="Z51" s="75" t="s">
        <v>64</v>
      </c>
      <c r="AA51" s="50"/>
      <c r="AB51" s="50"/>
      <c r="AC51" s="50"/>
      <c r="AD51" s="50"/>
      <c r="AE51" s="50"/>
      <c r="AF51" s="50"/>
      <c r="AG51" s="75" t="s">
        <v>568</v>
      </c>
      <c r="AH51" s="75" t="s">
        <v>72</v>
      </c>
      <c r="AI51" s="75" t="s">
        <v>73</v>
      </c>
      <c r="AJ51" s="75" t="s">
        <v>74</v>
      </c>
      <c r="AK51" s="75" t="s">
        <v>75</v>
      </c>
      <c r="AL51" s="75" t="s">
        <v>76</v>
      </c>
    </row>
    <row r="52" spans="1:38" ht="42" customHeight="1">
      <c r="A52" s="75">
        <v>48</v>
      </c>
      <c r="B52" s="75" t="s">
        <v>560</v>
      </c>
      <c r="C52" s="75" t="s">
        <v>101</v>
      </c>
      <c r="D52" s="50"/>
      <c r="E52" s="50"/>
      <c r="F52" s="75">
        <v>196</v>
      </c>
      <c r="G52" s="50"/>
      <c r="H52" s="50"/>
      <c r="I52" s="50"/>
      <c r="J52" s="50"/>
      <c r="K52" s="50"/>
      <c r="L52" s="50"/>
      <c r="M52" s="50"/>
      <c r="N52" s="50"/>
      <c r="O52" s="75" t="s">
        <v>592</v>
      </c>
      <c r="P52" s="75" t="s">
        <v>562</v>
      </c>
      <c r="Q52" s="75" t="s">
        <v>563</v>
      </c>
      <c r="R52" s="75" t="s">
        <v>564</v>
      </c>
      <c r="S52" s="75" t="s">
        <v>69</v>
      </c>
      <c r="T52" s="75" t="s">
        <v>105</v>
      </c>
      <c r="U52" s="50"/>
      <c r="V52" s="75" t="s">
        <v>565</v>
      </c>
      <c r="W52" s="75" t="s">
        <v>566</v>
      </c>
      <c r="X52" s="75" t="s">
        <v>567</v>
      </c>
      <c r="Y52" s="75" t="s">
        <v>102</v>
      </c>
      <c r="Z52" s="75" t="s">
        <v>64</v>
      </c>
      <c r="AA52" s="50"/>
      <c r="AB52" s="50"/>
      <c r="AC52" s="50"/>
      <c r="AD52" s="50"/>
      <c r="AE52" s="50"/>
      <c r="AF52" s="50"/>
      <c r="AG52" s="75" t="s">
        <v>568</v>
      </c>
      <c r="AH52" s="75" t="s">
        <v>72</v>
      </c>
      <c r="AI52" s="75" t="s">
        <v>73</v>
      </c>
      <c r="AJ52" s="75" t="s">
        <v>74</v>
      </c>
      <c r="AK52" s="75" t="s">
        <v>75</v>
      </c>
      <c r="AL52" s="75" t="s">
        <v>76</v>
      </c>
    </row>
    <row r="53" spans="1:38" ht="42" customHeight="1">
      <c r="A53" s="75">
        <v>49</v>
      </c>
      <c r="B53" s="75" t="s">
        <v>560</v>
      </c>
      <c r="C53" s="75" t="s">
        <v>96</v>
      </c>
      <c r="D53" s="50"/>
      <c r="E53" s="50"/>
      <c r="F53" s="75">
        <v>212</v>
      </c>
      <c r="G53" s="50"/>
      <c r="H53" s="50"/>
      <c r="I53" s="50"/>
      <c r="J53" s="50"/>
      <c r="K53" s="50"/>
      <c r="L53" s="50"/>
      <c r="M53" s="50"/>
      <c r="N53" s="50"/>
      <c r="O53" s="75" t="s">
        <v>593</v>
      </c>
      <c r="P53" s="75" t="s">
        <v>562</v>
      </c>
      <c r="Q53" s="75" t="s">
        <v>563</v>
      </c>
      <c r="R53" s="75" t="s">
        <v>564</v>
      </c>
      <c r="S53" s="75" t="s">
        <v>69</v>
      </c>
      <c r="T53" s="50"/>
      <c r="U53" s="50"/>
      <c r="V53" s="75" t="s">
        <v>565</v>
      </c>
      <c r="W53" s="75" t="s">
        <v>566</v>
      </c>
      <c r="X53" s="75" t="s">
        <v>567</v>
      </c>
      <c r="Y53" s="75" t="s">
        <v>97</v>
      </c>
      <c r="Z53" s="75" t="s">
        <v>64</v>
      </c>
      <c r="AA53" s="75" t="s">
        <v>575</v>
      </c>
      <c r="AB53" s="50"/>
      <c r="AC53" s="50"/>
      <c r="AD53" s="50"/>
      <c r="AE53" s="50"/>
      <c r="AF53" s="50"/>
      <c r="AG53" s="75" t="s">
        <v>568</v>
      </c>
      <c r="AH53" s="75" t="s">
        <v>72</v>
      </c>
      <c r="AI53" s="75" t="s">
        <v>73</v>
      </c>
      <c r="AJ53" s="75" t="s">
        <v>74</v>
      </c>
      <c r="AK53" s="75" t="s">
        <v>75</v>
      </c>
      <c r="AL53" s="75" t="s">
        <v>76</v>
      </c>
    </row>
    <row r="54" spans="1:38" ht="42" customHeight="1">
      <c r="A54" s="75">
        <v>50</v>
      </c>
      <c r="B54" s="75" t="s">
        <v>560</v>
      </c>
      <c r="C54" s="75" t="s">
        <v>210</v>
      </c>
      <c r="D54" s="50"/>
      <c r="E54" s="50"/>
      <c r="F54" s="50"/>
      <c r="G54" s="50"/>
      <c r="H54" s="50"/>
      <c r="I54" s="50"/>
      <c r="J54" s="50"/>
      <c r="K54" s="50"/>
      <c r="L54" s="50"/>
      <c r="M54" s="50"/>
      <c r="N54" s="50"/>
      <c r="O54" s="75" t="s">
        <v>571</v>
      </c>
      <c r="P54" s="75" t="s">
        <v>562</v>
      </c>
      <c r="Q54" s="75" t="s">
        <v>563</v>
      </c>
      <c r="R54" s="75" t="s">
        <v>584</v>
      </c>
      <c r="S54" s="75" t="s">
        <v>155</v>
      </c>
      <c r="T54" s="50"/>
      <c r="U54" s="50"/>
      <c r="V54" s="75" t="s">
        <v>594</v>
      </c>
      <c r="W54" s="75" t="s">
        <v>566</v>
      </c>
      <c r="X54" s="75" t="s">
        <v>567</v>
      </c>
      <c r="Y54" s="75" t="s">
        <v>211</v>
      </c>
      <c r="Z54" s="75" t="s">
        <v>64</v>
      </c>
      <c r="AA54" s="50"/>
      <c r="AB54" s="50"/>
      <c r="AC54" s="50"/>
      <c r="AD54" s="50"/>
      <c r="AE54" s="50"/>
      <c r="AF54" s="50"/>
      <c r="AG54" s="75" t="s">
        <v>568</v>
      </c>
      <c r="AH54" s="75" t="s">
        <v>72</v>
      </c>
      <c r="AI54" s="75" t="s">
        <v>151</v>
      </c>
      <c r="AJ54" s="75" t="s">
        <v>152</v>
      </c>
      <c r="AK54" s="75" t="s">
        <v>75</v>
      </c>
      <c r="AL54" s="75" t="s">
        <v>76</v>
      </c>
    </row>
    <row r="55" spans="1:38" ht="42" customHeight="1">
      <c r="A55" s="75">
        <v>51</v>
      </c>
      <c r="B55" s="75" t="s">
        <v>560</v>
      </c>
      <c r="C55" s="75" t="s">
        <v>291</v>
      </c>
      <c r="D55" s="50"/>
      <c r="E55" s="50"/>
      <c r="F55" s="50"/>
      <c r="G55" s="50"/>
      <c r="H55" s="50"/>
      <c r="I55" s="50"/>
      <c r="J55" s="50"/>
      <c r="K55" s="50"/>
      <c r="L55" s="50"/>
      <c r="M55" s="50"/>
      <c r="N55" s="50"/>
      <c r="O55" s="75" t="s">
        <v>571</v>
      </c>
      <c r="P55" s="75" t="s">
        <v>562</v>
      </c>
      <c r="Q55" s="75" t="s">
        <v>563</v>
      </c>
      <c r="R55" s="75" t="s">
        <v>572</v>
      </c>
      <c r="S55" s="75" t="s">
        <v>230</v>
      </c>
      <c r="T55" s="50"/>
      <c r="U55" s="50"/>
      <c r="V55" s="75" t="s">
        <v>573</v>
      </c>
      <c r="W55" s="75" t="s">
        <v>567</v>
      </c>
      <c r="X55" s="75" t="s">
        <v>567</v>
      </c>
      <c r="Y55" s="75" t="s">
        <v>112</v>
      </c>
      <c r="Z55" s="75" t="s">
        <v>64</v>
      </c>
      <c r="AA55" s="50"/>
      <c r="AB55" s="50"/>
      <c r="AC55" s="50"/>
      <c r="AD55" s="50"/>
      <c r="AE55" s="50"/>
      <c r="AF55" s="50"/>
      <c r="AG55" s="75" t="s">
        <v>568</v>
      </c>
      <c r="AH55" s="75" t="s">
        <v>135</v>
      </c>
      <c r="AI55" s="75" t="s">
        <v>125</v>
      </c>
      <c r="AJ55" s="75" t="s">
        <v>126</v>
      </c>
      <c r="AK55" s="75" t="s">
        <v>75</v>
      </c>
      <c r="AL55" s="75" t="s">
        <v>76</v>
      </c>
    </row>
    <row r="56" spans="1:38" ht="42" customHeight="1">
      <c r="A56" s="75">
        <v>52</v>
      </c>
      <c r="B56" s="75" t="s">
        <v>560</v>
      </c>
      <c r="C56" s="75" t="s">
        <v>244</v>
      </c>
      <c r="D56" s="50"/>
      <c r="E56" s="50"/>
      <c r="F56" s="75">
        <v>181</v>
      </c>
      <c r="G56" s="50"/>
      <c r="H56" s="50"/>
      <c r="I56" s="50"/>
      <c r="J56" s="50"/>
      <c r="K56" s="50"/>
      <c r="L56" s="50"/>
      <c r="M56" s="50"/>
      <c r="N56" s="50"/>
      <c r="O56" s="75" t="s">
        <v>571</v>
      </c>
      <c r="P56" s="75" t="s">
        <v>562</v>
      </c>
      <c r="Q56" s="75" t="s">
        <v>563</v>
      </c>
      <c r="R56" s="75" t="s">
        <v>572</v>
      </c>
      <c r="S56" s="75" t="s">
        <v>230</v>
      </c>
      <c r="T56" s="50"/>
      <c r="U56" s="50"/>
      <c r="V56" s="75" t="s">
        <v>573</v>
      </c>
      <c r="W56" s="75" t="s">
        <v>566</v>
      </c>
      <c r="X56" s="75" t="s">
        <v>567</v>
      </c>
      <c r="Y56" s="75" t="s">
        <v>245</v>
      </c>
      <c r="Z56" s="75" t="s">
        <v>64</v>
      </c>
      <c r="AA56" s="50"/>
      <c r="AB56" s="50"/>
      <c r="AC56" s="50"/>
      <c r="AD56" s="50"/>
      <c r="AE56" s="50"/>
      <c r="AF56" s="50"/>
      <c r="AG56" s="75" t="s">
        <v>595</v>
      </c>
      <c r="AH56" s="75" t="s">
        <v>135</v>
      </c>
      <c r="AI56" s="75" t="s">
        <v>247</v>
      </c>
      <c r="AJ56" s="75" t="s">
        <v>74</v>
      </c>
      <c r="AK56" s="75" t="s">
        <v>75</v>
      </c>
      <c r="AL56" s="75" t="s">
        <v>76</v>
      </c>
    </row>
    <row r="57" spans="1:38" ht="42" customHeight="1">
      <c r="A57" s="75">
        <v>53</v>
      </c>
      <c r="B57" s="75" t="s">
        <v>560</v>
      </c>
      <c r="C57" s="75" t="s">
        <v>116</v>
      </c>
      <c r="D57" s="50"/>
      <c r="E57" s="50"/>
      <c r="F57" s="75">
        <v>108</v>
      </c>
      <c r="G57" s="50"/>
      <c r="H57" s="50"/>
      <c r="I57" s="50"/>
      <c r="J57" s="50"/>
      <c r="K57" s="50"/>
      <c r="L57" s="50"/>
      <c r="M57" s="50"/>
      <c r="N57" s="50"/>
      <c r="O57" s="75" t="s">
        <v>596</v>
      </c>
      <c r="P57" s="75" t="s">
        <v>562</v>
      </c>
      <c r="Q57" s="75" t="s">
        <v>563</v>
      </c>
      <c r="R57" s="75" t="s">
        <v>564</v>
      </c>
      <c r="S57" s="75" t="s">
        <v>69</v>
      </c>
      <c r="T57" s="75" t="s">
        <v>86</v>
      </c>
      <c r="U57" s="50"/>
      <c r="V57" s="75" t="s">
        <v>565</v>
      </c>
      <c r="W57" s="75" t="s">
        <v>566</v>
      </c>
      <c r="X57" s="75" t="s">
        <v>567</v>
      </c>
      <c r="Y57" s="75" t="s">
        <v>117</v>
      </c>
      <c r="Z57" s="75" t="s">
        <v>64</v>
      </c>
      <c r="AA57" s="50"/>
      <c r="AB57" s="50"/>
      <c r="AC57" s="50"/>
      <c r="AD57" s="50"/>
      <c r="AE57" s="50"/>
      <c r="AF57" s="50"/>
      <c r="AG57" s="75" t="s">
        <v>568</v>
      </c>
      <c r="AH57" s="75" t="s">
        <v>72</v>
      </c>
      <c r="AI57" s="75" t="s">
        <v>73</v>
      </c>
      <c r="AJ57" s="75" t="s">
        <v>74</v>
      </c>
      <c r="AK57" s="75" t="s">
        <v>75</v>
      </c>
      <c r="AL57" s="75" t="s">
        <v>76</v>
      </c>
    </row>
    <row r="58" spans="1:38" ht="42" customHeight="1">
      <c r="A58" s="75">
        <v>54</v>
      </c>
      <c r="B58" s="75" t="s">
        <v>560</v>
      </c>
      <c r="C58" s="75" t="s">
        <v>225</v>
      </c>
      <c r="D58" s="50"/>
      <c r="E58" s="50"/>
      <c r="F58" s="75">
        <v>125</v>
      </c>
      <c r="G58" s="50"/>
      <c r="H58" s="50"/>
      <c r="I58" s="50"/>
      <c r="J58" s="50"/>
      <c r="K58" s="50"/>
      <c r="L58" s="50"/>
      <c r="M58" s="50"/>
      <c r="N58" s="50"/>
      <c r="O58" s="75" t="s">
        <v>571</v>
      </c>
      <c r="P58" s="75" t="s">
        <v>562</v>
      </c>
      <c r="Q58" s="75" t="s">
        <v>563</v>
      </c>
      <c r="R58" s="75" t="s">
        <v>572</v>
      </c>
      <c r="S58" s="75" t="s">
        <v>230</v>
      </c>
      <c r="T58" s="75" t="s">
        <v>86</v>
      </c>
      <c r="U58" s="50"/>
      <c r="V58" s="75" t="s">
        <v>565</v>
      </c>
      <c r="W58" s="75" t="s">
        <v>566</v>
      </c>
      <c r="X58" s="75" t="s">
        <v>567</v>
      </c>
      <c r="Y58" s="75" t="s">
        <v>227</v>
      </c>
      <c r="Z58" s="75" t="s">
        <v>226</v>
      </c>
      <c r="AA58" s="50"/>
      <c r="AB58" s="50"/>
      <c r="AC58" s="50"/>
      <c r="AD58" s="50"/>
      <c r="AE58" s="50"/>
      <c r="AF58" s="50"/>
      <c r="AG58" s="75" t="s">
        <v>568</v>
      </c>
      <c r="AH58" s="75" t="s">
        <v>72</v>
      </c>
      <c r="AI58" s="75" t="s">
        <v>73</v>
      </c>
      <c r="AJ58" s="75" t="s">
        <v>74</v>
      </c>
      <c r="AK58" s="75" t="s">
        <v>75</v>
      </c>
      <c r="AL58" s="75" t="s">
        <v>76</v>
      </c>
    </row>
    <row r="59" spans="1:38" ht="42" customHeight="1">
      <c r="A59" s="75">
        <v>55</v>
      </c>
      <c r="B59" s="75" t="s">
        <v>560</v>
      </c>
      <c r="C59" s="75" t="s">
        <v>187</v>
      </c>
      <c r="D59" s="50"/>
      <c r="E59" s="50"/>
      <c r="F59" s="50"/>
      <c r="G59" s="50"/>
      <c r="H59" s="50"/>
      <c r="I59" s="50"/>
      <c r="J59" s="50"/>
      <c r="K59" s="50"/>
      <c r="L59" s="50"/>
      <c r="M59" s="50"/>
      <c r="N59" s="50"/>
      <c r="O59" s="75" t="s">
        <v>571</v>
      </c>
      <c r="P59" s="75" t="s">
        <v>562</v>
      </c>
      <c r="Q59" s="75" t="s">
        <v>563</v>
      </c>
      <c r="R59" s="75" t="s">
        <v>584</v>
      </c>
      <c r="S59" s="75" t="s">
        <v>155</v>
      </c>
      <c r="T59" s="50"/>
      <c r="U59" s="50"/>
      <c r="V59" s="75" t="s">
        <v>573</v>
      </c>
      <c r="W59" s="75" t="s">
        <v>566</v>
      </c>
      <c r="X59" s="75" t="s">
        <v>567</v>
      </c>
      <c r="Y59" s="75" t="s">
        <v>188</v>
      </c>
      <c r="Z59" s="75" t="s">
        <v>64</v>
      </c>
      <c r="AA59" s="50"/>
      <c r="AB59" s="50"/>
      <c r="AC59" s="50"/>
      <c r="AD59" s="50"/>
      <c r="AE59" s="50"/>
      <c r="AF59" s="50"/>
      <c r="AG59" s="75" t="s">
        <v>568</v>
      </c>
      <c r="AH59" s="75" t="s">
        <v>72</v>
      </c>
      <c r="AI59" s="75" t="s">
        <v>151</v>
      </c>
      <c r="AJ59" s="75" t="s">
        <v>152</v>
      </c>
      <c r="AK59" s="75" t="s">
        <v>75</v>
      </c>
      <c r="AL59" s="75" t="s">
        <v>76</v>
      </c>
    </row>
    <row r="60" spans="1:38" ht="42" customHeight="1">
      <c r="A60" s="75">
        <v>56</v>
      </c>
      <c r="B60" s="75" t="s">
        <v>560</v>
      </c>
      <c r="C60" s="75" t="s">
        <v>257</v>
      </c>
      <c r="D60" s="50"/>
      <c r="E60" s="50"/>
      <c r="F60" s="50"/>
      <c r="G60" s="50"/>
      <c r="H60" s="50"/>
      <c r="I60" s="50"/>
      <c r="J60" s="50"/>
      <c r="K60" s="50"/>
      <c r="L60" s="50"/>
      <c r="M60" s="50"/>
      <c r="N60" s="50"/>
      <c r="O60" s="75" t="s">
        <v>571</v>
      </c>
      <c r="P60" s="75" t="s">
        <v>562</v>
      </c>
      <c r="Q60" s="75" t="s">
        <v>563</v>
      </c>
      <c r="R60" s="75" t="s">
        <v>572</v>
      </c>
      <c r="S60" s="75" t="s">
        <v>230</v>
      </c>
      <c r="T60" s="50"/>
      <c r="U60" s="50"/>
      <c r="V60" s="75" t="s">
        <v>573</v>
      </c>
      <c r="W60" s="75" t="s">
        <v>566</v>
      </c>
      <c r="X60" s="75" t="s">
        <v>567</v>
      </c>
      <c r="Y60" s="75" t="s">
        <v>258</v>
      </c>
      <c r="Z60" s="75" t="s">
        <v>64</v>
      </c>
      <c r="AA60" s="50"/>
      <c r="AB60" s="50"/>
      <c r="AC60" s="50"/>
      <c r="AD60" s="50"/>
      <c r="AE60" s="50"/>
      <c r="AF60" s="50"/>
      <c r="AG60" s="75" t="s">
        <v>568</v>
      </c>
      <c r="AH60" s="75" t="s">
        <v>135</v>
      </c>
      <c r="AI60" s="75" t="s">
        <v>125</v>
      </c>
      <c r="AJ60" s="75" t="s">
        <v>126</v>
      </c>
      <c r="AK60" s="75" t="s">
        <v>75</v>
      </c>
      <c r="AL60" s="75" t="s">
        <v>76</v>
      </c>
    </row>
    <row r="61" spans="1:38" ht="42" customHeight="1">
      <c r="A61" s="75">
        <v>57</v>
      </c>
      <c r="B61" s="75" t="s">
        <v>560</v>
      </c>
      <c r="C61" s="75" t="s">
        <v>196</v>
      </c>
      <c r="D61" s="50"/>
      <c r="E61" s="50"/>
      <c r="F61" s="50"/>
      <c r="G61" s="50"/>
      <c r="H61" s="50"/>
      <c r="I61" s="50"/>
      <c r="J61" s="50"/>
      <c r="K61" s="50"/>
      <c r="L61" s="50"/>
      <c r="M61" s="50"/>
      <c r="N61" s="50"/>
      <c r="O61" s="75" t="s">
        <v>571</v>
      </c>
      <c r="P61" s="75" t="s">
        <v>562</v>
      </c>
      <c r="Q61" s="75" t="s">
        <v>563</v>
      </c>
      <c r="R61" s="75" t="s">
        <v>584</v>
      </c>
      <c r="S61" s="75" t="s">
        <v>155</v>
      </c>
      <c r="T61" s="50"/>
      <c r="U61" s="50"/>
      <c r="V61" s="75" t="s">
        <v>573</v>
      </c>
      <c r="W61" s="75" t="s">
        <v>566</v>
      </c>
      <c r="X61" s="75" t="s">
        <v>567</v>
      </c>
      <c r="Y61" s="75" t="s">
        <v>157</v>
      </c>
      <c r="Z61" s="75" t="s">
        <v>64</v>
      </c>
      <c r="AA61" s="50"/>
      <c r="AB61" s="50"/>
      <c r="AC61" s="50"/>
      <c r="AD61" s="50"/>
      <c r="AE61" s="50"/>
      <c r="AF61" s="50"/>
      <c r="AG61" s="75" t="s">
        <v>568</v>
      </c>
      <c r="AH61" s="75" t="s">
        <v>72</v>
      </c>
      <c r="AI61" s="75" t="s">
        <v>151</v>
      </c>
      <c r="AJ61" s="75" t="s">
        <v>152</v>
      </c>
      <c r="AK61" s="75" t="s">
        <v>75</v>
      </c>
      <c r="AL61" s="75" t="s">
        <v>76</v>
      </c>
    </row>
    <row r="62" spans="1:38" ht="42" customHeight="1">
      <c r="A62" s="75">
        <v>58</v>
      </c>
      <c r="B62" s="75" t="s">
        <v>560</v>
      </c>
      <c r="C62" s="75" t="s">
        <v>232</v>
      </c>
      <c r="D62" s="50"/>
      <c r="E62" s="50"/>
      <c r="F62" s="75">
        <v>91</v>
      </c>
      <c r="G62" s="50"/>
      <c r="H62" s="50"/>
      <c r="I62" s="50"/>
      <c r="J62" s="50"/>
      <c r="K62" s="50"/>
      <c r="L62" s="50"/>
      <c r="M62" s="50"/>
      <c r="N62" s="50"/>
      <c r="O62" s="75" t="s">
        <v>571</v>
      </c>
      <c r="P62" s="75" t="s">
        <v>562</v>
      </c>
      <c r="Q62" s="75" t="s">
        <v>563</v>
      </c>
      <c r="R62" s="75" t="s">
        <v>572</v>
      </c>
      <c r="S62" s="75" t="s">
        <v>230</v>
      </c>
      <c r="T62" s="75" t="s">
        <v>86</v>
      </c>
      <c r="U62" s="50"/>
      <c r="V62" s="75" t="s">
        <v>565</v>
      </c>
      <c r="W62" s="75" t="s">
        <v>566</v>
      </c>
      <c r="X62" s="75" t="s">
        <v>567</v>
      </c>
      <c r="Y62" s="75" t="s">
        <v>233</v>
      </c>
      <c r="Z62" s="75" t="s">
        <v>226</v>
      </c>
      <c r="AA62" s="75" t="s">
        <v>575</v>
      </c>
      <c r="AB62" s="75" t="s">
        <v>588</v>
      </c>
      <c r="AC62" s="50"/>
      <c r="AD62" s="50"/>
      <c r="AE62" s="50"/>
      <c r="AF62" s="50"/>
      <c r="AG62" s="75" t="s">
        <v>568</v>
      </c>
      <c r="AH62" s="75" t="s">
        <v>72</v>
      </c>
      <c r="AI62" s="75" t="s">
        <v>73</v>
      </c>
      <c r="AJ62" s="75" t="s">
        <v>74</v>
      </c>
      <c r="AK62" s="75" t="s">
        <v>75</v>
      </c>
      <c r="AL62" s="75" t="s">
        <v>76</v>
      </c>
    </row>
    <row r="63" spans="1:38" ht="42" customHeight="1">
      <c r="A63" s="75">
        <v>59</v>
      </c>
      <c r="B63" s="75" t="s">
        <v>560</v>
      </c>
      <c r="C63" s="75" t="s">
        <v>153</v>
      </c>
      <c r="D63" s="50"/>
      <c r="E63" s="50"/>
      <c r="F63" s="75">
        <v>57</v>
      </c>
      <c r="G63" s="50"/>
      <c r="H63" s="50"/>
      <c r="I63" s="50"/>
      <c r="J63" s="50"/>
      <c r="K63" s="50"/>
      <c r="L63" s="50"/>
      <c r="M63" s="50"/>
      <c r="N63" s="50"/>
      <c r="O63" s="75" t="s">
        <v>571</v>
      </c>
      <c r="P63" s="75" t="s">
        <v>562</v>
      </c>
      <c r="Q63" s="75" t="s">
        <v>563</v>
      </c>
      <c r="R63" s="75" t="s">
        <v>584</v>
      </c>
      <c r="S63" s="75" t="s">
        <v>155</v>
      </c>
      <c r="T63" s="50"/>
      <c r="U63" s="50"/>
      <c r="V63" s="75" t="s">
        <v>565</v>
      </c>
      <c r="W63" s="75" t="s">
        <v>566</v>
      </c>
      <c r="X63" s="75" t="s">
        <v>567</v>
      </c>
      <c r="Y63" s="75" t="s">
        <v>37</v>
      </c>
      <c r="Z63" s="75" t="s">
        <v>64</v>
      </c>
      <c r="AA63" s="50"/>
      <c r="AB63" s="50"/>
      <c r="AC63" s="50"/>
      <c r="AD63" s="50"/>
      <c r="AE63" s="50"/>
      <c r="AF63" s="50"/>
      <c r="AG63" s="75" t="s">
        <v>568</v>
      </c>
      <c r="AH63" s="75" t="s">
        <v>72</v>
      </c>
      <c r="AI63" s="75" t="s">
        <v>73</v>
      </c>
      <c r="AJ63" s="75" t="s">
        <v>74</v>
      </c>
      <c r="AK63" s="75" t="s">
        <v>75</v>
      </c>
      <c r="AL63" s="75" t="s">
        <v>76</v>
      </c>
    </row>
    <row r="64" spans="1:38" ht="42" customHeight="1">
      <c r="A64" s="75">
        <v>60</v>
      </c>
      <c r="B64" s="75" t="s">
        <v>560</v>
      </c>
      <c r="C64" s="75" t="s">
        <v>190</v>
      </c>
      <c r="D64" s="50"/>
      <c r="E64" s="50"/>
      <c r="F64" s="50"/>
      <c r="G64" s="50"/>
      <c r="H64" s="50"/>
      <c r="I64" s="50"/>
      <c r="J64" s="50"/>
      <c r="K64" s="50"/>
      <c r="L64" s="50"/>
      <c r="M64" s="50"/>
      <c r="N64" s="50"/>
      <c r="O64" s="75" t="s">
        <v>571</v>
      </c>
      <c r="P64" s="75" t="s">
        <v>562</v>
      </c>
      <c r="Q64" s="75" t="s">
        <v>563</v>
      </c>
      <c r="R64" s="75" t="s">
        <v>584</v>
      </c>
      <c r="S64" s="75" t="s">
        <v>155</v>
      </c>
      <c r="T64" s="50"/>
      <c r="U64" s="50"/>
      <c r="V64" s="75" t="s">
        <v>573</v>
      </c>
      <c r="W64" s="75" t="s">
        <v>566</v>
      </c>
      <c r="X64" s="75" t="s">
        <v>567</v>
      </c>
      <c r="Y64" s="75" t="s">
        <v>191</v>
      </c>
      <c r="Z64" s="75" t="s">
        <v>64</v>
      </c>
      <c r="AA64" s="50"/>
      <c r="AB64" s="50"/>
      <c r="AC64" s="50"/>
      <c r="AD64" s="50"/>
      <c r="AE64" s="50"/>
      <c r="AF64" s="50"/>
      <c r="AG64" s="75" t="s">
        <v>568</v>
      </c>
      <c r="AH64" s="75" t="s">
        <v>72</v>
      </c>
      <c r="AI64" s="75" t="s">
        <v>151</v>
      </c>
      <c r="AJ64" s="75" t="s">
        <v>152</v>
      </c>
      <c r="AK64" s="75" t="s">
        <v>75</v>
      </c>
      <c r="AL64" s="75" t="s">
        <v>76</v>
      </c>
    </row>
    <row r="65" spans="1:38" ht="42" customHeight="1">
      <c r="A65" s="75">
        <v>61</v>
      </c>
      <c r="B65" s="75" t="s">
        <v>560</v>
      </c>
      <c r="C65" s="75" t="s">
        <v>91</v>
      </c>
      <c r="D65" s="50"/>
      <c r="E65" s="50"/>
      <c r="F65" s="75">
        <v>104</v>
      </c>
      <c r="G65" s="50"/>
      <c r="H65" s="50"/>
      <c r="I65" s="50"/>
      <c r="J65" s="50"/>
      <c r="K65" s="50"/>
      <c r="L65" s="50"/>
      <c r="M65" s="50"/>
      <c r="N65" s="50"/>
      <c r="O65" s="75" t="s">
        <v>597</v>
      </c>
      <c r="P65" s="75" t="s">
        <v>562</v>
      </c>
      <c r="Q65" s="75" t="s">
        <v>563</v>
      </c>
      <c r="R65" s="75" t="s">
        <v>564</v>
      </c>
      <c r="S65" s="75" t="s">
        <v>69</v>
      </c>
      <c r="T65" s="75" t="s">
        <v>94</v>
      </c>
      <c r="U65" s="50"/>
      <c r="V65" s="75" t="s">
        <v>565</v>
      </c>
      <c r="W65" s="75" t="s">
        <v>566</v>
      </c>
      <c r="X65" s="75" t="s">
        <v>567</v>
      </c>
      <c r="Y65" s="75" t="s">
        <v>92</v>
      </c>
      <c r="Z65" s="75" t="s">
        <v>64</v>
      </c>
      <c r="AA65" s="50"/>
      <c r="AB65" s="50"/>
      <c r="AC65" s="50"/>
      <c r="AD65" s="50"/>
      <c r="AE65" s="50"/>
      <c r="AF65" s="50"/>
      <c r="AG65" s="75" t="s">
        <v>568</v>
      </c>
      <c r="AH65" s="75" t="s">
        <v>72</v>
      </c>
      <c r="AI65" s="75" t="s">
        <v>73</v>
      </c>
      <c r="AJ65" s="75" t="s">
        <v>74</v>
      </c>
      <c r="AK65" s="75" t="s">
        <v>75</v>
      </c>
      <c r="AL65" s="75" t="s">
        <v>76</v>
      </c>
    </row>
    <row r="66" spans="1:38" ht="42" customHeight="1">
      <c r="A66" s="75">
        <v>62</v>
      </c>
      <c r="B66" s="75" t="s">
        <v>560</v>
      </c>
      <c r="C66" s="75" t="s">
        <v>156</v>
      </c>
      <c r="D66" s="50"/>
      <c r="E66" s="50"/>
      <c r="F66" s="75">
        <v>52</v>
      </c>
      <c r="G66" s="50"/>
      <c r="H66" s="50"/>
      <c r="I66" s="50"/>
      <c r="J66" s="50"/>
      <c r="K66" s="50"/>
      <c r="L66" s="50"/>
      <c r="M66" s="50"/>
      <c r="N66" s="50"/>
      <c r="O66" s="75" t="s">
        <v>571</v>
      </c>
      <c r="P66" s="75" t="s">
        <v>562</v>
      </c>
      <c r="Q66" s="75" t="s">
        <v>563</v>
      </c>
      <c r="R66" s="75" t="s">
        <v>584</v>
      </c>
      <c r="S66" s="75" t="s">
        <v>155</v>
      </c>
      <c r="T66" s="75" t="s">
        <v>159</v>
      </c>
      <c r="U66" s="50"/>
      <c r="V66" s="75" t="s">
        <v>565</v>
      </c>
      <c r="W66" s="75" t="s">
        <v>566</v>
      </c>
      <c r="X66" s="75" t="s">
        <v>567</v>
      </c>
      <c r="Y66" s="75" t="s">
        <v>157</v>
      </c>
      <c r="Z66" s="75" t="s">
        <v>64</v>
      </c>
      <c r="AA66" s="50"/>
      <c r="AB66" s="50"/>
      <c r="AC66" s="50"/>
      <c r="AD66" s="50"/>
      <c r="AE66" s="50"/>
      <c r="AF66" s="50"/>
      <c r="AG66" s="75" t="s">
        <v>568</v>
      </c>
      <c r="AH66" s="75" t="s">
        <v>72</v>
      </c>
      <c r="AI66" s="75" t="s">
        <v>73</v>
      </c>
      <c r="AJ66" s="75" t="s">
        <v>74</v>
      </c>
      <c r="AK66" s="75" t="s">
        <v>75</v>
      </c>
      <c r="AL66" s="75" t="s">
        <v>76</v>
      </c>
    </row>
    <row r="67" spans="1:38" ht="42" customHeight="1">
      <c r="A67" s="75">
        <v>63</v>
      </c>
      <c r="B67" s="75" t="s">
        <v>560</v>
      </c>
      <c r="C67" s="75" t="s">
        <v>160</v>
      </c>
      <c r="D67" s="50"/>
      <c r="E67" s="50"/>
      <c r="F67" s="75">
        <v>59</v>
      </c>
      <c r="G67" s="50"/>
      <c r="H67" s="50"/>
      <c r="I67" s="50"/>
      <c r="J67" s="50"/>
      <c r="K67" s="50"/>
      <c r="L67" s="50"/>
      <c r="M67" s="50"/>
      <c r="N67" s="50"/>
      <c r="O67" s="75" t="s">
        <v>571</v>
      </c>
      <c r="P67" s="75" t="s">
        <v>562</v>
      </c>
      <c r="Q67" s="75" t="s">
        <v>563</v>
      </c>
      <c r="R67" s="75" t="s">
        <v>584</v>
      </c>
      <c r="S67" s="75" t="s">
        <v>155</v>
      </c>
      <c r="T67" s="75" t="s">
        <v>163</v>
      </c>
      <c r="U67" s="50"/>
      <c r="V67" s="75" t="s">
        <v>565</v>
      </c>
      <c r="W67" s="75" t="s">
        <v>566</v>
      </c>
      <c r="X67" s="75" t="s">
        <v>567</v>
      </c>
      <c r="Y67" s="75" t="s">
        <v>161</v>
      </c>
      <c r="Z67" s="75" t="s">
        <v>64</v>
      </c>
      <c r="AA67" s="50"/>
      <c r="AB67" s="50"/>
      <c r="AC67" s="50"/>
      <c r="AD67" s="50"/>
      <c r="AE67" s="50"/>
      <c r="AF67" s="50"/>
      <c r="AG67" s="75" t="s">
        <v>568</v>
      </c>
      <c r="AH67" s="75" t="s">
        <v>72</v>
      </c>
      <c r="AI67" s="75" t="s">
        <v>73</v>
      </c>
      <c r="AJ67" s="75" t="s">
        <v>74</v>
      </c>
      <c r="AK67" s="75" t="s">
        <v>75</v>
      </c>
      <c r="AL67" s="75" t="s">
        <v>76</v>
      </c>
    </row>
    <row r="68" spans="1:38" ht="42" customHeight="1">
      <c r="A68" s="75">
        <v>64</v>
      </c>
      <c r="B68" s="75" t="s">
        <v>560</v>
      </c>
      <c r="C68" s="75" t="s">
        <v>167</v>
      </c>
      <c r="D68" s="50"/>
      <c r="E68" s="50"/>
      <c r="F68" s="75">
        <v>6</v>
      </c>
      <c r="G68" s="50"/>
      <c r="H68" s="50"/>
      <c r="I68" s="50"/>
      <c r="J68" s="50"/>
      <c r="K68" s="50"/>
      <c r="L68" s="50"/>
      <c r="M68" s="50"/>
      <c r="N68" s="50"/>
      <c r="O68" s="75" t="s">
        <v>571</v>
      </c>
      <c r="P68" s="75" t="s">
        <v>562</v>
      </c>
      <c r="Q68" s="75" t="s">
        <v>563</v>
      </c>
      <c r="R68" s="75" t="s">
        <v>584</v>
      </c>
      <c r="S68" s="75" t="s">
        <v>155</v>
      </c>
      <c r="T68" s="50"/>
      <c r="U68" s="50"/>
      <c r="V68" s="75" t="s">
        <v>573</v>
      </c>
      <c r="W68" s="75" t="s">
        <v>566</v>
      </c>
      <c r="X68" s="75" t="s">
        <v>567</v>
      </c>
      <c r="Y68" s="75" t="s">
        <v>97</v>
      </c>
      <c r="Z68" s="75" t="s">
        <v>64</v>
      </c>
      <c r="AA68" s="50"/>
      <c r="AB68" s="50"/>
      <c r="AC68" s="50"/>
      <c r="AD68" s="50"/>
      <c r="AE68" s="50"/>
      <c r="AF68" s="50"/>
      <c r="AG68" s="75" t="s">
        <v>568</v>
      </c>
      <c r="AH68" s="75" t="s">
        <v>72</v>
      </c>
      <c r="AI68" s="75" t="s">
        <v>73</v>
      </c>
      <c r="AJ68" s="75" t="s">
        <v>74</v>
      </c>
      <c r="AK68" s="75" t="s">
        <v>75</v>
      </c>
      <c r="AL68" s="75" t="s">
        <v>76</v>
      </c>
    </row>
    <row r="69" spans="1:38" ht="42" customHeight="1">
      <c r="A69" s="75">
        <v>65</v>
      </c>
      <c r="B69" s="75" t="s">
        <v>560</v>
      </c>
      <c r="C69" s="75" t="s">
        <v>107</v>
      </c>
      <c r="D69" s="50"/>
      <c r="E69" s="50"/>
      <c r="F69" s="75">
        <v>91</v>
      </c>
      <c r="G69" s="50"/>
      <c r="H69" s="50"/>
      <c r="I69" s="50"/>
      <c r="J69" s="50"/>
      <c r="K69" s="50"/>
      <c r="L69" s="50"/>
      <c r="M69" s="50"/>
      <c r="N69" s="50"/>
      <c r="O69" s="75" t="s">
        <v>598</v>
      </c>
      <c r="P69" s="75" t="s">
        <v>562</v>
      </c>
      <c r="Q69" s="75" t="s">
        <v>563</v>
      </c>
      <c r="R69" s="75" t="s">
        <v>564</v>
      </c>
      <c r="S69" s="75" t="s">
        <v>69</v>
      </c>
      <c r="T69" s="75" t="s">
        <v>110</v>
      </c>
      <c r="U69" s="50"/>
      <c r="V69" s="75" t="s">
        <v>565</v>
      </c>
      <c r="W69" s="75" t="s">
        <v>566</v>
      </c>
      <c r="X69" s="75" t="s">
        <v>567</v>
      </c>
      <c r="Y69" s="75" t="s">
        <v>108</v>
      </c>
      <c r="Z69" s="75" t="s">
        <v>64</v>
      </c>
      <c r="AA69" s="50"/>
      <c r="AB69" s="50"/>
      <c r="AC69" s="50"/>
      <c r="AD69" s="50"/>
      <c r="AE69" s="50"/>
      <c r="AF69" s="50"/>
      <c r="AG69" s="75" t="s">
        <v>568</v>
      </c>
      <c r="AH69" s="75" t="s">
        <v>72</v>
      </c>
      <c r="AI69" s="75" t="s">
        <v>73</v>
      </c>
      <c r="AJ69" s="75" t="s">
        <v>74</v>
      </c>
      <c r="AK69" s="75" t="s">
        <v>75</v>
      </c>
      <c r="AL69" s="75" t="s">
        <v>76</v>
      </c>
    </row>
    <row r="70" spans="1:38" ht="42" customHeight="1">
      <c r="A70" s="75">
        <v>66</v>
      </c>
      <c r="B70" s="75" t="s">
        <v>560</v>
      </c>
      <c r="C70" s="75" t="s">
        <v>219</v>
      </c>
      <c r="D70" s="50"/>
      <c r="E70" s="50"/>
      <c r="F70" s="75">
        <v>100</v>
      </c>
      <c r="G70" s="50"/>
      <c r="H70" s="50"/>
      <c r="I70" s="50"/>
      <c r="J70" s="50"/>
      <c r="K70" s="50"/>
      <c r="L70" s="50"/>
      <c r="M70" s="50"/>
      <c r="N70" s="50"/>
      <c r="O70" s="75" t="s">
        <v>571</v>
      </c>
      <c r="P70" s="75" t="s">
        <v>562</v>
      </c>
      <c r="Q70" s="75" t="s">
        <v>563</v>
      </c>
      <c r="R70" s="75" t="s">
        <v>584</v>
      </c>
      <c r="S70" s="75" t="s">
        <v>155</v>
      </c>
      <c r="T70" s="50"/>
      <c r="U70" s="50"/>
      <c r="V70" s="75" t="s">
        <v>573</v>
      </c>
      <c r="W70" s="75" t="s">
        <v>566</v>
      </c>
      <c r="X70" s="75" t="s">
        <v>567</v>
      </c>
      <c r="Y70" s="75" t="s">
        <v>220</v>
      </c>
      <c r="Z70" s="75" t="s">
        <v>64</v>
      </c>
      <c r="AA70" s="50"/>
      <c r="AB70" s="50"/>
      <c r="AC70" s="50"/>
      <c r="AD70" s="50"/>
      <c r="AE70" s="50"/>
      <c r="AF70" s="50"/>
      <c r="AG70" s="75" t="s">
        <v>599</v>
      </c>
      <c r="AH70" s="75" t="s">
        <v>72</v>
      </c>
      <c r="AI70" s="75" t="s">
        <v>222</v>
      </c>
      <c r="AJ70" s="75" t="s">
        <v>141</v>
      </c>
      <c r="AK70" s="75" t="s">
        <v>75</v>
      </c>
      <c r="AL70" s="75" t="s">
        <v>76</v>
      </c>
    </row>
    <row r="71" spans="1:38" ht="42" customHeight="1">
      <c r="A71" s="75">
        <v>67</v>
      </c>
      <c r="B71" s="75" t="s">
        <v>560</v>
      </c>
      <c r="C71" s="75" t="s">
        <v>205</v>
      </c>
      <c r="D71" s="50"/>
      <c r="E71" s="50"/>
      <c r="F71" s="50"/>
      <c r="G71" s="50"/>
      <c r="H71" s="50"/>
      <c r="I71" s="50"/>
      <c r="J71" s="50"/>
      <c r="K71" s="50"/>
      <c r="L71" s="50"/>
      <c r="M71" s="50"/>
      <c r="N71" s="50"/>
      <c r="O71" s="75" t="s">
        <v>571</v>
      </c>
      <c r="P71" s="75" t="s">
        <v>562</v>
      </c>
      <c r="Q71" s="75" t="s">
        <v>563</v>
      </c>
      <c r="R71" s="75" t="s">
        <v>584</v>
      </c>
      <c r="S71" s="75" t="s">
        <v>155</v>
      </c>
      <c r="T71" s="50"/>
      <c r="U71" s="50"/>
      <c r="V71" s="75" t="s">
        <v>594</v>
      </c>
      <c r="W71" s="75" t="s">
        <v>566</v>
      </c>
      <c r="X71" s="75" t="s">
        <v>567</v>
      </c>
      <c r="Y71" s="75" t="s">
        <v>206</v>
      </c>
      <c r="Z71" s="75" t="s">
        <v>64</v>
      </c>
      <c r="AA71" s="50"/>
      <c r="AB71" s="50"/>
      <c r="AC71" s="50"/>
      <c r="AD71" s="50"/>
      <c r="AE71" s="50"/>
      <c r="AF71" s="50"/>
      <c r="AG71" s="75" t="s">
        <v>568</v>
      </c>
      <c r="AH71" s="75" t="s">
        <v>72</v>
      </c>
      <c r="AI71" s="75" t="s">
        <v>151</v>
      </c>
      <c r="AJ71" s="75" t="s">
        <v>152</v>
      </c>
      <c r="AK71" s="75" t="s">
        <v>75</v>
      </c>
      <c r="AL71" s="75" t="s">
        <v>76</v>
      </c>
    </row>
    <row r="72" spans="1:38" ht="42" customHeight="1">
      <c r="A72" s="75">
        <v>68</v>
      </c>
      <c r="B72" s="75" t="s">
        <v>560</v>
      </c>
      <c r="C72" s="75" t="s">
        <v>164</v>
      </c>
      <c r="D72" s="50"/>
      <c r="E72" s="50"/>
      <c r="F72" s="75">
        <v>28</v>
      </c>
      <c r="G72" s="50"/>
      <c r="H72" s="50"/>
      <c r="I72" s="50"/>
      <c r="J72" s="50"/>
      <c r="K72" s="50"/>
      <c r="L72" s="50"/>
      <c r="M72" s="50"/>
      <c r="N72" s="50"/>
      <c r="O72" s="75" t="s">
        <v>571</v>
      </c>
      <c r="P72" s="75" t="s">
        <v>562</v>
      </c>
      <c r="Q72" s="75" t="s">
        <v>563</v>
      </c>
      <c r="R72" s="75" t="s">
        <v>584</v>
      </c>
      <c r="S72" s="75" t="s">
        <v>155</v>
      </c>
      <c r="T72" s="50"/>
      <c r="U72" s="50"/>
      <c r="V72" s="75" t="s">
        <v>573</v>
      </c>
      <c r="W72" s="75" t="s">
        <v>566</v>
      </c>
      <c r="X72" s="75" t="s">
        <v>567</v>
      </c>
      <c r="Y72" s="75" t="s">
        <v>165</v>
      </c>
      <c r="Z72" s="75" t="s">
        <v>64</v>
      </c>
      <c r="AA72" s="50"/>
      <c r="AB72" s="50"/>
      <c r="AC72" s="50"/>
      <c r="AD72" s="50"/>
      <c r="AE72" s="50"/>
      <c r="AF72" s="50"/>
      <c r="AG72" s="75" t="s">
        <v>568</v>
      </c>
      <c r="AH72" s="75" t="s">
        <v>72</v>
      </c>
      <c r="AI72" s="75" t="s">
        <v>73</v>
      </c>
      <c r="AJ72" s="75" t="s">
        <v>74</v>
      </c>
      <c r="AK72" s="75" t="s">
        <v>75</v>
      </c>
      <c r="AL72" s="75" t="s">
        <v>76</v>
      </c>
    </row>
    <row r="73" spans="1:38" ht="42" customHeight="1">
      <c r="A73" s="75">
        <v>69</v>
      </c>
      <c r="B73" s="75" t="s">
        <v>560</v>
      </c>
      <c r="C73" s="75" t="s">
        <v>169</v>
      </c>
      <c r="D73" s="50"/>
      <c r="E73" s="50"/>
      <c r="F73" s="75">
        <v>7</v>
      </c>
      <c r="G73" s="50"/>
      <c r="H73" s="50"/>
      <c r="I73" s="50"/>
      <c r="J73" s="50"/>
      <c r="K73" s="50"/>
      <c r="L73" s="50"/>
      <c r="M73" s="50"/>
      <c r="N73" s="50"/>
      <c r="O73" s="75" t="s">
        <v>571</v>
      </c>
      <c r="P73" s="75" t="s">
        <v>562</v>
      </c>
      <c r="Q73" s="75" t="s">
        <v>563</v>
      </c>
      <c r="R73" s="75" t="s">
        <v>584</v>
      </c>
      <c r="S73" s="75" t="s">
        <v>155</v>
      </c>
      <c r="T73" s="50"/>
      <c r="U73" s="50"/>
      <c r="V73" s="75" t="s">
        <v>573</v>
      </c>
      <c r="W73" s="75" t="s">
        <v>566</v>
      </c>
      <c r="X73" s="75" t="s">
        <v>567</v>
      </c>
      <c r="Y73" s="75" t="s">
        <v>170</v>
      </c>
      <c r="Z73" s="75" t="s">
        <v>64</v>
      </c>
      <c r="AA73" s="50"/>
      <c r="AB73" s="50"/>
      <c r="AC73" s="50"/>
      <c r="AD73" s="50"/>
      <c r="AE73" s="50"/>
      <c r="AF73" s="50"/>
      <c r="AG73" s="75" t="s">
        <v>568</v>
      </c>
      <c r="AH73" s="75" t="s">
        <v>72</v>
      </c>
      <c r="AI73" s="75" t="s">
        <v>73</v>
      </c>
      <c r="AJ73" s="75" t="s">
        <v>74</v>
      </c>
      <c r="AK73" s="75" t="s">
        <v>75</v>
      </c>
      <c r="AL73" s="75" t="s">
        <v>76</v>
      </c>
    </row>
    <row r="74" spans="1:38" ht="42" customHeight="1">
      <c r="A74" s="75">
        <v>70</v>
      </c>
      <c r="B74" s="75" t="s">
        <v>560</v>
      </c>
      <c r="C74" s="75" t="s">
        <v>284</v>
      </c>
      <c r="D74" s="50"/>
      <c r="E74" s="50"/>
      <c r="F74" s="50"/>
      <c r="G74" s="50"/>
      <c r="H74" s="50"/>
      <c r="I74" s="50"/>
      <c r="J74" s="50"/>
      <c r="K74" s="50"/>
      <c r="L74" s="50"/>
      <c r="M74" s="50"/>
      <c r="N74" s="50"/>
      <c r="O74" s="75" t="s">
        <v>571</v>
      </c>
      <c r="P74" s="75" t="s">
        <v>562</v>
      </c>
      <c r="Q74" s="75" t="s">
        <v>563</v>
      </c>
      <c r="R74" s="75" t="s">
        <v>572</v>
      </c>
      <c r="S74" s="75" t="s">
        <v>230</v>
      </c>
      <c r="T74" s="50"/>
      <c r="U74" s="50"/>
      <c r="V74" s="75" t="s">
        <v>594</v>
      </c>
      <c r="W74" s="75" t="s">
        <v>566</v>
      </c>
      <c r="X74" s="75" t="s">
        <v>567</v>
      </c>
      <c r="Y74" s="75" t="s">
        <v>227</v>
      </c>
      <c r="Z74" s="75" t="s">
        <v>64</v>
      </c>
      <c r="AA74" s="50"/>
      <c r="AB74" s="50"/>
      <c r="AC74" s="50"/>
      <c r="AD74" s="50"/>
      <c r="AE74" s="50"/>
      <c r="AF74" s="50"/>
      <c r="AG74" s="75" t="s">
        <v>568</v>
      </c>
      <c r="AH74" s="75" t="s">
        <v>135</v>
      </c>
      <c r="AI74" s="75" t="s">
        <v>125</v>
      </c>
      <c r="AJ74" s="75" t="s">
        <v>126</v>
      </c>
      <c r="AK74" s="75" t="s">
        <v>75</v>
      </c>
      <c r="AL74" s="75" t="s">
        <v>76</v>
      </c>
    </row>
    <row r="75" spans="1:38" ht="42" customHeight="1">
      <c r="A75" s="75">
        <v>71</v>
      </c>
      <c r="B75" s="75" t="s">
        <v>560</v>
      </c>
      <c r="C75" s="75" t="s">
        <v>184</v>
      </c>
      <c r="D75" s="50"/>
      <c r="E75" s="50"/>
      <c r="F75" s="50"/>
      <c r="G75" s="50"/>
      <c r="H75" s="50"/>
      <c r="I75" s="50"/>
      <c r="J75" s="50"/>
      <c r="K75" s="50"/>
      <c r="L75" s="50"/>
      <c r="M75" s="50"/>
      <c r="N75" s="50"/>
      <c r="O75" s="75" t="s">
        <v>571</v>
      </c>
      <c r="P75" s="75" t="s">
        <v>562</v>
      </c>
      <c r="Q75" s="75" t="s">
        <v>563</v>
      </c>
      <c r="R75" s="75" t="s">
        <v>584</v>
      </c>
      <c r="S75" s="75" t="s">
        <v>155</v>
      </c>
      <c r="T75" s="50"/>
      <c r="U75" s="50"/>
      <c r="V75" s="75" t="s">
        <v>594</v>
      </c>
      <c r="W75" s="75" t="s">
        <v>566</v>
      </c>
      <c r="X75" s="75" t="s">
        <v>567</v>
      </c>
      <c r="Y75" s="75" t="s">
        <v>170</v>
      </c>
      <c r="Z75" s="75" t="s">
        <v>64</v>
      </c>
      <c r="AA75" s="50"/>
      <c r="AB75" s="50"/>
      <c r="AC75" s="50"/>
      <c r="AD75" s="50"/>
      <c r="AE75" s="50"/>
      <c r="AF75" s="50"/>
      <c r="AG75" s="75" t="s">
        <v>568</v>
      </c>
      <c r="AH75" s="75" t="s">
        <v>72</v>
      </c>
      <c r="AI75" s="75" t="s">
        <v>151</v>
      </c>
      <c r="AJ75" s="75" t="s">
        <v>152</v>
      </c>
      <c r="AK75" s="75" t="s">
        <v>75</v>
      </c>
      <c r="AL75" s="75" t="s">
        <v>76</v>
      </c>
    </row>
    <row r="76" spans="1:38" ht="42" customHeight="1">
      <c r="A76" s="75">
        <v>72</v>
      </c>
      <c r="B76" s="75" t="s">
        <v>560</v>
      </c>
      <c r="C76" s="75" t="s">
        <v>262</v>
      </c>
      <c r="D76" s="50"/>
      <c r="E76" s="50"/>
      <c r="F76" s="50"/>
      <c r="G76" s="50"/>
      <c r="H76" s="50"/>
      <c r="I76" s="50"/>
      <c r="J76" s="50"/>
      <c r="K76" s="50"/>
      <c r="L76" s="50"/>
      <c r="M76" s="50"/>
      <c r="N76" s="50"/>
      <c r="O76" s="75" t="s">
        <v>571</v>
      </c>
      <c r="P76" s="75" t="s">
        <v>562</v>
      </c>
      <c r="Q76" s="75" t="s">
        <v>563</v>
      </c>
      <c r="R76" s="75" t="s">
        <v>572</v>
      </c>
      <c r="S76" s="75" t="s">
        <v>230</v>
      </c>
      <c r="T76" s="50"/>
      <c r="U76" s="50"/>
      <c r="V76" s="75" t="s">
        <v>573</v>
      </c>
      <c r="W76" s="75" t="s">
        <v>566</v>
      </c>
      <c r="X76" s="75" t="s">
        <v>567</v>
      </c>
      <c r="Y76" s="75" t="s">
        <v>37</v>
      </c>
      <c r="Z76" s="75" t="s">
        <v>64</v>
      </c>
      <c r="AA76" s="50"/>
      <c r="AB76" s="50"/>
      <c r="AC76" s="50"/>
      <c r="AD76" s="50"/>
      <c r="AE76" s="50"/>
      <c r="AF76" s="50"/>
      <c r="AG76" s="75" t="s">
        <v>568</v>
      </c>
      <c r="AH76" s="75" t="s">
        <v>72</v>
      </c>
      <c r="AI76" s="75" t="s">
        <v>151</v>
      </c>
      <c r="AJ76" s="75" t="s">
        <v>152</v>
      </c>
      <c r="AK76" s="75" t="s">
        <v>75</v>
      </c>
      <c r="AL76" s="75" t="s">
        <v>76</v>
      </c>
    </row>
    <row r="77" spans="1:38" ht="42" customHeight="1">
      <c r="A77" s="75">
        <v>73</v>
      </c>
      <c r="B77" s="75" t="s">
        <v>560</v>
      </c>
      <c r="C77" s="75" t="s">
        <v>203</v>
      </c>
      <c r="D77" s="50"/>
      <c r="E77" s="50"/>
      <c r="F77" s="50"/>
      <c r="G77" s="50"/>
      <c r="H77" s="50"/>
      <c r="I77" s="50"/>
      <c r="J77" s="50"/>
      <c r="K77" s="50"/>
      <c r="L77" s="50"/>
      <c r="M77" s="50"/>
      <c r="N77" s="50"/>
      <c r="O77" s="75" t="s">
        <v>571</v>
      </c>
      <c r="P77" s="75" t="s">
        <v>562</v>
      </c>
      <c r="Q77" s="75" t="s">
        <v>563</v>
      </c>
      <c r="R77" s="75" t="s">
        <v>584</v>
      </c>
      <c r="S77" s="75" t="s">
        <v>155</v>
      </c>
      <c r="T77" s="50"/>
      <c r="U77" s="50"/>
      <c r="V77" s="75" t="s">
        <v>573</v>
      </c>
      <c r="W77" s="75" t="s">
        <v>566</v>
      </c>
      <c r="X77" s="75" t="s">
        <v>567</v>
      </c>
      <c r="Y77" s="75" t="s">
        <v>204</v>
      </c>
      <c r="Z77" s="75" t="s">
        <v>64</v>
      </c>
      <c r="AA77" s="50"/>
      <c r="AB77" s="50"/>
      <c r="AC77" s="50"/>
      <c r="AD77" s="50"/>
      <c r="AE77" s="50"/>
      <c r="AF77" s="50"/>
      <c r="AG77" s="75" t="s">
        <v>568</v>
      </c>
      <c r="AH77" s="75" t="s">
        <v>135</v>
      </c>
      <c r="AI77" s="75" t="s">
        <v>125</v>
      </c>
      <c r="AJ77" s="75" t="s">
        <v>126</v>
      </c>
      <c r="AK77" s="75" t="s">
        <v>75</v>
      </c>
      <c r="AL77" s="75" t="s">
        <v>76</v>
      </c>
    </row>
    <row r="78" spans="1:38" ht="42" customHeight="1">
      <c r="A78" s="75">
        <v>74</v>
      </c>
      <c r="B78" s="75" t="s">
        <v>560</v>
      </c>
      <c r="C78" s="75" t="s">
        <v>260</v>
      </c>
      <c r="D78" s="50"/>
      <c r="E78" s="50"/>
      <c r="F78" s="50"/>
      <c r="G78" s="50"/>
      <c r="H78" s="50"/>
      <c r="I78" s="50"/>
      <c r="J78" s="50"/>
      <c r="K78" s="50"/>
      <c r="L78" s="50"/>
      <c r="M78" s="50"/>
      <c r="N78" s="50"/>
      <c r="O78" s="75" t="s">
        <v>571</v>
      </c>
      <c r="P78" s="75" t="s">
        <v>562</v>
      </c>
      <c r="Q78" s="75" t="s">
        <v>563</v>
      </c>
      <c r="R78" s="75" t="s">
        <v>572</v>
      </c>
      <c r="S78" s="75" t="s">
        <v>230</v>
      </c>
      <c r="T78" s="50"/>
      <c r="U78" s="50"/>
      <c r="V78" s="75" t="s">
        <v>594</v>
      </c>
      <c r="W78" s="75" t="s">
        <v>566</v>
      </c>
      <c r="X78" s="75" t="s">
        <v>567</v>
      </c>
      <c r="Y78" s="75" t="s">
        <v>97</v>
      </c>
      <c r="Z78" s="75" t="s">
        <v>64</v>
      </c>
      <c r="AA78" s="50"/>
      <c r="AB78" s="50"/>
      <c r="AC78" s="50"/>
      <c r="AD78" s="50"/>
      <c r="AE78" s="50"/>
      <c r="AF78" s="50"/>
      <c r="AG78" s="75" t="s">
        <v>568</v>
      </c>
      <c r="AH78" s="75" t="s">
        <v>135</v>
      </c>
      <c r="AI78" s="75" t="s">
        <v>125</v>
      </c>
      <c r="AJ78" s="75" t="s">
        <v>126</v>
      </c>
      <c r="AK78" s="75" t="s">
        <v>75</v>
      </c>
      <c r="AL78" s="75" t="s">
        <v>76</v>
      </c>
    </row>
    <row r="79" spans="1:38" ht="42" customHeight="1">
      <c r="A79" s="75">
        <v>75</v>
      </c>
      <c r="B79" s="75" t="s">
        <v>560</v>
      </c>
      <c r="C79" s="75" t="s">
        <v>275</v>
      </c>
      <c r="D79" s="50"/>
      <c r="E79" s="50"/>
      <c r="F79" s="50"/>
      <c r="G79" s="50"/>
      <c r="H79" s="50"/>
      <c r="I79" s="50"/>
      <c r="J79" s="50"/>
      <c r="K79" s="50"/>
      <c r="L79" s="50"/>
      <c r="M79" s="50"/>
      <c r="N79" s="50"/>
      <c r="O79" s="75" t="s">
        <v>571</v>
      </c>
      <c r="P79" s="75" t="s">
        <v>562</v>
      </c>
      <c r="Q79" s="75" t="s">
        <v>563</v>
      </c>
      <c r="R79" s="75" t="s">
        <v>572</v>
      </c>
      <c r="S79" s="75" t="s">
        <v>230</v>
      </c>
      <c r="T79" s="50"/>
      <c r="U79" s="50"/>
      <c r="V79" s="75" t="s">
        <v>573</v>
      </c>
      <c r="W79" s="75" t="s">
        <v>566</v>
      </c>
      <c r="X79" s="75" t="s">
        <v>567</v>
      </c>
      <c r="Y79" s="75" t="s">
        <v>267</v>
      </c>
      <c r="Z79" s="75" t="s">
        <v>226</v>
      </c>
      <c r="AA79" s="50"/>
      <c r="AB79" s="75" t="s">
        <v>588</v>
      </c>
      <c r="AC79" s="50"/>
      <c r="AD79" s="50"/>
      <c r="AE79" s="50"/>
      <c r="AF79" s="50"/>
      <c r="AG79" s="75" t="s">
        <v>568</v>
      </c>
      <c r="AH79" s="75" t="s">
        <v>135</v>
      </c>
      <c r="AI79" s="75" t="s">
        <v>125</v>
      </c>
      <c r="AJ79" s="75" t="s">
        <v>126</v>
      </c>
      <c r="AK79" s="75" t="s">
        <v>75</v>
      </c>
      <c r="AL79" s="75" t="s">
        <v>76</v>
      </c>
    </row>
    <row r="80" spans="1:38" ht="42" customHeight="1">
      <c r="A80" s="75">
        <v>76</v>
      </c>
      <c r="B80" s="75" t="s">
        <v>560</v>
      </c>
      <c r="C80" s="75" t="s">
        <v>288</v>
      </c>
      <c r="D80" s="50"/>
      <c r="E80" s="50"/>
      <c r="F80" s="50"/>
      <c r="G80" s="50"/>
      <c r="H80" s="50"/>
      <c r="I80" s="50"/>
      <c r="J80" s="50"/>
      <c r="K80" s="50"/>
      <c r="L80" s="50"/>
      <c r="M80" s="50"/>
      <c r="N80" s="50"/>
      <c r="O80" s="75" t="s">
        <v>571</v>
      </c>
      <c r="P80" s="75" t="s">
        <v>562</v>
      </c>
      <c r="Q80" s="75" t="s">
        <v>563</v>
      </c>
      <c r="R80" s="75" t="s">
        <v>572</v>
      </c>
      <c r="S80" s="75" t="s">
        <v>230</v>
      </c>
      <c r="T80" s="50"/>
      <c r="U80" s="50"/>
      <c r="V80" s="75" t="s">
        <v>594</v>
      </c>
      <c r="W80" s="75" t="s">
        <v>566</v>
      </c>
      <c r="X80" s="75" t="s">
        <v>567</v>
      </c>
      <c r="Y80" s="75" t="s">
        <v>199</v>
      </c>
      <c r="Z80" s="75" t="s">
        <v>64</v>
      </c>
      <c r="AA80" s="50"/>
      <c r="AB80" s="75" t="s">
        <v>600</v>
      </c>
      <c r="AC80" s="50"/>
      <c r="AD80" s="50"/>
      <c r="AE80" s="50"/>
      <c r="AF80" s="50"/>
      <c r="AG80" s="75" t="s">
        <v>568</v>
      </c>
      <c r="AH80" s="75" t="s">
        <v>72</v>
      </c>
      <c r="AI80" s="75" t="s">
        <v>151</v>
      </c>
      <c r="AJ80" s="75" t="s">
        <v>152</v>
      </c>
      <c r="AK80" s="75" t="s">
        <v>75</v>
      </c>
      <c r="AL80" s="75" t="s">
        <v>76</v>
      </c>
    </row>
    <row r="81" spans="1:38" ht="42" customHeight="1">
      <c r="A81" s="75">
        <v>77</v>
      </c>
      <c r="B81" s="75" t="s">
        <v>560</v>
      </c>
      <c r="C81" s="75" t="s">
        <v>180</v>
      </c>
      <c r="D81" s="50"/>
      <c r="E81" s="50"/>
      <c r="F81" s="50"/>
      <c r="G81" s="50"/>
      <c r="H81" s="50"/>
      <c r="I81" s="50"/>
      <c r="J81" s="50"/>
      <c r="K81" s="50"/>
      <c r="L81" s="50"/>
      <c r="M81" s="50"/>
      <c r="N81" s="50"/>
      <c r="O81" s="75" t="s">
        <v>571</v>
      </c>
      <c r="P81" s="75" t="s">
        <v>562</v>
      </c>
      <c r="Q81" s="75" t="s">
        <v>563</v>
      </c>
      <c r="R81" s="75" t="s">
        <v>584</v>
      </c>
      <c r="S81" s="75" t="s">
        <v>155</v>
      </c>
      <c r="T81" s="50"/>
      <c r="U81" s="50"/>
      <c r="V81" s="75" t="s">
        <v>573</v>
      </c>
      <c r="W81" s="75" t="s">
        <v>566</v>
      </c>
      <c r="X81" s="75" t="s">
        <v>567</v>
      </c>
      <c r="Y81" s="75" t="s">
        <v>120</v>
      </c>
      <c r="Z81" s="75" t="s">
        <v>64</v>
      </c>
      <c r="AA81" s="50"/>
      <c r="AB81" s="50"/>
      <c r="AC81" s="50"/>
      <c r="AD81" s="50"/>
      <c r="AE81" s="50"/>
      <c r="AF81" s="50"/>
      <c r="AG81" s="75" t="s">
        <v>568</v>
      </c>
      <c r="AH81" s="75" t="s">
        <v>124</v>
      </c>
      <c r="AI81" s="75" t="s">
        <v>125</v>
      </c>
      <c r="AJ81" s="75" t="s">
        <v>126</v>
      </c>
      <c r="AK81" s="75" t="s">
        <v>75</v>
      </c>
      <c r="AL81" s="75" t="s">
        <v>76</v>
      </c>
    </row>
    <row r="82" spans="1:38" ht="42" customHeight="1">
      <c r="A82" s="75">
        <v>78</v>
      </c>
      <c r="B82" s="75" t="s">
        <v>560</v>
      </c>
      <c r="C82" s="75" t="s">
        <v>266</v>
      </c>
      <c r="D82" s="50"/>
      <c r="E82" s="50"/>
      <c r="F82" s="50"/>
      <c r="G82" s="50"/>
      <c r="H82" s="50"/>
      <c r="I82" s="50"/>
      <c r="J82" s="50"/>
      <c r="K82" s="50"/>
      <c r="L82" s="50"/>
      <c r="M82" s="50"/>
      <c r="N82" s="50"/>
      <c r="O82" s="75" t="s">
        <v>571</v>
      </c>
      <c r="P82" s="75" t="s">
        <v>562</v>
      </c>
      <c r="Q82" s="75" t="s">
        <v>563</v>
      </c>
      <c r="R82" s="75" t="s">
        <v>572</v>
      </c>
      <c r="S82" s="75" t="s">
        <v>230</v>
      </c>
      <c r="T82" s="50"/>
      <c r="U82" s="50"/>
      <c r="V82" s="75" t="s">
        <v>594</v>
      </c>
      <c r="W82" s="75" t="s">
        <v>566</v>
      </c>
      <c r="X82" s="75" t="s">
        <v>567</v>
      </c>
      <c r="Y82" s="75" t="s">
        <v>267</v>
      </c>
      <c r="Z82" s="75" t="s">
        <v>64</v>
      </c>
      <c r="AA82" s="50"/>
      <c r="AB82" s="50"/>
      <c r="AC82" s="50"/>
      <c r="AD82" s="50"/>
      <c r="AE82" s="50"/>
      <c r="AF82" s="50"/>
      <c r="AG82" s="75" t="s">
        <v>568</v>
      </c>
      <c r="AH82" s="75" t="s">
        <v>135</v>
      </c>
      <c r="AI82" s="75" t="s">
        <v>125</v>
      </c>
      <c r="AJ82" s="75" t="s">
        <v>126</v>
      </c>
      <c r="AK82" s="75" t="s">
        <v>75</v>
      </c>
      <c r="AL82" s="75" t="s">
        <v>76</v>
      </c>
    </row>
    <row r="83" spans="1:38" ht="42" customHeight="1">
      <c r="A83" s="75">
        <v>79</v>
      </c>
      <c r="B83" s="75" t="s">
        <v>560</v>
      </c>
      <c r="C83" s="75" t="s">
        <v>198</v>
      </c>
      <c r="D83" s="50"/>
      <c r="E83" s="50"/>
      <c r="F83" s="50"/>
      <c r="G83" s="50"/>
      <c r="H83" s="50"/>
      <c r="I83" s="50"/>
      <c r="J83" s="50"/>
      <c r="K83" s="50"/>
      <c r="L83" s="50"/>
      <c r="M83" s="50"/>
      <c r="N83" s="50"/>
      <c r="O83" s="75" t="s">
        <v>571</v>
      </c>
      <c r="P83" s="75" t="s">
        <v>562</v>
      </c>
      <c r="Q83" s="75" t="s">
        <v>563</v>
      </c>
      <c r="R83" s="75" t="s">
        <v>584</v>
      </c>
      <c r="S83" s="75" t="s">
        <v>155</v>
      </c>
      <c r="T83" s="50"/>
      <c r="U83" s="50"/>
      <c r="V83" s="75" t="s">
        <v>573</v>
      </c>
      <c r="W83" s="75" t="s">
        <v>566</v>
      </c>
      <c r="X83" s="75" t="s">
        <v>567</v>
      </c>
      <c r="Y83" s="75" t="s">
        <v>199</v>
      </c>
      <c r="Z83" s="75" t="s">
        <v>64</v>
      </c>
      <c r="AA83" s="50"/>
      <c r="AB83" s="50"/>
      <c r="AC83" s="50"/>
      <c r="AD83" s="50"/>
      <c r="AE83" s="50"/>
      <c r="AF83" s="50"/>
      <c r="AG83" s="75" t="s">
        <v>568</v>
      </c>
      <c r="AH83" s="75" t="s">
        <v>72</v>
      </c>
      <c r="AI83" s="75" t="s">
        <v>151</v>
      </c>
      <c r="AJ83" s="75" t="s">
        <v>152</v>
      </c>
      <c r="AK83" s="75" t="s">
        <v>75</v>
      </c>
      <c r="AL83" s="75" t="s">
        <v>76</v>
      </c>
    </row>
    <row r="84" spans="1:38" ht="42" customHeight="1">
      <c r="A84" s="75">
        <v>80</v>
      </c>
      <c r="B84" s="75" t="s">
        <v>560</v>
      </c>
      <c r="C84" s="75" t="s">
        <v>175</v>
      </c>
      <c r="D84" s="50"/>
      <c r="E84" s="50"/>
      <c r="F84" s="50"/>
      <c r="G84" s="50"/>
      <c r="H84" s="50"/>
      <c r="I84" s="50"/>
      <c r="J84" s="50"/>
      <c r="K84" s="50"/>
      <c r="L84" s="50"/>
      <c r="M84" s="50"/>
      <c r="N84" s="50"/>
      <c r="O84" s="75" t="s">
        <v>571</v>
      </c>
      <c r="P84" s="75" t="s">
        <v>562</v>
      </c>
      <c r="Q84" s="75" t="s">
        <v>563</v>
      </c>
      <c r="R84" s="75" t="s">
        <v>584</v>
      </c>
      <c r="S84" s="75" t="s">
        <v>155</v>
      </c>
      <c r="T84" s="50"/>
      <c r="U84" s="50"/>
      <c r="V84" s="75" t="s">
        <v>573</v>
      </c>
      <c r="W84" s="75" t="s">
        <v>566</v>
      </c>
      <c r="X84" s="75" t="s">
        <v>567</v>
      </c>
      <c r="Y84" s="75" t="s">
        <v>176</v>
      </c>
      <c r="Z84" s="75" t="s">
        <v>64</v>
      </c>
      <c r="AA84" s="50"/>
      <c r="AB84" s="50"/>
      <c r="AC84" s="50"/>
      <c r="AD84" s="50"/>
      <c r="AE84" s="50"/>
      <c r="AF84" s="50"/>
      <c r="AG84" s="75" t="s">
        <v>568</v>
      </c>
      <c r="AH84" s="75" t="s">
        <v>72</v>
      </c>
      <c r="AI84" s="75" t="s">
        <v>151</v>
      </c>
      <c r="AJ84" s="75" t="s">
        <v>152</v>
      </c>
      <c r="AK84" s="75" t="s">
        <v>75</v>
      </c>
      <c r="AL84" s="75" t="s">
        <v>76</v>
      </c>
    </row>
    <row r="85" spans="1:38" ht="42" customHeight="1">
      <c r="A85" s="75">
        <v>81</v>
      </c>
      <c r="B85" s="75" t="s">
        <v>560</v>
      </c>
      <c r="C85" s="75" t="s">
        <v>181</v>
      </c>
      <c r="D85" s="50"/>
      <c r="E85" s="50"/>
      <c r="F85" s="50"/>
      <c r="G85" s="50"/>
      <c r="H85" s="50"/>
      <c r="I85" s="50"/>
      <c r="J85" s="50"/>
      <c r="K85" s="50"/>
      <c r="L85" s="50"/>
      <c r="M85" s="50"/>
      <c r="N85" s="50"/>
      <c r="O85" s="75" t="s">
        <v>571</v>
      </c>
      <c r="P85" s="75" t="s">
        <v>562</v>
      </c>
      <c r="Q85" s="75" t="s">
        <v>563</v>
      </c>
      <c r="R85" s="75" t="s">
        <v>584</v>
      </c>
      <c r="S85" s="75" t="s">
        <v>155</v>
      </c>
      <c r="T85" s="50"/>
      <c r="U85" s="50"/>
      <c r="V85" s="75" t="s">
        <v>573</v>
      </c>
      <c r="W85" s="75" t="s">
        <v>566</v>
      </c>
      <c r="X85" s="75" t="s">
        <v>567</v>
      </c>
      <c r="Y85" s="75" t="s">
        <v>92</v>
      </c>
      <c r="Z85" s="75" t="s">
        <v>64</v>
      </c>
      <c r="AA85" s="50"/>
      <c r="AB85" s="50"/>
      <c r="AC85" s="50"/>
      <c r="AD85" s="50"/>
      <c r="AE85" s="50"/>
      <c r="AF85" s="50"/>
      <c r="AG85" s="75" t="s">
        <v>568</v>
      </c>
      <c r="AH85" s="75" t="s">
        <v>72</v>
      </c>
      <c r="AI85" s="75" t="s">
        <v>151</v>
      </c>
      <c r="AJ85" s="75" t="s">
        <v>152</v>
      </c>
      <c r="AK85" s="75" t="s">
        <v>75</v>
      </c>
      <c r="AL85" s="75" t="s">
        <v>76</v>
      </c>
    </row>
    <row r="86" spans="1:38" ht="42" customHeight="1">
      <c r="A86" s="75">
        <v>82</v>
      </c>
      <c r="B86" s="75" t="s">
        <v>560</v>
      </c>
      <c r="C86" s="75" t="s">
        <v>200</v>
      </c>
      <c r="D86" s="50"/>
      <c r="E86" s="50"/>
      <c r="F86" s="50"/>
      <c r="G86" s="50"/>
      <c r="H86" s="50"/>
      <c r="I86" s="50"/>
      <c r="J86" s="50"/>
      <c r="K86" s="50"/>
      <c r="L86" s="50"/>
      <c r="M86" s="50"/>
      <c r="N86" s="50"/>
      <c r="O86" s="75" t="s">
        <v>571</v>
      </c>
      <c r="P86" s="75" t="s">
        <v>562</v>
      </c>
      <c r="Q86" s="75" t="s">
        <v>563</v>
      </c>
      <c r="R86" s="75" t="s">
        <v>584</v>
      </c>
      <c r="S86" s="75" t="s">
        <v>155</v>
      </c>
      <c r="T86" s="50"/>
      <c r="U86" s="50"/>
      <c r="V86" s="75" t="s">
        <v>573</v>
      </c>
      <c r="W86" s="75" t="s">
        <v>566</v>
      </c>
      <c r="X86" s="75" t="s">
        <v>567</v>
      </c>
      <c r="Y86" s="75" t="s">
        <v>201</v>
      </c>
      <c r="Z86" s="75" t="s">
        <v>64</v>
      </c>
      <c r="AA86" s="50"/>
      <c r="AB86" s="50"/>
      <c r="AC86" s="50"/>
      <c r="AD86" s="50"/>
      <c r="AE86" s="50"/>
      <c r="AF86" s="50"/>
      <c r="AG86" s="75" t="s">
        <v>568</v>
      </c>
      <c r="AH86" s="75" t="s">
        <v>72</v>
      </c>
      <c r="AI86" s="75" t="s">
        <v>151</v>
      </c>
      <c r="AJ86" s="75" t="s">
        <v>152</v>
      </c>
      <c r="AK86" s="75" t="s">
        <v>75</v>
      </c>
      <c r="AL86" s="75" t="s">
        <v>76</v>
      </c>
    </row>
    <row r="87" spans="1:38" ht="42" customHeight="1">
      <c r="A87" s="75">
        <v>83</v>
      </c>
      <c r="B87" s="75" t="s">
        <v>560</v>
      </c>
      <c r="C87" s="75" t="s">
        <v>209</v>
      </c>
      <c r="D87" s="50"/>
      <c r="E87" s="50"/>
      <c r="F87" s="50"/>
      <c r="G87" s="50"/>
      <c r="H87" s="50"/>
      <c r="I87" s="50"/>
      <c r="J87" s="50"/>
      <c r="K87" s="50"/>
      <c r="L87" s="50"/>
      <c r="M87" s="50"/>
      <c r="N87" s="50"/>
      <c r="O87" s="75" t="s">
        <v>571</v>
      </c>
      <c r="P87" s="75" t="s">
        <v>562</v>
      </c>
      <c r="Q87" s="75" t="s">
        <v>563</v>
      </c>
      <c r="R87" s="75" t="s">
        <v>584</v>
      </c>
      <c r="S87" s="75" t="s">
        <v>155</v>
      </c>
      <c r="T87" s="50"/>
      <c r="U87" s="50"/>
      <c r="V87" s="75" t="s">
        <v>573</v>
      </c>
      <c r="W87" s="75" t="s">
        <v>566</v>
      </c>
      <c r="X87" s="75" t="s">
        <v>567</v>
      </c>
      <c r="Y87" s="75" t="s">
        <v>188</v>
      </c>
      <c r="Z87" s="75" t="s">
        <v>64</v>
      </c>
      <c r="AA87" s="50"/>
      <c r="AB87" s="50"/>
      <c r="AC87" s="50"/>
      <c r="AD87" s="50"/>
      <c r="AE87" s="50"/>
      <c r="AF87" s="50"/>
      <c r="AG87" s="75" t="s">
        <v>568</v>
      </c>
      <c r="AH87" s="75" t="s">
        <v>72</v>
      </c>
      <c r="AI87" s="75" t="s">
        <v>151</v>
      </c>
      <c r="AJ87" s="75" t="s">
        <v>152</v>
      </c>
      <c r="AK87" s="75" t="s">
        <v>75</v>
      </c>
      <c r="AL87" s="75" t="s">
        <v>76</v>
      </c>
    </row>
    <row r="88" spans="1:38" ht="42" customHeight="1">
      <c r="A88" s="75">
        <v>84</v>
      </c>
      <c r="B88" s="75" t="s">
        <v>560</v>
      </c>
      <c r="C88" s="75" t="s">
        <v>178</v>
      </c>
      <c r="D88" s="50"/>
      <c r="E88" s="50"/>
      <c r="F88" s="50"/>
      <c r="G88" s="50"/>
      <c r="H88" s="50"/>
      <c r="I88" s="50"/>
      <c r="J88" s="50"/>
      <c r="K88" s="50"/>
      <c r="L88" s="50"/>
      <c r="M88" s="50"/>
      <c r="N88" s="50"/>
      <c r="O88" s="75" t="s">
        <v>571</v>
      </c>
      <c r="P88" s="75" t="s">
        <v>562</v>
      </c>
      <c r="Q88" s="75" t="s">
        <v>563</v>
      </c>
      <c r="R88" s="75" t="s">
        <v>584</v>
      </c>
      <c r="S88" s="75" t="s">
        <v>155</v>
      </c>
      <c r="T88" s="50"/>
      <c r="U88" s="50"/>
      <c r="V88" s="75" t="s">
        <v>573</v>
      </c>
      <c r="W88" s="75" t="s">
        <v>566</v>
      </c>
      <c r="X88" s="75" t="s">
        <v>567</v>
      </c>
      <c r="Y88" s="75" t="s">
        <v>92</v>
      </c>
      <c r="Z88" s="75" t="s">
        <v>64</v>
      </c>
      <c r="AA88" s="50"/>
      <c r="AB88" s="50"/>
      <c r="AC88" s="50"/>
      <c r="AD88" s="50"/>
      <c r="AE88" s="50"/>
      <c r="AF88" s="50"/>
      <c r="AG88" s="75" t="s">
        <v>568</v>
      </c>
      <c r="AH88" s="75" t="s">
        <v>72</v>
      </c>
      <c r="AI88" s="75" t="s">
        <v>151</v>
      </c>
      <c r="AJ88" s="75" t="s">
        <v>152</v>
      </c>
      <c r="AK88" s="75" t="s">
        <v>75</v>
      </c>
      <c r="AL88" s="75" t="s">
        <v>76</v>
      </c>
    </row>
    <row r="89" spans="1:38" ht="42" customHeight="1">
      <c r="A89" s="75">
        <v>85</v>
      </c>
      <c r="B89" s="75" t="s">
        <v>560</v>
      </c>
      <c r="C89" s="75" t="s">
        <v>182</v>
      </c>
      <c r="D89" s="50"/>
      <c r="E89" s="50"/>
      <c r="F89" s="50"/>
      <c r="G89" s="50"/>
      <c r="H89" s="50"/>
      <c r="I89" s="50"/>
      <c r="J89" s="50"/>
      <c r="K89" s="50"/>
      <c r="L89" s="50"/>
      <c r="M89" s="50"/>
      <c r="N89" s="50"/>
      <c r="O89" s="75" t="s">
        <v>571</v>
      </c>
      <c r="P89" s="75" t="s">
        <v>562</v>
      </c>
      <c r="Q89" s="75" t="s">
        <v>563</v>
      </c>
      <c r="R89" s="75" t="s">
        <v>584</v>
      </c>
      <c r="S89" s="75" t="s">
        <v>155</v>
      </c>
      <c r="T89" s="50"/>
      <c r="U89" s="50"/>
      <c r="V89" s="75" t="s">
        <v>573</v>
      </c>
      <c r="W89" s="75" t="s">
        <v>566</v>
      </c>
      <c r="X89" s="75" t="s">
        <v>567</v>
      </c>
      <c r="Y89" s="75" t="s">
        <v>39</v>
      </c>
      <c r="Z89" s="75" t="s">
        <v>64</v>
      </c>
      <c r="AA89" s="50"/>
      <c r="AB89" s="50"/>
      <c r="AC89" s="50"/>
      <c r="AD89" s="50"/>
      <c r="AE89" s="50"/>
      <c r="AF89" s="50"/>
      <c r="AG89" s="75" t="s">
        <v>568</v>
      </c>
      <c r="AH89" s="75" t="s">
        <v>72</v>
      </c>
      <c r="AI89" s="75" t="s">
        <v>151</v>
      </c>
      <c r="AJ89" s="75" t="s">
        <v>152</v>
      </c>
      <c r="AK89" s="75" t="s">
        <v>75</v>
      </c>
      <c r="AL89" s="75" t="s">
        <v>76</v>
      </c>
    </row>
    <row r="90" spans="1:38" ht="42" customHeight="1">
      <c r="A90" s="75">
        <v>86</v>
      </c>
      <c r="B90" s="75" t="s">
        <v>560</v>
      </c>
      <c r="C90" s="75" t="s">
        <v>259</v>
      </c>
      <c r="D90" s="50"/>
      <c r="E90" s="50"/>
      <c r="F90" s="50"/>
      <c r="G90" s="50"/>
      <c r="H90" s="50"/>
      <c r="I90" s="50"/>
      <c r="J90" s="50"/>
      <c r="K90" s="50"/>
      <c r="L90" s="50"/>
      <c r="M90" s="50"/>
      <c r="N90" s="50"/>
      <c r="O90" s="75" t="s">
        <v>571</v>
      </c>
      <c r="P90" s="75" t="s">
        <v>562</v>
      </c>
      <c r="Q90" s="75" t="s">
        <v>563</v>
      </c>
      <c r="R90" s="75" t="s">
        <v>572</v>
      </c>
      <c r="S90" s="75" t="s">
        <v>230</v>
      </c>
      <c r="T90" s="50"/>
      <c r="U90" s="50"/>
      <c r="V90" s="75" t="s">
        <v>573</v>
      </c>
      <c r="W90" s="75" t="s">
        <v>566</v>
      </c>
      <c r="X90" s="75" t="s">
        <v>567</v>
      </c>
      <c r="Y90" s="75" t="s">
        <v>201</v>
      </c>
      <c r="Z90" s="75" t="s">
        <v>64</v>
      </c>
      <c r="AA90" s="50"/>
      <c r="AB90" s="50"/>
      <c r="AC90" s="50"/>
      <c r="AD90" s="50"/>
      <c r="AE90" s="50"/>
      <c r="AF90" s="50"/>
      <c r="AG90" s="75" t="s">
        <v>568</v>
      </c>
      <c r="AH90" s="75" t="s">
        <v>135</v>
      </c>
      <c r="AI90" s="75" t="s">
        <v>125</v>
      </c>
      <c r="AJ90" s="75" t="s">
        <v>126</v>
      </c>
      <c r="AK90" s="75" t="s">
        <v>75</v>
      </c>
      <c r="AL90" s="75" t="s">
        <v>76</v>
      </c>
    </row>
    <row r="91" spans="1:38" ht="42" customHeight="1">
      <c r="A91" s="75">
        <v>87</v>
      </c>
      <c r="B91" s="75" t="s">
        <v>560</v>
      </c>
      <c r="C91" s="75" t="s">
        <v>213</v>
      </c>
      <c r="D91" s="50"/>
      <c r="E91" s="50"/>
      <c r="F91" s="50"/>
      <c r="G91" s="50"/>
      <c r="H91" s="50"/>
      <c r="I91" s="50"/>
      <c r="J91" s="50"/>
      <c r="K91" s="50"/>
      <c r="L91" s="50"/>
      <c r="M91" s="50"/>
      <c r="N91" s="50"/>
      <c r="O91" s="75" t="s">
        <v>571</v>
      </c>
      <c r="P91" s="75" t="s">
        <v>562</v>
      </c>
      <c r="Q91" s="75" t="s">
        <v>563</v>
      </c>
      <c r="R91" s="75" t="s">
        <v>584</v>
      </c>
      <c r="S91" s="75" t="s">
        <v>155</v>
      </c>
      <c r="T91" s="50"/>
      <c r="U91" s="50"/>
      <c r="V91" s="75" t="s">
        <v>573</v>
      </c>
      <c r="W91" s="75" t="s">
        <v>566</v>
      </c>
      <c r="X91" s="75" t="s">
        <v>567</v>
      </c>
      <c r="Y91" s="75" t="s">
        <v>214</v>
      </c>
      <c r="Z91" s="75" t="s">
        <v>64</v>
      </c>
      <c r="AA91" s="50"/>
      <c r="AB91" s="50"/>
      <c r="AC91" s="50"/>
      <c r="AD91" s="50"/>
      <c r="AE91" s="50"/>
      <c r="AF91" s="50"/>
      <c r="AG91" s="75" t="s">
        <v>568</v>
      </c>
      <c r="AH91" s="75" t="s">
        <v>72</v>
      </c>
      <c r="AI91" s="75" t="s">
        <v>151</v>
      </c>
      <c r="AJ91" s="75" t="s">
        <v>152</v>
      </c>
      <c r="AK91" s="75" t="s">
        <v>75</v>
      </c>
      <c r="AL91" s="75" t="s">
        <v>76</v>
      </c>
    </row>
    <row r="92" spans="1:38" ht="42" customHeight="1">
      <c r="A92" s="75">
        <v>88</v>
      </c>
      <c r="B92" s="75" t="s">
        <v>560</v>
      </c>
      <c r="C92" s="75" t="s">
        <v>217</v>
      </c>
      <c r="D92" s="50"/>
      <c r="E92" s="50"/>
      <c r="F92" s="50"/>
      <c r="G92" s="50"/>
      <c r="H92" s="50"/>
      <c r="I92" s="50"/>
      <c r="J92" s="50"/>
      <c r="K92" s="50"/>
      <c r="L92" s="50"/>
      <c r="M92" s="50"/>
      <c r="N92" s="50"/>
      <c r="O92" s="75" t="s">
        <v>571</v>
      </c>
      <c r="P92" s="75" t="s">
        <v>562</v>
      </c>
      <c r="Q92" s="75" t="s">
        <v>563</v>
      </c>
      <c r="R92" s="75" t="s">
        <v>584</v>
      </c>
      <c r="S92" s="75" t="s">
        <v>155</v>
      </c>
      <c r="T92" s="50"/>
      <c r="U92" s="50"/>
      <c r="V92" s="75" t="s">
        <v>573</v>
      </c>
      <c r="W92" s="75" t="s">
        <v>566</v>
      </c>
      <c r="X92" s="75" t="s">
        <v>567</v>
      </c>
      <c r="Y92" s="75" t="s">
        <v>218</v>
      </c>
      <c r="Z92" s="75" t="s">
        <v>64</v>
      </c>
      <c r="AA92" s="50"/>
      <c r="AB92" s="50"/>
      <c r="AC92" s="50"/>
      <c r="AD92" s="50"/>
      <c r="AE92" s="50"/>
      <c r="AF92" s="50"/>
      <c r="AG92" s="75" t="s">
        <v>568</v>
      </c>
      <c r="AH92" s="75" t="s">
        <v>72</v>
      </c>
      <c r="AI92" s="75" t="s">
        <v>151</v>
      </c>
      <c r="AJ92" s="75" t="s">
        <v>152</v>
      </c>
      <c r="AK92" s="75" t="s">
        <v>75</v>
      </c>
      <c r="AL92" s="75" t="s">
        <v>76</v>
      </c>
    </row>
    <row r="93" spans="1:38" ht="42" customHeight="1">
      <c r="A93" s="75">
        <v>89</v>
      </c>
      <c r="B93" s="75" t="s">
        <v>560</v>
      </c>
      <c r="C93" s="75" t="s">
        <v>215</v>
      </c>
      <c r="D93" s="50"/>
      <c r="E93" s="50"/>
      <c r="F93" s="50"/>
      <c r="G93" s="50"/>
      <c r="H93" s="50"/>
      <c r="I93" s="50"/>
      <c r="J93" s="50"/>
      <c r="K93" s="50"/>
      <c r="L93" s="50"/>
      <c r="M93" s="50"/>
      <c r="N93" s="50"/>
      <c r="O93" s="75" t="s">
        <v>571</v>
      </c>
      <c r="P93" s="75" t="s">
        <v>562</v>
      </c>
      <c r="Q93" s="75" t="s">
        <v>563</v>
      </c>
      <c r="R93" s="75" t="s">
        <v>584</v>
      </c>
      <c r="S93" s="75" t="s">
        <v>155</v>
      </c>
      <c r="T93" s="50"/>
      <c r="U93" s="50"/>
      <c r="V93" s="75" t="s">
        <v>573</v>
      </c>
      <c r="W93" s="75" t="s">
        <v>566</v>
      </c>
      <c r="X93" s="75" t="s">
        <v>567</v>
      </c>
      <c r="Y93" s="75" t="s">
        <v>130</v>
      </c>
      <c r="Z93" s="75" t="s">
        <v>64</v>
      </c>
      <c r="AA93" s="50"/>
      <c r="AB93" s="50"/>
      <c r="AC93" s="50"/>
      <c r="AD93" s="50"/>
      <c r="AE93" s="50"/>
      <c r="AF93" s="50"/>
      <c r="AG93" s="75" t="s">
        <v>568</v>
      </c>
      <c r="AH93" s="75" t="s">
        <v>135</v>
      </c>
      <c r="AI93" s="75" t="s">
        <v>125</v>
      </c>
      <c r="AJ93" s="75" t="s">
        <v>126</v>
      </c>
      <c r="AK93" s="75" t="s">
        <v>75</v>
      </c>
      <c r="AL93" s="75" t="s">
        <v>76</v>
      </c>
    </row>
    <row r="94" spans="1:38" ht="42" customHeight="1">
      <c r="A94" s="75">
        <v>90</v>
      </c>
      <c r="B94" s="75" t="s">
        <v>560</v>
      </c>
      <c r="C94" s="75" t="s">
        <v>241</v>
      </c>
      <c r="D94" s="50"/>
      <c r="E94" s="50"/>
      <c r="F94" s="50"/>
      <c r="G94" s="50"/>
      <c r="H94" s="50"/>
      <c r="I94" s="50"/>
      <c r="J94" s="50"/>
      <c r="K94" s="50"/>
      <c r="L94" s="50"/>
      <c r="M94" s="50"/>
      <c r="N94" s="50"/>
      <c r="O94" s="75" t="s">
        <v>571</v>
      </c>
      <c r="P94" s="75" t="s">
        <v>562</v>
      </c>
      <c r="Q94" s="75" t="s">
        <v>563</v>
      </c>
      <c r="R94" s="75" t="s">
        <v>572</v>
      </c>
      <c r="S94" s="75" t="s">
        <v>230</v>
      </c>
      <c r="T94" s="50"/>
      <c r="U94" s="50"/>
      <c r="V94" s="75" t="s">
        <v>573</v>
      </c>
      <c r="W94" s="75" t="s">
        <v>566</v>
      </c>
      <c r="X94" s="75" t="s">
        <v>567</v>
      </c>
      <c r="Y94" s="75" t="s">
        <v>92</v>
      </c>
      <c r="Z94" s="75" t="s">
        <v>226</v>
      </c>
      <c r="AA94" s="50"/>
      <c r="AB94" s="50"/>
      <c r="AC94" s="50"/>
      <c r="AD94" s="50"/>
      <c r="AE94" s="50"/>
      <c r="AF94" s="50"/>
      <c r="AG94" s="75" t="s">
        <v>568</v>
      </c>
      <c r="AH94" s="75" t="s">
        <v>72</v>
      </c>
      <c r="AI94" s="75" t="s">
        <v>151</v>
      </c>
      <c r="AJ94" s="75" t="s">
        <v>152</v>
      </c>
      <c r="AK94" s="75" t="s">
        <v>75</v>
      </c>
      <c r="AL94" s="75" t="s">
        <v>76</v>
      </c>
    </row>
    <row r="95" spans="1:38" ht="42" customHeight="1">
      <c r="A95" s="75">
        <v>91</v>
      </c>
      <c r="B95" s="75" t="s">
        <v>560</v>
      </c>
      <c r="C95" s="75" t="s">
        <v>242</v>
      </c>
      <c r="D95" s="50"/>
      <c r="E95" s="50"/>
      <c r="F95" s="50"/>
      <c r="G95" s="50"/>
      <c r="H95" s="50"/>
      <c r="I95" s="50"/>
      <c r="J95" s="50"/>
      <c r="K95" s="50"/>
      <c r="L95" s="50"/>
      <c r="M95" s="50"/>
      <c r="N95" s="50"/>
      <c r="O95" s="75" t="s">
        <v>571</v>
      </c>
      <c r="P95" s="75" t="s">
        <v>562</v>
      </c>
      <c r="Q95" s="75" t="s">
        <v>563</v>
      </c>
      <c r="R95" s="75" t="s">
        <v>572</v>
      </c>
      <c r="S95" s="75" t="s">
        <v>230</v>
      </c>
      <c r="T95" s="50"/>
      <c r="U95" s="50"/>
      <c r="V95" s="75" t="s">
        <v>573</v>
      </c>
      <c r="W95" s="75" t="s">
        <v>567</v>
      </c>
      <c r="X95" s="75" t="s">
        <v>567</v>
      </c>
      <c r="Y95" s="75" t="s">
        <v>243</v>
      </c>
      <c r="Z95" s="75" t="s">
        <v>226</v>
      </c>
      <c r="AA95" s="50"/>
      <c r="AB95" s="50"/>
      <c r="AC95" s="50"/>
      <c r="AD95" s="50"/>
      <c r="AE95" s="50"/>
      <c r="AF95" s="50"/>
      <c r="AG95" s="75" t="s">
        <v>568</v>
      </c>
      <c r="AH95" s="75" t="s">
        <v>135</v>
      </c>
      <c r="AI95" s="75" t="s">
        <v>125</v>
      </c>
      <c r="AJ95" s="75" t="s">
        <v>126</v>
      </c>
      <c r="AK95" s="75" t="s">
        <v>75</v>
      </c>
      <c r="AL95" s="75" t="s">
        <v>76</v>
      </c>
    </row>
    <row r="96" spans="1:38" ht="42" customHeight="1">
      <c r="A96" s="75">
        <v>92</v>
      </c>
      <c r="B96" s="75" t="s">
        <v>560</v>
      </c>
      <c r="C96" s="75" t="s">
        <v>252</v>
      </c>
      <c r="D96" s="50"/>
      <c r="E96" s="50"/>
      <c r="F96" s="50"/>
      <c r="G96" s="50"/>
      <c r="H96" s="50"/>
      <c r="I96" s="50"/>
      <c r="J96" s="50"/>
      <c r="K96" s="50"/>
      <c r="L96" s="50"/>
      <c r="M96" s="50"/>
      <c r="N96" s="50"/>
      <c r="O96" s="75" t="s">
        <v>571</v>
      </c>
      <c r="P96" s="75" t="s">
        <v>562</v>
      </c>
      <c r="Q96" s="75" t="s">
        <v>563</v>
      </c>
      <c r="R96" s="75" t="s">
        <v>572</v>
      </c>
      <c r="S96" s="75" t="s">
        <v>230</v>
      </c>
      <c r="T96" s="50"/>
      <c r="U96" s="50"/>
      <c r="V96" s="75" t="s">
        <v>573</v>
      </c>
      <c r="W96" s="75" t="s">
        <v>566</v>
      </c>
      <c r="X96" s="75" t="s">
        <v>567</v>
      </c>
      <c r="Y96" s="75" t="s">
        <v>253</v>
      </c>
      <c r="Z96" s="75" t="s">
        <v>226</v>
      </c>
      <c r="AA96" s="50"/>
      <c r="AB96" s="50"/>
      <c r="AC96" s="50"/>
      <c r="AD96" s="50"/>
      <c r="AE96" s="50"/>
      <c r="AF96" s="50"/>
      <c r="AG96" s="75" t="s">
        <v>568</v>
      </c>
      <c r="AH96" s="75" t="s">
        <v>72</v>
      </c>
      <c r="AI96" s="75" t="s">
        <v>151</v>
      </c>
      <c r="AJ96" s="75" t="s">
        <v>152</v>
      </c>
      <c r="AK96" s="75" t="s">
        <v>75</v>
      </c>
      <c r="AL96" s="75" t="s">
        <v>76</v>
      </c>
    </row>
    <row r="97" spans="1:38" ht="42" customHeight="1">
      <c r="A97" s="75">
        <v>93</v>
      </c>
      <c r="B97" s="75" t="s">
        <v>560</v>
      </c>
      <c r="C97" s="75" t="s">
        <v>254</v>
      </c>
      <c r="D97" s="50"/>
      <c r="E97" s="50"/>
      <c r="F97" s="50"/>
      <c r="G97" s="50"/>
      <c r="H97" s="50"/>
      <c r="I97" s="50"/>
      <c r="J97" s="50"/>
      <c r="K97" s="50"/>
      <c r="L97" s="50"/>
      <c r="M97" s="50"/>
      <c r="N97" s="50"/>
      <c r="O97" s="75" t="s">
        <v>571</v>
      </c>
      <c r="P97" s="75" t="s">
        <v>562</v>
      </c>
      <c r="Q97" s="75" t="s">
        <v>563</v>
      </c>
      <c r="R97" s="75" t="s">
        <v>572</v>
      </c>
      <c r="S97" s="75" t="s">
        <v>230</v>
      </c>
      <c r="T97" s="50"/>
      <c r="U97" s="50"/>
      <c r="V97" s="75" t="s">
        <v>573</v>
      </c>
      <c r="W97" s="75" t="s">
        <v>566</v>
      </c>
      <c r="X97" s="75" t="s">
        <v>567</v>
      </c>
      <c r="Y97" s="75" t="s">
        <v>255</v>
      </c>
      <c r="Z97" s="75" t="s">
        <v>226</v>
      </c>
      <c r="AA97" s="50"/>
      <c r="AB97" s="50"/>
      <c r="AC97" s="50"/>
      <c r="AD97" s="50"/>
      <c r="AE97" s="50"/>
      <c r="AF97" s="50"/>
      <c r="AG97" s="75" t="s">
        <v>568</v>
      </c>
      <c r="AH97" s="75" t="s">
        <v>135</v>
      </c>
      <c r="AI97" s="75" t="s">
        <v>125</v>
      </c>
      <c r="AJ97" s="75" t="s">
        <v>126</v>
      </c>
      <c r="AK97" s="75" t="s">
        <v>75</v>
      </c>
      <c r="AL97" s="75" t="s">
        <v>76</v>
      </c>
    </row>
    <row r="98" spans="1:38" ht="42" customHeight="1">
      <c r="A98" s="75">
        <v>94</v>
      </c>
      <c r="B98" s="75" t="s">
        <v>560</v>
      </c>
      <c r="C98" s="75" t="s">
        <v>256</v>
      </c>
      <c r="D98" s="50"/>
      <c r="E98" s="50"/>
      <c r="F98" s="50"/>
      <c r="G98" s="50"/>
      <c r="H98" s="50"/>
      <c r="I98" s="50"/>
      <c r="J98" s="50"/>
      <c r="K98" s="50"/>
      <c r="L98" s="50"/>
      <c r="M98" s="50"/>
      <c r="N98" s="50"/>
      <c r="O98" s="75" t="s">
        <v>571</v>
      </c>
      <c r="P98" s="75" t="s">
        <v>562</v>
      </c>
      <c r="Q98" s="75" t="s">
        <v>563</v>
      </c>
      <c r="R98" s="75" t="s">
        <v>572</v>
      </c>
      <c r="S98" s="75" t="s">
        <v>230</v>
      </c>
      <c r="T98" s="50"/>
      <c r="U98" s="50"/>
      <c r="V98" s="75" t="s">
        <v>573</v>
      </c>
      <c r="W98" s="75" t="s">
        <v>566</v>
      </c>
      <c r="X98" s="75" t="s">
        <v>567</v>
      </c>
      <c r="Y98" s="75" t="s">
        <v>255</v>
      </c>
      <c r="Z98" s="75" t="s">
        <v>226</v>
      </c>
      <c r="AA98" s="50"/>
      <c r="AB98" s="50"/>
      <c r="AC98" s="50"/>
      <c r="AD98" s="50"/>
      <c r="AE98" s="50"/>
      <c r="AF98" s="50"/>
      <c r="AG98" s="75" t="s">
        <v>568</v>
      </c>
      <c r="AH98" s="75" t="s">
        <v>135</v>
      </c>
      <c r="AI98" s="75" t="s">
        <v>125</v>
      </c>
      <c r="AJ98" s="75" t="s">
        <v>126</v>
      </c>
      <c r="AK98" s="75" t="s">
        <v>75</v>
      </c>
      <c r="AL98" s="75" t="s">
        <v>76</v>
      </c>
    </row>
    <row r="99" spans="1:38" ht="42" customHeight="1">
      <c r="A99" s="75">
        <v>95</v>
      </c>
      <c r="B99" s="75" t="s">
        <v>560</v>
      </c>
      <c r="C99" s="75" t="s">
        <v>263</v>
      </c>
      <c r="D99" s="50"/>
      <c r="E99" s="50"/>
      <c r="F99" s="50"/>
      <c r="G99" s="50"/>
      <c r="H99" s="50"/>
      <c r="I99" s="50"/>
      <c r="J99" s="50"/>
      <c r="K99" s="50"/>
      <c r="L99" s="50"/>
      <c r="M99" s="50"/>
      <c r="N99" s="50"/>
      <c r="O99" s="75" t="s">
        <v>571</v>
      </c>
      <c r="P99" s="75" t="s">
        <v>562</v>
      </c>
      <c r="Q99" s="75" t="s">
        <v>563</v>
      </c>
      <c r="R99" s="75" t="s">
        <v>572</v>
      </c>
      <c r="S99" s="75" t="s">
        <v>230</v>
      </c>
      <c r="T99" s="50"/>
      <c r="U99" s="50"/>
      <c r="V99" s="75" t="s">
        <v>573</v>
      </c>
      <c r="W99" s="75" t="s">
        <v>566</v>
      </c>
      <c r="X99" s="75" t="s">
        <v>567</v>
      </c>
      <c r="Y99" s="75" t="s">
        <v>97</v>
      </c>
      <c r="Z99" s="75" t="s">
        <v>226</v>
      </c>
      <c r="AA99" s="50"/>
      <c r="AB99" s="50"/>
      <c r="AC99" s="50"/>
      <c r="AD99" s="50"/>
      <c r="AE99" s="50"/>
      <c r="AF99" s="50"/>
      <c r="AG99" s="75" t="s">
        <v>568</v>
      </c>
      <c r="AH99" s="75" t="s">
        <v>72</v>
      </c>
      <c r="AI99" s="75" t="s">
        <v>151</v>
      </c>
      <c r="AJ99" s="75" t="s">
        <v>152</v>
      </c>
      <c r="AK99" s="75" t="s">
        <v>75</v>
      </c>
      <c r="AL99" s="75" t="s">
        <v>76</v>
      </c>
    </row>
    <row r="100" spans="1:38" ht="42" customHeight="1">
      <c r="A100" s="75">
        <v>96</v>
      </c>
      <c r="B100" s="75" t="s">
        <v>560</v>
      </c>
      <c r="C100" s="75" t="s">
        <v>264</v>
      </c>
      <c r="D100" s="50"/>
      <c r="E100" s="50"/>
      <c r="F100" s="50"/>
      <c r="G100" s="50"/>
      <c r="H100" s="50"/>
      <c r="I100" s="50"/>
      <c r="J100" s="50"/>
      <c r="K100" s="50"/>
      <c r="L100" s="50"/>
      <c r="M100" s="50"/>
      <c r="N100" s="50"/>
      <c r="O100" s="75" t="s">
        <v>571</v>
      </c>
      <c r="P100" s="75" t="s">
        <v>562</v>
      </c>
      <c r="Q100" s="75" t="s">
        <v>563</v>
      </c>
      <c r="R100" s="75" t="s">
        <v>572</v>
      </c>
      <c r="S100" s="75" t="s">
        <v>230</v>
      </c>
      <c r="T100" s="50"/>
      <c r="U100" s="50"/>
      <c r="V100" s="75" t="s">
        <v>573</v>
      </c>
      <c r="W100" s="75" t="s">
        <v>566</v>
      </c>
      <c r="X100" s="75" t="s">
        <v>567</v>
      </c>
      <c r="Y100" s="75" t="s">
        <v>251</v>
      </c>
      <c r="Z100" s="75" t="s">
        <v>226</v>
      </c>
      <c r="AA100" s="50"/>
      <c r="AB100" s="50"/>
      <c r="AC100" s="50"/>
      <c r="AD100" s="50"/>
      <c r="AE100" s="50"/>
      <c r="AF100" s="50"/>
      <c r="AG100" s="75" t="s">
        <v>568</v>
      </c>
      <c r="AH100" s="75" t="s">
        <v>135</v>
      </c>
      <c r="AI100" s="75" t="s">
        <v>125</v>
      </c>
      <c r="AJ100" s="75" t="s">
        <v>126</v>
      </c>
      <c r="AK100" s="75" t="s">
        <v>75</v>
      </c>
      <c r="AL100" s="75" t="s">
        <v>76</v>
      </c>
    </row>
    <row r="101" spans="1:38" ht="42" customHeight="1">
      <c r="A101" s="75">
        <v>97</v>
      </c>
      <c r="B101" s="75" t="s">
        <v>560</v>
      </c>
      <c r="C101" s="75" t="s">
        <v>265</v>
      </c>
      <c r="D101" s="50"/>
      <c r="E101" s="50"/>
      <c r="F101" s="50"/>
      <c r="G101" s="50"/>
      <c r="H101" s="50"/>
      <c r="I101" s="50"/>
      <c r="J101" s="50"/>
      <c r="K101" s="50"/>
      <c r="L101" s="50"/>
      <c r="M101" s="50"/>
      <c r="N101" s="50"/>
      <c r="O101" s="75" t="s">
        <v>571</v>
      </c>
      <c r="P101" s="75" t="s">
        <v>562</v>
      </c>
      <c r="Q101" s="75" t="s">
        <v>563</v>
      </c>
      <c r="R101" s="75" t="s">
        <v>572</v>
      </c>
      <c r="S101" s="75" t="s">
        <v>230</v>
      </c>
      <c r="T101" s="50"/>
      <c r="U101" s="50"/>
      <c r="V101" s="75" t="s">
        <v>573</v>
      </c>
      <c r="W101" s="75" t="s">
        <v>566</v>
      </c>
      <c r="X101" s="75" t="s">
        <v>567</v>
      </c>
      <c r="Y101" s="75" t="s">
        <v>251</v>
      </c>
      <c r="Z101" s="75" t="s">
        <v>226</v>
      </c>
      <c r="AA101" s="50"/>
      <c r="AB101" s="50"/>
      <c r="AC101" s="50"/>
      <c r="AD101" s="50"/>
      <c r="AE101" s="50"/>
      <c r="AF101" s="50"/>
      <c r="AG101" s="75" t="s">
        <v>568</v>
      </c>
      <c r="AH101" s="75" t="s">
        <v>135</v>
      </c>
      <c r="AI101" s="75" t="s">
        <v>125</v>
      </c>
      <c r="AJ101" s="75" t="s">
        <v>126</v>
      </c>
      <c r="AK101" s="75" t="s">
        <v>75</v>
      </c>
      <c r="AL101" s="75" t="s">
        <v>76</v>
      </c>
    </row>
    <row r="102" spans="1:38" ht="42" customHeight="1">
      <c r="A102" s="75">
        <v>98</v>
      </c>
      <c r="B102" s="75" t="s">
        <v>560</v>
      </c>
      <c r="C102" s="75" t="s">
        <v>268</v>
      </c>
      <c r="D102" s="50"/>
      <c r="E102" s="50"/>
      <c r="F102" s="50"/>
      <c r="G102" s="50"/>
      <c r="H102" s="50"/>
      <c r="I102" s="50"/>
      <c r="J102" s="50"/>
      <c r="K102" s="50"/>
      <c r="L102" s="50"/>
      <c r="M102" s="50"/>
      <c r="N102" s="50"/>
      <c r="O102" s="75" t="s">
        <v>571</v>
      </c>
      <c r="P102" s="75" t="s">
        <v>562</v>
      </c>
      <c r="Q102" s="75" t="s">
        <v>563</v>
      </c>
      <c r="R102" s="75" t="s">
        <v>572</v>
      </c>
      <c r="S102" s="75" t="s">
        <v>230</v>
      </c>
      <c r="T102" s="50"/>
      <c r="U102" s="50"/>
      <c r="V102" s="75" t="s">
        <v>573</v>
      </c>
      <c r="W102" s="75" t="s">
        <v>566</v>
      </c>
      <c r="X102" s="75" t="s">
        <v>567</v>
      </c>
      <c r="Y102" s="75" t="s">
        <v>251</v>
      </c>
      <c r="Z102" s="75" t="s">
        <v>226</v>
      </c>
      <c r="AA102" s="50"/>
      <c r="AB102" s="50"/>
      <c r="AC102" s="50"/>
      <c r="AD102" s="50"/>
      <c r="AE102" s="50"/>
      <c r="AF102" s="50"/>
      <c r="AG102" s="75" t="s">
        <v>568</v>
      </c>
      <c r="AH102" s="75" t="s">
        <v>135</v>
      </c>
      <c r="AI102" s="75" t="s">
        <v>125</v>
      </c>
      <c r="AJ102" s="75" t="s">
        <v>126</v>
      </c>
      <c r="AK102" s="75" t="s">
        <v>75</v>
      </c>
      <c r="AL102" s="75" t="s">
        <v>76</v>
      </c>
    </row>
    <row r="103" spans="1:38" ht="42" customHeight="1">
      <c r="A103" s="75">
        <v>99</v>
      </c>
      <c r="B103" s="75" t="s">
        <v>560</v>
      </c>
      <c r="C103" s="75" t="s">
        <v>269</v>
      </c>
      <c r="D103" s="50"/>
      <c r="E103" s="50"/>
      <c r="F103" s="50"/>
      <c r="G103" s="50"/>
      <c r="H103" s="50"/>
      <c r="I103" s="50"/>
      <c r="J103" s="50"/>
      <c r="K103" s="50"/>
      <c r="L103" s="50"/>
      <c r="M103" s="50"/>
      <c r="N103" s="50"/>
      <c r="O103" s="75" t="s">
        <v>571</v>
      </c>
      <c r="P103" s="75" t="s">
        <v>562</v>
      </c>
      <c r="Q103" s="75" t="s">
        <v>563</v>
      </c>
      <c r="R103" s="75" t="s">
        <v>572</v>
      </c>
      <c r="S103" s="75" t="s">
        <v>230</v>
      </c>
      <c r="T103" s="50"/>
      <c r="U103" s="50"/>
      <c r="V103" s="75" t="s">
        <v>573</v>
      </c>
      <c r="W103" s="75" t="s">
        <v>566</v>
      </c>
      <c r="X103" s="75" t="s">
        <v>567</v>
      </c>
      <c r="Y103" s="75" t="s">
        <v>251</v>
      </c>
      <c r="Z103" s="75" t="s">
        <v>226</v>
      </c>
      <c r="AA103" s="50"/>
      <c r="AB103" s="50"/>
      <c r="AC103" s="50"/>
      <c r="AD103" s="50"/>
      <c r="AE103" s="50"/>
      <c r="AF103" s="50"/>
      <c r="AG103" s="75" t="s">
        <v>568</v>
      </c>
      <c r="AH103" s="75" t="s">
        <v>135</v>
      </c>
      <c r="AI103" s="75" t="s">
        <v>125</v>
      </c>
      <c r="AJ103" s="75" t="s">
        <v>126</v>
      </c>
      <c r="AK103" s="75" t="s">
        <v>75</v>
      </c>
      <c r="AL103" s="75" t="s">
        <v>76</v>
      </c>
    </row>
    <row r="104" spans="1:38" ht="42" customHeight="1">
      <c r="A104" s="75">
        <v>100</v>
      </c>
      <c r="B104" s="75" t="s">
        <v>560</v>
      </c>
      <c r="C104" s="75" t="s">
        <v>270</v>
      </c>
      <c r="D104" s="50"/>
      <c r="E104" s="50"/>
      <c r="F104" s="50"/>
      <c r="G104" s="50"/>
      <c r="H104" s="50"/>
      <c r="I104" s="50"/>
      <c r="J104" s="50"/>
      <c r="K104" s="50"/>
      <c r="L104" s="50"/>
      <c r="M104" s="50"/>
      <c r="N104" s="50"/>
      <c r="O104" s="75" t="s">
        <v>571</v>
      </c>
      <c r="P104" s="75" t="s">
        <v>562</v>
      </c>
      <c r="Q104" s="75" t="s">
        <v>563</v>
      </c>
      <c r="R104" s="75" t="s">
        <v>572</v>
      </c>
      <c r="S104" s="75" t="s">
        <v>230</v>
      </c>
      <c r="T104" s="50"/>
      <c r="U104" s="50"/>
      <c r="V104" s="75" t="s">
        <v>573</v>
      </c>
      <c r="W104" s="75" t="s">
        <v>566</v>
      </c>
      <c r="X104" s="75" t="s">
        <v>567</v>
      </c>
      <c r="Y104" s="75" t="s">
        <v>251</v>
      </c>
      <c r="Z104" s="75" t="s">
        <v>226</v>
      </c>
      <c r="AA104" s="50"/>
      <c r="AB104" s="50"/>
      <c r="AC104" s="50"/>
      <c r="AD104" s="50"/>
      <c r="AE104" s="50"/>
      <c r="AF104" s="50"/>
      <c r="AG104" s="75" t="s">
        <v>568</v>
      </c>
      <c r="AH104" s="75" t="s">
        <v>135</v>
      </c>
      <c r="AI104" s="75" t="s">
        <v>125</v>
      </c>
      <c r="AJ104" s="75" t="s">
        <v>126</v>
      </c>
      <c r="AK104" s="75" t="s">
        <v>75</v>
      </c>
      <c r="AL104" s="75" t="s">
        <v>76</v>
      </c>
    </row>
    <row r="105" spans="1:38" ht="42" customHeight="1">
      <c r="A105" s="75">
        <v>101</v>
      </c>
      <c r="B105" s="75" t="s">
        <v>560</v>
      </c>
      <c r="C105" s="75" t="s">
        <v>271</v>
      </c>
      <c r="D105" s="50"/>
      <c r="E105" s="50"/>
      <c r="F105" s="50"/>
      <c r="G105" s="50"/>
      <c r="H105" s="50"/>
      <c r="I105" s="50"/>
      <c r="J105" s="50"/>
      <c r="K105" s="50"/>
      <c r="L105" s="50"/>
      <c r="M105" s="50"/>
      <c r="N105" s="50"/>
      <c r="O105" s="75" t="s">
        <v>571</v>
      </c>
      <c r="P105" s="75" t="s">
        <v>562</v>
      </c>
      <c r="Q105" s="75" t="s">
        <v>563</v>
      </c>
      <c r="R105" s="75" t="s">
        <v>572</v>
      </c>
      <c r="S105" s="75" t="s">
        <v>230</v>
      </c>
      <c r="T105" s="50"/>
      <c r="U105" s="50"/>
      <c r="V105" s="75" t="s">
        <v>573</v>
      </c>
      <c r="W105" s="75" t="s">
        <v>566</v>
      </c>
      <c r="X105" s="75" t="s">
        <v>567</v>
      </c>
      <c r="Y105" s="75" t="s">
        <v>251</v>
      </c>
      <c r="Z105" s="75" t="s">
        <v>226</v>
      </c>
      <c r="AA105" s="50"/>
      <c r="AB105" s="50"/>
      <c r="AC105" s="50"/>
      <c r="AD105" s="50"/>
      <c r="AE105" s="50"/>
      <c r="AF105" s="50"/>
      <c r="AG105" s="75" t="s">
        <v>568</v>
      </c>
      <c r="AH105" s="75" t="s">
        <v>135</v>
      </c>
      <c r="AI105" s="75" t="s">
        <v>125</v>
      </c>
      <c r="AJ105" s="75" t="s">
        <v>126</v>
      </c>
      <c r="AK105" s="75" t="s">
        <v>75</v>
      </c>
      <c r="AL105" s="75" t="s">
        <v>76</v>
      </c>
    </row>
    <row r="106" spans="1:38" ht="42" customHeight="1">
      <c r="A106" s="75">
        <v>102</v>
      </c>
      <c r="B106" s="75" t="s">
        <v>560</v>
      </c>
      <c r="C106" s="75" t="s">
        <v>272</v>
      </c>
      <c r="D106" s="50"/>
      <c r="E106" s="50"/>
      <c r="F106" s="50"/>
      <c r="G106" s="50"/>
      <c r="H106" s="50"/>
      <c r="I106" s="50"/>
      <c r="J106" s="50"/>
      <c r="K106" s="50"/>
      <c r="L106" s="50"/>
      <c r="M106" s="50"/>
      <c r="N106" s="50"/>
      <c r="O106" s="75" t="s">
        <v>571</v>
      </c>
      <c r="P106" s="75" t="s">
        <v>562</v>
      </c>
      <c r="Q106" s="75" t="s">
        <v>563</v>
      </c>
      <c r="R106" s="75" t="s">
        <v>572</v>
      </c>
      <c r="S106" s="75" t="s">
        <v>230</v>
      </c>
      <c r="T106" s="50"/>
      <c r="U106" s="50"/>
      <c r="V106" s="75" t="s">
        <v>573</v>
      </c>
      <c r="W106" s="75" t="s">
        <v>566</v>
      </c>
      <c r="X106" s="75" t="s">
        <v>567</v>
      </c>
      <c r="Y106" s="75" t="s">
        <v>273</v>
      </c>
      <c r="Z106" s="75" t="s">
        <v>226</v>
      </c>
      <c r="AA106" s="50"/>
      <c r="AB106" s="50"/>
      <c r="AC106" s="50"/>
      <c r="AD106" s="50"/>
      <c r="AE106" s="50"/>
      <c r="AF106" s="50"/>
      <c r="AG106" s="75" t="s">
        <v>568</v>
      </c>
      <c r="AH106" s="75" t="s">
        <v>135</v>
      </c>
      <c r="AI106" s="75" t="s">
        <v>125</v>
      </c>
      <c r="AJ106" s="75" t="s">
        <v>126</v>
      </c>
      <c r="AK106" s="75" t="s">
        <v>75</v>
      </c>
      <c r="AL106" s="75" t="s">
        <v>76</v>
      </c>
    </row>
    <row r="107" spans="1:38" ht="42" customHeight="1">
      <c r="A107" s="75">
        <v>103</v>
      </c>
      <c r="B107" s="75" t="s">
        <v>560</v>
      </c>
      <c r="C107" s="75" t="s">
        <v>277</v>
      </c>
      <c r="D107" s="50"/>
      <c r="E107" s="50"/>
      <c r="F107" s="50"/>
      <c r="G107" s="50"/>
      <c r="H107" s="50"/>
      <c r="I107" s="50"/>
      <c r="J107" s="50"/>
      <c r="K107" s="50"/>
      <c r="L107" s="50"/>
      <c r="M107" s="50"/>
      <c r="N107" s="50"/>
      <c r="O107" s="75" t="s">
        <v>571</v>
      </c>
      <c r="P107" s="75" t="s">
        <v>562</v>
      </c>
      <c r="Q107" s="75" t="s">
        <v>563</v>
      </c>
      <c r="R107" s="75" t="s">
        <v>572</v>
      </c>
      <c r="S107" s="75" t="s">
        <v>230</v>
      </c>
      <c r="T107" s="50"/>
      <c r="U107" s="50"/>
      <c r="V107" s="75" t="s">
        <v>573</v>
      </c>
      <c r="W107" s="75" t="s">
        <v>566</v>
      </c>
      <c r="X107" s="75" t="s">
        <v>567</v>
      </c>
      <c r="Y107" s="75" t="s">
        <v>253</v>
      </c>
      <c r="Z107" s="75" t="s">
        <v>226</v>
      </c>
      <c r="AA107" s="50"/>
      <c r="AB107" s="50"/>
      <c r="AC107" s="50"/>
      <c r="AD107" s="50"/>
      <c r="AE107" s="50"/>
      <c r="AF107" s="50"/>
      <c r="AG107" s="75" t="s">
        <v>568</v>
      </c>
      <c r="AH107" s="75" t="s">
        <v>72</v>
      </c>
      <c r="AI107" s="75" t="s">
        <v>151</v>
      </c>
      <c r="AJ107" s="75" t="s">
        <v>152</v>
      </c>
      <c r="AK107" s="75" t="s">
        <v>75</v>
      </c>
      <c r="AL107" s="75" t="s">
        <v>76</v>
      </c>
    </row>
    <row r="108" spans="1:38" ht="42" customHeight="1">
      <c r="A108" s="75">
        <v>104</v>
      </c>
      <c r="B108" s="75" t="s">
        <v>560</v>
      </c>
      <c r="C108" s="75" t="s">
        <v>239</v>
      </c>
      <c r="D108" s="50"/>
      <c r="E108" s="50"/>
      <c r="F108" s="75">
        <v>6</v>
      </c>
      <c r="G108" s="50"/>
      <c r="H108" s="50"/>
      <c r="I108" s="50"/>
      <c r="J108" s="50"/>
      <c r="K108" s="50"/>
      <c r="L108" s="50"/>
      <c r="M108" s="50"/>
      <c r="N108" s="50"/>
      <c r="O108" s="75" t="s">
        <v>571</v>
      </c>
      <c r="P108" s="75" t="s">
        <v>562</v>
      </c>
      <c r="Q108" s="75" t="s">
        <v>563</v>
      </c>
      <c r="R108" s="75" t="s">
        <v>572</v>
      </c>
      <c r="S108" s="75" t="s">
        <v>230</v>
      </c>
      <c r="T108" s="50"/>
      <c r="U108" s="50"/>
      <c r="V108" s="75" t="s">
        <v>573</v>
      </c>
      <c r="W108" s="75" t="s">
        <v>566</v>
      </c>
      <c r="X108" s="75" t="s">
        <v>567</v>
      </c>
      <c r="Y108" s="75" t="s">
        <v>38</v>
      </c>
      <c r="Z108" s="75" t="s">
        <v>226</v>
      </c>
      <c r="AA108" s="50"/>
      <c r="AB108" s="50"/>
      <c r="AC108" s="50"/>
      <c r="AD108" s="50"/>
      <c r="AE108" s="50"/>
      <c r="AF108" s="50"/>
      <c r="AG108" s="75" t="s">
        <v>568</v>
      </c>
      <c r="AH108" s="75" t="s">
        <v>72</v>
      </c>
      <c r="AI108" s="75" t="s">
        <v>73</v>
      </c>
      <c r="AJ108" s="75" t="s">
        <v>74</v>
      </c>
      <c r="AK108" s="75" t="s">
        <v>75</v>
      </c>
      <c r="AL108" s="75" t="s">
        <v>76</v>
      </c>
    </row>
    <row r="109" spans="1:38" ht="42" customHeight="1">
      <c r="A109" s="75">
        <v>105</v>
      </c>
      <c r="B109" s="75" t="s">
        <v>560</v>
      </c>
      <c r="C109" s="75" t="s">
        <v>278</v>
      </c>
      <c r="D109" s="50"/>
      <c r="E109" s="50"/>
      <c r="F109" s="50"/>
      <c r="G109" s="50"/>
      <c r="H109" s="50"/>
      <c r="I109" s="50"/>
      <c r="J109" s="50"/>
      <c r="K109" s="50"/>
      <c r="L109" s="50"/>
      <c r="M109" s="50"/>
      <c r="N109" s="50"/>
      <c r="O109" s="75" t="s">
        <v>571</v>
      </c>
      <c r="P109" s="75" t="s">
        <v>562</v>
      </c>
      <c r="Q109" s="75" t="s">
        <v>563</v>
      </c>
      <c r="R109" s="75" t="s">
        <v>572</v>
      </c>
      <c r="S109" s="75" t="s">
        <v>230</v>
      </c>
      <c r="T109" s="50"/>
      <c r="U109" s="50"/>
      <c r="V109" s="75" t="s">
        <v>573</v>
      </c>
      <c r="W109" s="75" t="s">
        <v>566</v>
      </c>
      <c r="X109" s="75" t="s">
        <v>567</v>
      </c>
      <c r="Y109" s="75" t="s">
        <v>279</v>
      </c>
      <c r="Z109" s="75" t="s">
        <v>226</v>
      </c>
      <c r="AA109" s="50"/>
      <c r="AB109" s="50"/>
      <c r="AC109" s="50"/>
      <c r="AD109" s="50"/>
      <c r="AE109" s="50"/>
      <c r="AF109" s="50"/>
      <c r="AG109" s="75" t="s">
        <v>568</v>
      </c>
      <c r="AH109" s="75" t="s">
        <v>135</v>
      </c>
      <c r="AI109" s="75" t="s">
        <v>125</v>
      </c>
      <c r="AJ109" s="75" t="s">
        <v>126</v>
      </c>
      <c r="AK109" s="75" t="s">
        <v>75</v>
      </c>
      <c r="AL109" s="75" t="s">
        <v>76</v>
      </c>
    </row>
    <row r="110" spans="1:38" ht="42" customHeight="1">
      <c r="A110" s="75">
        <v>106</v>
      </c>
      <c r="B110" s="75" t="s">
        <v>560</v>
      </c>
      <c r="C110" s="75" t="s">
        <v>280</v>
      </c>
      <c r="D110" s="50"/>
      <c r="E110" s="50"/>
      <c r="F110" s="50"/>
      <c r="G110" s="50"/>
      <c r="H110" s="50"/>
      <c r="I110" s="50"/>
      <c r="J110" s="50"/>
      <c r="K110" s="50"/>
      <c r="L110" s="50"/>
      <c r="M110" s="50"/>
      <c r="N110" s="50"/>
      <c r="O110" s="75" t="s">
        <v>571</v>
      </c>
      <c r="P110" s="75" t="s">
        <v>562</v>
      </c>
      <c r="Q110" s="75" t="s">
        <v>563</v>
      </c>
      <c r="R110" s="75" t="s">
        <v>572</v>
      </c>
      <c r="S110" s="75" t="s">
        <v>230</v>
      </c>
      <c r="T110" s="50"/>
      <c r="U110" s="50"/>
      <c r="V110" s="75" t="s">
        <v>573</v>
      </c>
      <c r="W110" s="75" t="s">
        <v>566</v>
      </c>
      <c r="X110" s="75" t="s">
        <v>567</v>
      </c>
      <c r="Y110" s="75" t="s">
        <v>251</v>
      </c>
      <c r="Z110" s="75" t="s">
        <v>226</v>
      </c>
      <c r="AA110" s="50"/>
      <c r="AB110" s="50"/>
      <c r="AC110" s="50"/>
      <c r="AD110" s="50"/>
      <c r="AE110" s="50"/>
      <c r="AF110" s="50"/>
      <c r="AG110" s="75" t="s">
        <v>568</v>
      </c>
      <c r="AH110" s="75" t="s">
        <v>135</v>
      </c>
      <c r="AI110" s="75" t="s">
        <v>125</v>
      </c>
      <c r="AJ110" s="75" t="s">
        <v>126</v>
      </c>
      <c r="AK110" s="75" t="s">
        <v>75</v>
      </c>
      <c r="AL110" s="75" t="s">
        <v>76</v>
      </c>
    </row>
    <row r="111" spans="1:38" ht="42" customHeight="1">
      <c r="A111" s="75">
        <v>107</v>
      </c>
      <c r="B111" s="75" t="s">
        <v>560</v>
      </c>
      <c r="C111" s="75" t="s">
        <v>283</v>
      </c>
      <c r="D111" s="50"/>
      <c r="E111" s="50"/>
      <c r="F111" s="50"/>
      <c r="G111" s="50"/>
      <c r="H111" s="50"/>
      <c r="I111" s="50"/>
      <c r="J111" s="50"/>
      <c r="K111" s="50"/>
      <c r="L111" s="50"/>
      <c r="M111" s="50"/>
      <c r="N111" s="50"/>
      <c r="O111" s="75" t="s">
        <v>571</v>
      </c>
      <c r="P111" s="75" t="s">
        <v>562</v>
      </c>
      <c r="Q111" s="75" t="s">
        <v>563</v>
      </c>
      <c r="R111" s="75" t="s">
        <v>572</v>
      </c>
      <c r="S111" s="75" t="s">
        <v>230</v>
      </c>
      <c r="T111" s="50"/>
      <c r="U111" s="50"/>
      <c r="V111" s="75" t="s">
        <v>573</v>
      </c>
      <c r="W111" s="75" t="s">
        <v>566</v>
      </c>
      <c r="X111" s="75" t="s">
        <v>567</v>
      </c>
      <c r="Y111" s="75" t="s">
        <v>255</v>
      </c>
      <c r="Z111" s="75" t="s">
        <v>226</v>
      </c>
      <c r="AA111" s="50"/>
      <c r="AB111" s="50"/>
      <c r="AC111" s="50"/>
      <c r="AD111" s="50"/>
      <c r="AE111" s="50"/>
      <c r="AF111" s="50"/>
      <c r="AG111" s="75" t="s">
        <v>568</v>
      </c>
      <c r="AH111" s="75" t="s">
        <v>135</v>
      </c>
      <c r="AI111" s="75" t="s">
        <v>125</v>
      </c>
      <c r="AJ111" s="75" t="s">
        <v>126</v>
      </c>
      <c r="AK111" s="75" t="s">
        <v>75</v>
      </c>
      <c r="AL111" s="75" t="s">
        <v>76</v>
      </c>
    </row>
    <row r="112" spans="1:38" ht="42" customHeight="1">
      <c r="A112" s="75">
        <v>108</v>
      </c>
      <c r="B112" s="75" t="s">
        <v>560</v>
      </c>
      <c r="C112" s="75" t="s">
        <v>285</v>
      </c>
      <c r="D112" s="50"/>
      <c r="E112" s="50"/>
      <c r="F112" s="50"/>
      <c r="G112" s="50"/>
      <c r="H112" s="50"/>
      <c r="I112" s="50"/>
      <c r="J112" s="50"/>
      <c r="K112" s="50"/>
      <c r="L112" s="50"/>
      <c r="M112" s="50"/>
      <c r="N112" s="50"/>
      <c r="O112" s="75" t="s">
        <v>571</v>
      </c>
      <c r="P112" s="75" t="s">
        <v>562</v>
      </c>
      <c r="Q112" s="75" t="s">
        <v>563</v>
      </c>
      <c r="R112" s="75" t="s">
        <v>572</v>
      </c>
      <c r="S112" s="75" t="s">
        <v>230</v>
      </c>
      <c r="T112" s="50"/>
      <c r="U112" s="50"/>
      <c r="V112" s="75" t="s">
        <v>573</v>
      </c>
      <c r="W112" s="75" t="s">
        <v>566</v>
      </c>
      <c r="X112" s="75" t="s">
        <v>567</v>
      </c>
      <c r="Y112" s="75" t="s">
        <v>251</v>
      </c>
      <c r="Z112" s="75" t="s">
        <v>226</v>
      </c>
      <c r="AA112" s="50"/>
      <c r="AB112" s="50"/>
      <c r="AC112" s="50"/>
      <c r="AD112" s="50"/>
      <c r="AE112" s="50"/>
      <c r="AF112" s="50"/>
      <c r="AG112" s="75" t="s">
        <v>568</v>
      </c>
      <c r="AH112" s="75" t="s">
        <v>135</v>
      </c>
      <c r="AI112" s="75" t="s">
        <v>125</v>
      </c>
      <c r="AJ112" s="75" t="s">
        <v>126</v>
      </c>
      <c r="AK112" s="75" t="s">
        <v>75</v>
      </c>
      <c r="AL112" s="75" t="s">
        <v>76</v>
      </c>
    </row>
    <row r="113" spans="1:38" ht="42" customHeight="1">
      <c r="A113" s="75">
        <v>109</v>
      </c>
      <c r="B113" s="75" t="s">
        <v>560</v>
      </c>
      <c r="C113" s="75" t="s">
        <v>286</v>
      </c>
      <c r="D113" s="50"/>
      <c r="E113" s="50"/>
      <c r="F113" s="50"/>
      <c r="G113" s="50"/>
      <c r="H113" s="50"/>
      <c r="I113" s="50"/>
      <c r="J113" s="50"/>
      <c r="K113" s="50"/>
      <c r="L113" s="50"/>
      <c r="M113" s="50"/>
      <c r="N113" s="50"/>
      <c r="O113" s="75" t="s">
        <v>571</v>
      </c>
      <c r="P113" s="75" t="s">
        <v>562</v>
      </c>
      <c r="Q113" s="75" t="s">
        <v>563</v>
      </c>
      <c r="R113" s="75" t="s">
        <v>572</v>
      </c>
      <c r="S113" s="75" t="s">
        <v>230</v>
      </c>
      <c r="T113" s="50"/>
      <c r="U113" s="50"/>
      <c r="V113" s="75" t="s">
        <v>573</v>
      </c>
      <c r="W113" s="75" t="s">
        <v>566</v>
      </c>
      <c r="X113" s="75" t="s">
        <v>567</v>
      </c>
      <c r="Y113" s="75" t="s">
        <v>253</v>
      </c>
      <c r="Z113" s="75" t="s">
        <v>226</v>
      </c>
      <c r="AA113" s="50"/>
      <c r="AB113" s="50"/>
      <c r="AC113" s="50"/>
      <c r="AD113" s="50"/>
      <c r="AE113" s="50"/>
      <c r="AF113" s="50"/>
      <c r="AG113" s="75" t="s">
        <v>568</v>
      </c>
      <c r="AH113" s="75" t="s">
        <v>72</v>
      </c>
      <c r="AI113" s="75" t="s">
        <v>151</v>
      </c>
      <c r="AJ113" s="75" t="s">
        <v>152</v>
      </c>
      <c r="AK113" s="75" t="s">
        <v>75</v>
      </c>
      <c r="AL113" s="75" t="s">
        <v>76</v>
      </c>
    </row>
    <row r="114" spans="1:38" ht="42" customHeight="1">
      <c r="A114" s="75">
        <v>110</v>
      </c>
      <c r="B114" s="75" t="s">
        <v>560</v>
      </c>
      <c r="C114" s="75" t="s">
        <v>287</v>
      </c>
      <c r="D114" s="50"/>
      <c r="E114" s="50"/>
      <c r="F114" s="50"/>
      <c r="G114" s="50"/>
      <c r="H114" s="50"/>
      <c r="I114" s="50"/>
      <c r="J114" s="50"/>
      <c r="K114" s="50"/>
      <c r="L114" s="50"/>
      <c r="M114" s="50"/>
      <c r="N114" s="50"/>
      <c r="O114" s="75" t="s">
        <v>571</v>
      </c>
      <c r="P114" s="75" t="s">
        <v>562</v>
      </c>
      <c r="Q114" s="75" t="s">
        <v>563</v>
      </c>
      <c r="R114" s="75" t="s">
        <v>572</v>
      </c>
      <c r="S114" s="75" t="s">
        <v>230</v>
      </c>
      <c r="T114" s="50"/>
      <c r="U114" s="50"/>
      <c r="V114" s="75" t="s">
        <v>573</v>
      </c>
      <c r="W114" s="75" t="s">
        <v>566</v>
      </c>
      <c r="X114" s="75" t="s">
        <v>567</v>
      </c>
      <c r="Y114" s="75" t="s">
        <v>253</v>
      </c>
      <c r="Z114" s="75" t="s">
        <v>226</v>
      </c>
      <c r="AA114" s="50"/>
      <c r="AB114" s="50"/>
      <c r="AC114" s="50"/>
      <c r="AD114" s="50"/>
      <c r="AE114" s="50"/>
      <c r="AF114" s="50"/>
      <c r="AG114" s="75" t="s">
        <v>568</v>
      </c>
      <c r="AH114" s="75" t="s">
        <v>72</v>
      </c>
      <c r="AI114" s="75" t="s">
        <v>151</v>
      </c>
      <c r="AJ114" s="75" t="s">
        <v>152</v>
      </c>
      <c r="AK114" s="75" t="s">
        <v>75</v>
      </c>
      <c r="AL114" s="75" t="s">
        <v>76</v>
      </c>
    </row>
    <row r="115" spans="1:38" ht="42" customHeight="1">
      <c r="A115" s="75">
        <v>111</v>
      </c>
      <c r="B115" s="75" t="s">
        <v>560</v>
      </c>
      <c r="C115" s="75" t="s">
        <v>172</v>
      </c>
      <c r="D115" s="50"/>
      <c r="E115" s="50"/>
      <c r="F115" s="50"/>
      <c r="G115" s="50"/>
      <c r="H115" s="50"/>
      <c r="I115" s="50"/>
      <c r="J115" s="50"/>
      <c r="K115" s="50"/>
      <c r="L115" s="50"/>
      <c r="M115" s="50"/>
      <c r="N115" s="50"/>
      <c r="O115" s="75" t="s">
        <v>571</v>
      </c>
      <c r="P115" s="75" t="s">
        <v>562</v>
      </c>
      <c r="Q115" s="75" t="s">
        <v>563</v>
      </c>
      <c r="R115" s="75" t="s">
        <v>584</v>
      </c>
      <c r="S115" s="75" t="s">
        <v>155</v>
      </c>
      <c r="T115" s="50"/>
      <c r="U115" s="50"/>
      <c r="V115" s="75" t="s">
        <v>573</v>
      </c>
      <c r="W115" s="75" t="s">
        <v>566</v>
      </c>
      <c r="X115" s="75" t="s">
        <v>567</v>
      </c>
      <c r="Y115" s="75" t="s">
        <v>173</v>
      </c>
      <c r="Z115" s="75" t="s">
        <v>64</v>
      </c>
      <c r="AA115" s="50"/>
      <c r="AB115" s="50"/>
      <c r="AC115" s="50"/>
      <c r="AD115" s="50"/>
      <c r="AE115" s="50"/>
      <c r="AF115" s="50"/>
      <c r="AG115" s="75" t="s">
        <v>568</v>
      </c>
      <c r="AH115" s="75" t="s">
        <v>72</v>
      </c>
      <c r="AI115" s="75" t="s">
        <v>151</v>
      </c>
      <c r="AJ115" s="75" t="s">
        <v>152</v>
      </c>
      <c r="AK115" s="75" t="s">
        <v>75</v>
      </c>
      <c r="AL115" s="75" t="s">
        <v>76</v>
      </c>
    </row>
    <row r="116" spans="1:38" ht="42" customHeight="1">
      <c r="A116" s="75">
        <v>112</v>
      </c>
      <c r="B116" s="75" t="s">
        <v>560</v>
      </c>
      <c r="C116" s="75" t="s">
        <v>250</v>
      </c>
      <c r="D116" s="50"/>
      <c r="E116" s="50"/>
      <c r="F116" s="50"/>
      <c r="G116" s="50"/>
      <c r="H116" s="50"/>
      <c r="I116" s="50"/>
      <c r="J116" s="50"/>
      <c r="K116" s="50"/>
      <c r="L116" s="50"/>
      <c r="M116" s="50"/>
      <c r="N116" s="50"/>
      <c r="O116" s="75" t="s">
        <v>571</v>
      </c>
      <c r="P116" s="75" t="s">
        <v>562</v>
      </c>
      <c r="Q116" s="75" t="s">
        <v>563</v>
      </c>
      <c r="R116" s="75" t="s">
        <v>572</v>
      </c>
      <c r="S116" s="75" t="s">
        <v>230</v>
      </c>
      <c r="T116" s="50"/>
      <c r="U116" s="50"/>
      <c r="V116" s="75" t="s">
        <v>573</v>
      </c>
      <c r="W116" s="75" t="s">
        <v>566</v>
      </c>
      <c r="X116" s="75" t="s">
        <v>567</v>
      </c>
      <c r="Y116" s="75" t="s">
        <v>251</v>
      </c>
      <c r="Z116" s="75" t="s">
        <v>64</v>
      </c>
      <c r="AA116" s="50"/>
      <c r="AB116" s="50"/>
      <c r="AC116" s="50"/>
      <c r="AD116" s="50"/>
      <c r="AE116" s="50"/>
      <c r="AF116" s="50"/>
      <c r="AG116" s="75" t="s">
        <v>568</v>
      </c>
      <c r="AH116" s="75" t="s">
        <v>135</v>
      </c>
      <c r="AI116" s="75" t="s">
        <v>125</v>
      </c>
      <c r="AJ116" s="75" t="s">
        <v>126</v>
      </c>
      <c r="AK116" s="75" t="s">
        <v>75</v>
      </c>
      <c r="AL116" s="75" t="s">
        <v>76</v>
      </c>
    </row>
    <row r="117" spans="1:38" ht="42" customHeight="1">
      <c r="A117" s="75">
        <v>113</v>
      </c>
      <c r="B117" s="75" t="s">
        <v>560</v>
      </c>
      <c r="C117" s="75" t="s">
        <v>207</v>
      </c>
      <c r="D117" s="50"/>
      <c r="E117" s="50"/>
      <c r="F117" s="50"/>
      <c r="G117" s="50"/>
      <c r="H117" s="50"/>
      <c r="I117" s="50"/>
      <c r="J117" s="50"/>
      <c r="K117" s="50"/>
      <c r="L117" s="50"/>
      <c r="M117" s="50"/>
      <c r="N117" s="50"/>
      <c r="O117" s="75" t="s">
        <v>571</v>
      </c>
      <c r="P117" s="75" t="s">
        <v>562</v>
      </c>
      <c r="Q117" s="75" t="s">
        <v>563</v>
      </c>
      <c r="R117" s="75" t="s">
        <v>584</v>
      </c>
      <c r="S117" s="75" t="s">
        <v>155</v>
      </c>
      <c r="T117" s="50"/>
      <c r="U117" s="50"/>
      <c r="V117" s="75" t="s">
        <v>573</v>
      </c>
      <c r="W117" s="75" t="s">
        <v>567</v>
      </c>
      <c r="X117" s="75" t="s">
        <v>567</v>
      </c>
      <c r="Y117" s="75" t="s">
        <v>208</v>
      </c>
      <c r="Z117" s="75" t="s">
        <v>64</v>
      </c>
      <c r="AA117" s="50"/>
      <c r="AB117" s="50"/>
      <c r="AC117" s="50"/>
      <c r="AD117" s="50"/>
      <c r="AE117" s="50"/>
      <c r="AF117" s="50"/>
      <c r="AG117" s="75" t="s">
        <v>568</v>
      </c>
      <c r="AH117" s="75" t="s">
        <v>72</v>
      </c>
      <c r="AI117" s="75" t="s">
        <v>151</v>
      </c>
      <c r="AJ117" s="75" t="s">
        <v>152</v>
      </c>
      <c r="AK117" s="75" t="s">
        <v>75</v>
      </c>
      <c r="AL117" s="75" t="s">
        <v>76</v>
      </c>
    </row>
    <row r="118" spans="1:38" ht="42" customHeight="1">
      <c r="A118" s="75">
        <v>114</v>
      </c>
      <c r="B118" s="75" t="s">
        <v>560</v>
      </c>
      <c r="C118" s="75" t="s">
        <v>281</v>
      </c>
      <c r="D118" s="50"/>
      <c r="E118" s="50"/>
      <c r="F118" s="50"/>
      <c r="G118" s="50"/>
      <c r="H118" s="50"/>
      <c r="I118" s="50"/>
      <c r="J118" s="50"/>
      <c r="K118" s="50"/>
      <c r="L118" s="50"/>
      <c r="M118" s="50"/>
      <c r="N118" s="50"/>
      <c r="O118" s="75" t="s">
        <v>571</v>
      </c>
      <c r="P118" s="75" t="s">
        <v>562</v>
      </c>
      <c r="Q118" s="75" t="s">
        <v>563</v>
      </c>
      <c r="R118" s="75" t="s">
        <v>572</v>
      </c>
      <c r="S118" s="75" t="s">
        <v>230</v>
      </c>
      <c r="T118" s="50"/>
      <c r="U118" s="50"/>
      <c r="V118" s="75" t="s">
        <v>573</v>
      </c>
      <c r="W118" s="75" t="s">
        <v>566</v>
      </c>
      <c r="X118" s="75" t="s">
        <v>567</v>
      </c>
      <c r="Y118" s="75" t="s">
        <v>282</v>
      </c>
      <c r="Z118" s="75" t="s">
        <v>64</v>
      </c>
      <c r="AA118" s="50"/>
      <c r="AB118" s="50"/>
      <c r="AC118" s="50"/>
      <c r="AD118" s="50"/>
      <c r="AE118" s="50"/>
      <c r="AF118" s="50"/>
      <c r="AG118" s="75" t="s">
        <v>568</v>
      </c>
      <c r="AH118" s="75" t="s">
        <v>135</v>
      </c>
      <c r="AI118" s="75" t="s">
        <v>125</v>
      </c>
      <c r="AJ118" s="75" t="s">
        <v>126</v>
      </c>
      <c r="AK118" s="75" t="s">
        <v>75</v>
      </c>
      <c r="AL118" s="75" t="s">
        <v>76</v>
      </c>
    </row>
    <row r="119" spans="1:38" ht="42" customHeight="1">
      <c r="A119" s="75">
        <v>115</v>
      </c>
      <c r="B119" s="75" t="s">
        <v>560</v>
      </c>
      <c r="C119" s="75" t="s">
        <v>248</v>
      </c>
      <c r="D119" s="50"/>
      <c r="E119" s="50"/>
      <c r="F119" s="50"/>
      <c r="G119" s="50"/>
      <c r="H119" s="50"/>
      <c r="I119" s="50"/>
      <c r="J119" s="50"/>
      <c r="K119" s="50"/>
      <c r="L119" s="50"/>
      <c r="M119" s="50"/>
      <c r="N119" s="50"/>
      <c r="O119" s="75" t="s">
        <v>571</v>
      </c>
      <c r="P119" s="75" t="s">
        <v>562</v>
      </c>
      <c r="Q119" s="75" t="s">
        <v>563</v>
      </c>
      <c r="R119" s="75" t="s">
        <v>572</v>
      </c>
      <c r="S119" s="75" t="s">
        <v>230</v>
      </c>
      <c r="T119" s="50"/>
      <c r="U119" s="50"/>
      <c r="V119" s="75" t="s">
        <v>573</v>
      </c>
      <c r="W119" s="75" t="s">
        <v>566</v>
      </c>
      <c r="X119" s="75" t="s">
        <v>567</v>
      </c>
      <c r="Y119" s="75" t="s">
        <v>249</v>
      </c>
      <c r="Z119" s="75" t="s">
        <v>226</v>
      </c>
      <c r="AA119" s="50"/>
      <c r="AB119" s="50"/>
      <c r="AC119" s="50"/>
      <c r="AD119" s="50"/>
      <c r="AE119" s="50"/>
      <c r="AF119" s="50"/>
      <c r="AG119" s="75" t="s">
        <v>568</v>
      </c>
      <c r="AH119" s="75" t="s">
        <v>135</v>
      </c>
      <c r="AI119" s="75" t="s">
        <v>125</v>
      </c>
      <c r="AJ119" s="75" t="s">
        <v>126</v>
      </c>
      <c r="AK119" s="75" t="s">
        <v>75</v>
      </c>
      <c r="AL119" s="75" t="s">
        <v>76</v>
      </c>
    </row>
  </sheetData>
  <mergeCells count="2">
    <mergeCell ref="A2:V2"/>
    <mergeCell ref="A1:V1"/>
  </mergeCells>
  <conditionalFormatting sqref="B5:B32">
    <cfRule type="containsText" dxfId="4" priority="2" operator="containsText" text="P1"/>
    <cfRule type="containsText" dxfId="3" priority="3" operator="containsText" text="P2"/>
  </conditionalFormatting>
  <conditionalFormatting sqref="G5:G32">
    <cfRule type="dataBar" priority="1">
      <dataBar>
        <cfvo type="min"/>
        <cfvo type="max"/>
        <color rgb="FF1F6E8C"/>
      </dataBar>
    </cfRule>
    <cfRule type="dataBar" priority="5">
      <dataBar>
        <cfvo type="min"/>
        <cfvo type="max"/>
        <color rgb="FF1F6E8C"/>
      </dataBar>
    </cfRule>
    <cfRule type="dataBar" priority="6">
      <dataBar>
        <cfvo type="min"/>
        <cfvo type="max"/>
        <color rgb="FF1F6E8C"/>
      </dataBar>
    </cfRule>
    <cfRule type="dataBar" priority="7">
      <dataBar>
        <cfvo type="min"/>
        <cfvo type="max"/>
        <color rgb="FF1F6E8C"/>
      </dataBar>
    </cfRule>
  </conditionalFormatting>
  <conditionalFormatting sqref="O5:O32">
    <cfRule type="containsText" dxfId="2" priority="4" operator="containsText" text="decision"/>
  </conditionalFormatting>
  <pageMargins left="0.7" right="0.7" top="0.75" bottom="0.75" header="0.3" footer="0.3"/>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6"/>
  <sheetViews>
    <sheetView showGridLines="0" workbookViewId="0"/>
  </sheetViews>
  <sheetFormatPr baseColWidth="10" defaultColWidth="8.83203125" defaultRowHeight="14"/>
  <cols>
    <col min="1" max="1" width="30" customWidth="1"/>
    <col min="2" max="2" width="18" customWidth="1"/>
    <col min="3" max="3" width="29" customWidth="1"/>
    <col min="4" max="4" width="27" customWidth="1"/>
    <col min="5" max="5" width="30" customWidth="1"/>
    <col min="6" max="6" width="27" customWidth="1"/>
    <col min="7" max="7" width="34" customWidth="1"/>
    <col min="8" max="11" width="24" customWidth="1"/>
    <col min="12" max="12" width="25" customWidth="1"/>
    <col min="13" max="13" width="24" customWidth="1"/>
    <col min="14" max="14" width="12" customWidth="1"/>
    <col min="15" max="15" width="13" customWidth="1"/>
    <col min="16" max="16" width="12" customWidth="1"/>
    <col min="17" max="17" width="28" customWidth="1"/>
    <col min="18" max="18" width="46" customWidth="1"/>
  </cols>
  <sheetData>
    <row r="1" spans="1:18" ht="32" customHeight="1">
      <c r="A1" s="90" t="s">
        <v>601</v>
      </c>
      <c r="B1" s="77"/>
      <c r="C1" s="77"/>
      <c r="D1" s="77"/>
      <c r="E1" s="77"/>
      <c r="F1" s="77"/>
      <c r="G1" s="77"/>
      <c r="H1" s="77"/>
      <c r="I1" s="77"/>
      <c r="J1" s="77"/>
      <c r="K1" s="77"/>
      <c r="L1" s="77"/>
      <c r="M1" s="77"/>
      <c r="N1" s="77"/>
      <c r="O1" s="77"/>
      <c r="P1" s="77"/>
      <c r="Q1" s="77"/>
      <c r="R1" s="77"/>
    </row>
    <row r="2" spans="1:18" ht="30" customHeight="1">
      <c r="A2" s="89" t="s">
        <v>602</v>
      </c>
      <c r="B2" s="77"/>
      <c r="C2" s="77"/>
      <c r="D2" s="77"/>
      <c r="E2" s="77"/>
      <c r="F2" s="77"/>
      <c r="G2" s="77"/>
      <c r="H2" s="77"/>
      <c r="I2" s="77"/>
      <c r="J2" s="77"/>
      <c r="K2" s="77"/>
      <c r="L2" s="77"/>
      <c r="M2" s="77"/>
      <c r="N2" s="77"/>
      <c r="O2" s="77"/>
      <c r="P2" s="77"/>
      <c r="Q2" s="77"/>
      <c r="R2" s="77"/>
    </row>
    <row r="4" spans="1:18" ht="28" customHeight="1">
      <c r="A4" s="1" t="s">
        <v>46</v>
      </c>
      <c r="B4" s="2" t="s">
        <v>297</v>
      </c>
      <c r="C4" s="2" t="s">
        <v>603</v>
      </c>
      <c r="D4" s="2" t="s">
        <v>604</v>
      </c>
      <c r="E4" s="2" t="s">
        <v>605</v>
      </c>
      <c r="F4" s="2" t="s">
        <v>606</v>
      </c>
      <c r="G4" s="2" t="s">
        <v>607</v>
      </c>
      <c r="H4" s="2" t="s">
        <v>608</v>
      </c>
      <c r="I4" s="2" t="s">
        <v>609</v>
      </c>
      <c r="J4" s="2" t="s">
        <v>610</v>
      </c>
      <c r="K4" s="2" t="s">
        <v>611</v>
      </c>
      <c r="L4" s="2" t="s">
        <v>304</v>
      </c>
      <c r="M4" s="2" t="s">
        <v>305</v>
      </c>
      <c r="N4" s="2" t="s">
        <v>612</v>
      </c>
      <c r="O4" s="2" t="s">
        <v>613</v>
      </c>
      <c r="P4" s="2" t="s">
        <v>614</v>
      </c>
      <c r="Q4" s="2" t="s">
        <v>615</v>
      </c>
      <c r="R4" s="3" t="s">
        <v>616</v>
      </c>
    </row>
    <row r="5" spans="1:18" ht="39" customHeight="1">
      <c r="A5" s="4" t="s">
        <v>617</v>
      </c>
      <c r="B5" s="5" t="s">
        <v>360</v>
      </c>
      <c r="C5" s="5" t="s">
        <v>618</v>
      </c>
      <c r="D5" s="5" t="s">
        <v>619</v>
      </c>
      <c r="E5" s="5" t="s">
        <v>64</v>
      </c>
      <c r="F5" s="5" t="s">
        <v>414</v>
      </c>
      <c r="G5" s="5" t="s">
        <v>414</v>
      </c>
      <c r="H5" s="5" t="s">
        <v>64</v>
      </c>
      <c r="I5" s="5" t="s">
        <v>414</v>
      </c>
      <c r="J5" s="5" t="s">
        <v>414</v>
      </c>
      <c r="K5" s="5" t="s">
        <v>620</v>
      </c>
      <c r="L5" s="5" t="s">
        <v>621</v>
      </c>
      <c r="M5" s="5">
        <v>5</v>
      </c>
      <c r="N5" s="5">
        <v>4</v>
      </c>
      <c r="O5" s="13">
        <v>0.55555555555555558</v>
      </c>
      <c r="P5" s="13">
        <v>0.55555555555555558</v>
      </c>
      <c r="Q5" s="5" t="s">
        <v>622</v>
      </c>
      <c r="R5" s="6" t="s">
        <v>623</v>
      </c>
    </row>
    <row r="6" spans="1:18" ht="39" customHeight="1">
      <c r="A6" s="7" t="s">
        <v>327</v>
      </c>
      <c r="B6" s="8" t="s">
        <v>328</v>
      </c>
      <c r="C6" s="8" t="s">
        <v>624</v>
      </c>
      <c r="D6" s="8" t="s">
        <v>625</v>
      </c>
      <c r="E6" s="8" t="s">
        <v>626</v>
      </c>
      <c r="F6" s="8" t="s">
        <v>414</v>
      </c>
      <c r="G6" s="8" t="s">
        <v>414</v>
      </c>
      <c r="H6" s="8" t="s">
        <v>627</v>
      </c>
      <c r="I6" s="8" t="s">
        <v>414</v>
      </c>
      <c r="J6" s="8" t="s">
        <v>414</v>
      </c>
      <c r="K6" s="8" t="s">
        <v>628</v>
      </c>
      <c r="L6" s="8" t="s">
        <v>629</v>
      </c>
      <c r="M6" s="8">
        <v>5</v>
      </c>
      <c r="N6" s="8">
        <v>4</v>
      </c>
      <c r="O6" s="14">
        <v>0.55555555555555558</v>
      </c>
      <c r="P6" s="14">
        <v>0.44444444444444442</v>
      </c>
      <c r="Q6" s="8" t="s">
        <v>333</v>
      </c>
      <c r="R6" s="9" t="s">
        <v>630</v>
      </c>
    </row>
    <row r="7" spans="1:18" ht="26" customHeight="1">
      <c r="A7" s="7" t="s">
        <v>631</v>
      </c>
      <c r="B7" s="8" t="s">
        <v>328</v>
      </c>
      <c r="C7" s="8" t="s">
        <v>632</v>
      </c>
      <c r="D7" s="8" t="s">
        <v>633</v>
      </c>
      <c r="E7" s="8" t="s">
        <v>634</v>
      </c>
      <c r="F7" s="8" t="s">
        <v>635</v>
      </c>
      <c r="G7" s="8" t="s">
        <v>414</v>
      </c>
      <c r="H7" s="8" t="s">
        <v>414</v>
      </c>
      <c r="I7" s="8" t="s">
        <v>414</v>
      </c>
      <c r="J7" s="8" t="s">
        <v>636</v>
      </c>
      <c r="K7" s="8" t="s">
        <v>637</v>
      </c>
      <c r="L7" s="8" t="s">
        <v>638</v>
      </c>
      <c r="M7" s="8">
        <v>5</v>
      </c>
      <c r="N7" s="8">
        <v>4</v>
      </c>
      <c r="O7" s="14">
        <v>0.55555555555555558</v>
      </c>
      <c r="P7" s="14">
        <v>0.66666666666666663</v>
      </c>
      <c r="Q7" s="8" t="s">
        <v>639</v>
      </c>
      <c r="R7" s="9" t="s">
        <v>640</v>
      </c>
    </row>
    <row r="8" spans="1:18" ht="26" customHeight="1">
      <c r="A8" s="7" t="s">
        <v>349</v>
      </c>
      <c r="B8" s="8" t="s">
        <v>350</v>
      </c>
      <c r="C8" s="8" t="s">
        <v>641</v>
      </c>
      <c r="D8" s="8" t="s">
        <v>642</v>
      </c>
      <c r="E8" s="8" t="s">
        <v>643</v>
      </c>
      <c r="F8" s="8" t="s">
        <v>414</v>
      </c>
      <c r="G8" s="8" t="s">
        <v>644</v>
      </c>
      <c r="H8" s="8" t="s">
        <v>645</v>
      </c>
      <c r="I8" s="8" t="s">
        <v>414</v>
      </c>
      <c r="J8" s="8" t="s">
        <v>414</v>
      </c>
      <c r="K8" s="8" t="s">
        <v>414</v>
      </c>
      <c r="L8" s="8" t="s">
        <v>646</v>
      </c>
      <c r="M8" s="8">
        <v>3</v>
      </c>
      <c r="N8" s="8">
        <v>6</v>
      </c>
      <c r="O8" s="14">
        <v>0.33333333333333331</v>
      </c>
      <c r="P8" s="14">
        <v>0.55555555555555558</v>
      </c>
      <c r="Q8" s="8" t="s">
        <v>647</v>
      </c>
      <c r="R8" s="9" t="s">
        <v>648</v>
      </c>
    </row>
    <row r="9" spans="1:18" ht="39" customHeight="1">
      <c r="A9" s="7" t="s">
        <v>359</v>
      </c>
      <c r="B9" s="8" t="s">
        <v>360</v>
      </c>
      <c r="C9" s="8" t="s">
        <v>649</v>
      </c>
      <c r="D9" s="8" t="s">
        <v>642</v>
      </c>
      <c r="E9" s="8" t="s">
        <v>64</v>
      </c>
      <c r="F9" s="8" t="s">
        <v>414</v>
      </c>
      <c r="G9" s="8" t="s">
        <v>414</v>
      </c>
      <c r="H9" s="8" t="s">
        <v>650</v>
      </c>
      <c r="I9" s="8" t="s">
        <v>414</v>
      </c>
      <c r="J9" s="8" t="s">
        <v>414</v>
      </c>
      <c r="K9" s="8" t="s">
        <v>651</v>
      </c>
      <c r="L9" s="8" t="s">
        <v>652</v>
      </c>
      <c r="M9" s="8">
        <v>5</v>
      </c>
      <c r="N9" s="8">
        <v>4</v>
      </c>
      <c r="O9" s="14">
        <v>0.55555555555555558</v>
      </c>
      <c r="P9" s="14">
        <v>0.55555555555555558</v>
      </c>
      <c r="Q9" s="8" t="s">
        <v>653</v>
      </c>
      <c r="R9" s="9" t="s">
        <v>654</v>
      </c>
    </row>
    <row r="10" spans="1:18" ht="39" customHeight="1">
      <c r="A10" s="7" t="s">
        <v>338</v>
      </c>
      <c r="B10" s="8" t="s">
        <v>339</v>
      </c>
      <c r="C10" s="8" t="s">
        <v>655</v>
      </c>
      <c r="D10" s="8" t="s">
        <v>656</v>
      </c>
      <c r="E10" s="8" t="s">
        <v>657</v>
      </c>
      <c r="F10" s="8" t="s">
        <v>658</v>
      </c>
      <c r="G10" s="8" t="s">
        <v>659</v>
      </c>
      <c r="H10" s="8" t="s">
        <v>660</v>
      </c>
      <c r="I10" s="8" t="s">
        <v>414</v>
      </c>
      <c r="J10" s="8" t="s">
        <v>414</v>
      </c>
      <c r="K10" s="8" t="s">
        <v>661</v>
      </c>
      <c r="L10" s="8" t="s">
        <v>662</v>
      </c>
      <c r="M10" s="8">
        <v>7</v>
      </c>
      <c r="N10" s="8">
        <v>2</v>
      </c>
      <c r="O10" s="14">
        <v>0.77777777777777779</v>
      </c>
      <c r="P10" s="14">
        <v>0.77777777777777779</v>
      </c>
      <c r="Q10" s="8" t="s">
        <v>663</v>
      </c>
      <c r="R10" s="9" t="s">
        <v>664</v>
      </c>
    </row>
    <row r="11" spans="1:18" ht="26" customHeight="1">
      <c r="A11" s="7" t="s">
        <v>379</v>
      </c>
      <c r="B11" s="8" t="s">
        <v>350</v>
      </c>
      <c r="C11" s="8" t="s">
        <v>385</v>
      </c>
      <c r="D11" s="8" t="s">
        <v>665</v>
      </c>
      <c r="E11" s="8" t="s">
        <v>64</v>
      </c>
      <c r="F11" s="8" t="s">
        <v>414</v>
      </c>
      <c r="G11" s="8" t="s">
        <v>414</v>
      </c>
      <c r="H11" s="8" t="s">
        <v>414</v>
      </c>
      <c r="I11" s="8" t="s">
        <v>414</v>
      </c>
      <c r="J11" s="8" t="s">
        <v>414</v>
      </c>
      <c r="K11" s="8" t="s">
        <v>414</v>
      </c>
      <c r="L11" s="8" t="s">
        <v>666</v>
      </c>
      <c r="M11" s="8">
        <v>3</v>
      </c>
      <c r="N11" s="8">
        <v>6</v>
      </c>
      <c r="O11" s="14">
        <v>0.33333333333333331</v>
      </c>
      <c r="P11" s="14">
        <v>0.22222222222222221</v>
      </c>
      <c r="Q11" s="8" t="s">
        <v>667</v>
      </c>
      <c r="R11" s="9" t="s">
        <v>668</v>
      </c>
    </row>
    <row r="12" spans="1:18" ht="26" customHeight="1">
      <c r="A12" s="7" t="s">
        <v>370</v>
      </c>
      <c r="B12" s="8" t="s">
        <v>328</v>
      </c>
      <c r="C12" s="8" t="s">
        <v>624</v>
      </c>
      <c r="D12" s="8" t="s">
        <v>625</v>
      </c>
      <c r="E12" s="8" t="s">
        <v>669</v>
      </c>
      <c r="F12" s="8" t="s">
        <v>414</v>
      </c>
      <c r="G12" s="8" t="s">
        <v>414</v>
      </c>
      <c r="H12" s="8" t="s">
        <v>670</v>
      </c>
      <c r="I12" s="8" t="s">
        <v>414</v>
      </c>
      <c r="J12" s="8" t="s">
        <v>414</v>
      </c>
      <c r="K12" s="8" t="s">
        <v>414</v>
      </c>
      <c r="L12" s="8" t="s">
        <v>671</v>
      </c>
      <c r="M12" s="8">
        <v>4</v>
      </c>
      <c r="N12" s="8">
        <v>5</v>
      </c>
      <c r="O12" s="14">
        <v>0.44444444444444442</v>
      </c>
      <c r="P12" s="14">
        <v>0.44444444444444442</v>
      </c>
      <c r="Q12" s="8" t="s">
        <v>672</v>
      </c>
      <c r="R12" s="9" t="s">
        <v>673</v>
      </c>
    </row>
    <row r="13" spans="1:18" ht="26" customHeight="1">
      <c r="A13" s="7" t="s">
        <v>419</v>
      </c>
      <c r="B13" s="8" t="s">
        <v>339</v>
      </c>
      <c r="C13" s="8" t="s">
        <v>674</v>
      </c>
      <c r="D13" s="8" t="s">
        <v>675</v>
      </c>
      <c r="E13" s="8" t="s">
        <v>676</v>
      </c>
      <c r="F13" s="8" t="s">
        <v>414</v>
      </c>
      <c r="G13" s="8" t="s">
        <v>677</v>
      </c>
      <c r="H13" s="8" t="s">
        <v>414</v>
      </c>
      <c r="I13" s="8" t="s">
        <v>414</v>
      </c>
      <c r="J13" s="8" t="s">
        <v>414</v>
      </c>
      <c r="K13" s="8" t="s">
        <v>678</v>
      </c>
      <c r="L13" s="8" t="s">
        <v>679</v>
      </c>
      <c r="M13" s="8">
        <v>5</v>
      </c>
      <c r="N13" s="8">
        <v>4</v>
      </c>
      <c r="O13" s="14">
        <v>0.55555555555555558</v>
      </c>
      <c r="P13" s="14">
        <v>0.44444444444444442</v>
      </c>
      <c r="Q13" s="8" t="s">
        <v>680</v>
      </c>
      <c r="R13" s="9" t="s">
        <v>681</v>
      </c>
    </row>
    <row r="14" spans="1:18" ht="26" customHeight="1">
      <c r="A14" s="7" t="s">
        <v>411</v>
      </c>
      <c r="B14" s="8" t="s">
        <v>339</v>
      </c>
      <c r="C14" s="8" t="s">
        <v>682</v>
      </c>
      <c r="D14" s="8" t="s">
        <v>683</v>
      </c>
      <c r="E14" s="8" t="s">
        <v>684</v>
      </c>
      <c r="F14" s="8" t="s">
        <v>414</v>
      </c>
      <c r="G14" s="8" t="s">
        <v>414</v>
      </c>
      <c r="H14" s="8" t="s">
        <v>414</v>
      </c>
      <c r="I14" s="8" t="s">
        <v>414</v>
      </c>
      <c r="J14" s="8" t="s">
        <v>414</v>
      </c>
      <c r="K14" s="8" t="s">
        <v>685</v>
      </c>
      <c r="L14" s="8" t="s">
        <v>413</v>
      </c>
      <c r="M14" s="8">
        <v>4</v>
      </c>
      <c r="N14" s="8">
        <v>5</v>
      </c>
      <c r="O14" s="14">
        <v>0.44444444444444442</v>
      </c>
      <c r="P14" s="14">
        <v>0.44444444444444442</v>
      </c>
      <c r="Q14" s="8" t="s">
        <v>415</v>
      </c>
      <c r="R14" s="9" t="s">
        <v>416</v>
      </c>
    </row>
    <row r="15" spans="1:18" ht="39" customHeight="1">
      <c r="A15" s="7" t="s">
        <v>437</v>
      </c>
      <c r="B15" s="8" t="s">
        <v>350</v>
      </c>
      <c r="C15" s="8" t="s">
        <v>686</v>
      </c>
      <c r="D15" s="8" t="s">
        <v>642</v>
      </c>
      <c r="E15" s="8" t="s">
        <v>64</v>
      </c>
      <c r="F15" s="8" t="s">
        <v>414</v>
      </c>
      <c r="G15" s="8" t="s">
        <v>414</v>
      </c>
      <c r="H15" s="8" t="s">
        <v>414</v>
      </c>
      <c r="I15" s="8" t="s">
        <v>414</v>
      </c>
      <c r="J15" s="8" t="s">
        <v>414</v>
      </c>
      <c r="K15" s="8" t="s">
        <v>414</v>
      </c>
      <c r="L15" s="8" t="s">
        <v>439</v>
      </c>
      <c r="M15" s="8">
        <v>3</v>
      </c>
      <c r="N15" s="8">
        <v>6</v>
      </c>
      <c r="O15" s="14">
        <v>0.33333333333333331</v>
      </c>
      <c r="P15" s="14">
        <v>0.33333333333333331</v>
      </c>
      <c r="Q15" s="8" t="s">
        <v>441</v>
      </c>
      <c r="R15" s="9" t="s">
        <v>442</v>
      </c>
    </row>
    <row r="16" spans="1:18" ht="26" customHeight="1">
      <c r="A16" s="7" t="s">
        <v>445</v>
      </c>
      <c r="B16" s="8" t="s">
        <v>339</v>
      </c>
      <c r="C16" s="8" t="s">
        <v>687</v>
      </c>
      <c r="D16" s="8" t="s">
        <v>688</v>
      </c>
      <c r="E16" s="8" t="s">
        <v>689</v>
      </c>
      <c r="F16" s="8" t="s">
        <v>414</v>
      </c>
      <c r="G16" s="8" t="s">
        <v>414</v>
      </c>
      <c r="H16" s="8" t="s">
        <v>414</v>
      </c>
      <c r="I16" s="8" t="s">
        <v>414</v>
      </c>
      <c r="J16" s="8" t="s">
        <v>414</v>
      </c>
      <c r="K16" s="8" t="s">
        <v>690</v>
      </c>
      <c r="L16" s="8" t="s">
        <v>447</v>
      </c>
      <c r="M16" s="8">
        <v>4</v>
      </c>
      <c r="N16" s="8">
        <v>5</v>
      </c>
      <c r="O16" s="14">
        <v>0.44444444444444442</v>
      </c>
      <c r="P16" s="14">
        <v>0.44444444444444442</v>
      </c>
      <c r="Q16" s="8" t="s">
        <v>448</v>
      </c>
      <c r="R16" s="9" t="s">
        <v>449</v>
      </c>
    </row>
    <row r="17" spans="1:18" ht="26" customHeight="1">
      <c r="A17" s="7" t="s">
        <v>451</v>
      </c>
      <c r="B17" s="8" t="s">
        <v>328</v>
      </c>
      <c r="C17" s="8" t="s">
        <v>691</v>
      </c>
      <c r="D17" s="8" t="s">
        <v>692</v>
      </c>
      <c r="E17" s="8" t="s">
        <v>693</v>
      </c>
      <c r="F17" s="8" t="s">
        <v>414</v>
      </c>
      <c r="G17" s="8" t="s">
        <v>414</v>
      </c>
      <c r="H17" s="8" t="s">
        <v>414</v>
      </c>
      <c r="I17" s="8" t="s">
        <v>414</v>
      </c>
      <c r="J17" s="8" t="s">
        <v>414</v>
      </c>
      <c r="K17" s="8" t="s">
        <v>694</v>
      </c>
      <c r="L17" s="8" t="s">
        <v>453</v>
      </c>
      <c r="M17" s="8">
        <v>4</v>
      </c>
      <c r="N17" s="8">
        <v>5</v>
      </c>
      <c r="O17" s="14">
        <v>0.44444444444444442</v>
      </c>
      <c r="P17" s="14">
        <v>0.44444444444444442</v>
      </c>
      <c r="Q17" s="8" t="s">
        <v>454</v>
      </c>
      <c r="R17" s="9" t="s">
        <v>455</v>
      </c>
    </row>
    <row r="18" spans="1:18" ht="26" customHeight="1">
      <c r="A18" s="7" t="s">
        <v>457</v>
      </c>
      <c r="B18" s="8" t="s">
        <v>328</v>
      </c>
      <c r="C18" s="8" t="s">
        <v>695</v>
      </c>
      <c r="D18" s="8" t="s">
        <v>696</v>
      </c>
      <c r="E18" s="8" t="s">
        <v>697</v>
      </c>
      <c r="F18" s="8" t="s">
        <v>414</v>
      </c>
      <c r="G18" s="8" t="s">
        <v>414</v>
      </c>
      <c r="H18" s="8" t="s">
        <v>698</v>
      </c>
      <c r="I18" s="8" t="s">
        <v>414</v>
      </c>
      <c r="J18" s="8" t="s">
        <v>699</v>
      </c>
      <c r="K18" s="8" t="s">
        <v>700</v>
      </c>
      <c r="L18" s="8" t="s">
        <v>459</v>
      </c>
      <c r="M18" s="8">
        <v>5</v>
      </c>
      <c r="N18" s="8">
        <v>4</v>
      </c>
      <c r="O18" s="14">
        <v>0.55555555555555558</v>
      </c>
      <c r="P18" s="14">
        <v>0.66666666666666663</v>
      </c>
      <c r="Q18" s="8" t="s">
        <v>701</v>
      </c>
      <c r="R18" s="9" t="s">
        <v>702</v>
      </c>
    </row>
    <row r="19" spans="1:18" ht="26" customHeight="1">
      <c r="A19" s="7" t="s">
        <v>466</v>
      </c>
      <c r="B19" s="8" t="s">
        <v>328</v>
      </c>
      <c r="C19" s="8" t="s">
        <v>703</v>
      </c>
      <c r="D19" s="8" t="s">
        <v>696</v>
      </c>
      <c r="E19" s="8" t="s">
        <v>697</v>
      </c>
      <c r="F19" s="8" t="s">
        <v>414</v>
      </c>
      <c r="G19" s="8" t="s">
        <v>414</v>
      </c>
      <c r="H19" s="8" t="s">
        <v>414</v>
      </c>
      <c r="I19" s="8" t="s">
        <v>414</v>
      </c>
      <c r="J19" s="8" t="s">
        <v>414</v>
      </c>
      <c r="K19" s="8" t="s">
        <v>414</v>
      </c>
      <c r="L19" s="8" t="s">
        <v>468</v>
      </c>
      <c r="M19" s="8">
        <v>3</v>
      </c>
      <c r="N19" s="8">
        <v>6</v>
      </c>
      <c r="O19" s="14">
        <v>0.33333333333333331</v>
      </c>
      <c r="P19" s="14">
        <v>0.33333333333333331</v>
      </c>
      <c r="Q19" s="8" t="s">
        <v>469</v>
      </c>
      <c r="R19" s="9" t="s">
        <v>470</v>
      </c>
    </row>
    <row r="20" spans="1:18" ht="26" customHeight="1">
      <c r="A20" s="7" t="s">
        <v>472</v>
      </c>
      <c r="B20" s="8" t="s">
        <v>339</v>
      </c>
      <c r="C20" s="8" t="s">
        <v>704</v>
      </c>
      <c r="D20" s="8" t="s">
        <v>688</v>
      </c>
      <c r="E20" s="8" t="s">
        <v>705</v>
      </c>
      <c r="F20" s="8" t="s">
        <v>414</v>
      </c>
      <c r="G20" s="8" t="s">
        <v>414</v>
      </c>
      <c r="H20" s="8" t="s">
        <v>414</v>
      </c>
      <c r="I20" s="8" t="s">
        <v>414</v>
      </c>
      <c r="J20" s="8" t="s">
        <v>414</v>
      </c>
      <c r="K20" s="8" t="s">
        <v>414</v>
      </c>
      <c r="L20" s="8" t="s">
        <v>706</v>
      </c>
      <c r="M20" s="8">
        <v>3</v>
      </c>
      <c r="N20" s="8">
        <v>6</v>
      </c>
      <c r="O20" s="14">
        <v>0.33333333333333331</v>
      </c>
      <c r="P20" s="14">
        <v>0.33333333333333331</v>
      </c>
      <c r="Q20" s="8" t="s">
        <v>476</v>
      </c>
      <c r="R20" s="9" t="s">
        <v>707</v>
      </c>
    </row>
    <row r="21" spans="1:18" ht="26" customHeight="1">
      <c r="A21" s="7" t="s">
        <v>481</v>
      </c>
      <c r="B21" s="8" t="s">
        <v>350</v>
      </c>
      <c r="C21" s="8" t="s">
        <v>708</v>
      </c>
      <c r="D21" s="8" t="s">
        <v>625</v>
      </c>
      <c r="E21" s="8" t="s">
        <v>64</v>
      </c>
      <c r="F21" s="8" t="s">
        <v>414</v>
      </c>
      <c r="G21" s="8" t="s">
        <v>414</v>
      </c>
      <c r="H21" s="8" t="s">
        <v>414</v>
      </c>
      <c r="I21" s="8" t="s">
        <v>414</v>
      </c>
      <c r="J21" s="8" t="s">
        <v>414</v>
      </c>
      <c r="K21" s="8" t="s">
        <v>414</v>
      </c>
      <c r="L21" s="8" t="s">
        <v>483</v>
      </c>
      <c r="M21" s="8">
        <v>3</v>
      </c>
      <c r="N21" s="8">
        <v>6</v>
      </c>
      <c r="O21" s="14">
        <v>0.33333333333333331</v>
      </c>
      <c r="P21" s="14">
        <v>0.33333333333333331</v>
      </c>
      <c r="Q21" s="8" t="s">
        <v>484</v>
      </c>
      <c r="R21" s="9" t="s">
        <v>485</v>
      </c>
    </row>
    <row r="22" spans="1:18" ht="26" customHeight="1">
      <c r="A22" s="7" t="s">
        <v>487</v>
      </c>
      <c r="B22" s="8" t="s">
        <v>328</v>
      </c>
      <c r="C22" s="8" t="s">
        <v>709</v>
      </c>
      <c r="D22" s="8" t="s">
        <v>710</v>
      </c>
      <c r="E22" s="8" t="s">
        <v>697</v>
      </c>
      <c r="F22" s="8" t="s">
        <v>414</v>
      </c>
      <c r="G22" s="8" t="s">
        <v>414</v>
      </c>
      <c r="H22" s="8" t="s">
        <v>414</v>
      </c>
      <c r="I22" s="8" t="s">
        <v>414</v>
      </c>
      <c r="J22" s="8" t="s">
        <v>414</v>
      </c>
      <c r="K22" s="8" t="s">
        <v>414</v>
      </c>
      <c r="L22" s="8" t="s">
        <v>489</v>
      </c>
      <c r="M22" s="8">
        <v>3</v>
      </c>
      <c r="N22" s="8">
        <v>6</v>
      </c>
      <c r="O22" s="14">
        <v>0.33333333333333331</v>
      </c>
      <c r="P22" s="14">
        <v>0.33333333333333331</v>
      </c>
      <c r="Q22" s="8" t="s">
        <v>491</v>
      </c>
      <c r="R22" s="9" t="s">
        <v>492</v>
      </c>
    </row>
    <row r="23" spans="1:18" ht="26" customHeight="1">
      <c r="A23" s="7" t="s">
        <v>495</v>
      </c>
      <c r="B23" s="8" t="s">
        <v>360</v>
      </c>
      <c r="C23" s="8" t="s">
        <v>711</v>
      </c>
      <c r="D23" s="8" t="s">
        <v>414</v>
      </c>
      <c r="E23" s="8" t="s">
        <v>64</v>
      </c>
      <c r="F23" s="8" t="s">
        <v>414</v>
      </c>
      <c r="G23" s="8" t="s">
        <v>414</v>
      </c>
      <c r="H23" s="8" t="s">
        <v>64</v>
      </c>
      <c r="I23" s="8" t="s">
        <v>414</v>
      </c>
      <c r="J23" s="8" t="s">
        <v>414</v>
      </c>
      <c r="K23" s="8" t="s">
        <v>712</v>
      </c>
      <c r="L23" s="8" t="s">
        <v>497</v>
      </c>
      <c r="M23" s="8">
        <v>4</v>
      </c>
      <c r="N23" s="8">
        <v>5</v>
      </c>
      <c r="O23" s="14">
        <v>0.44444444444444442</v>
      </c>
      <c r="P23" s="14">
        <v>0.44444444444444442</v>
      </c>
      <c r="Q23" s="8" t="s">
        <v>498</v>
      </c>
      <c r="R23" s="9" t="s">
        <v>499</v>
      </c>
    </row>
    <row r="24" spans="1:18" ht="26" customHeight="1">
      <c r="A24" s="7" t="s">
        <v>501</v>
      </c>
      <c r="B24" s="8" t="s">
        <v>339</v>
      </c>
      <c r="C24" s="8" t="s">
        <v>713</v>
      </c>
      <c r="D24" s="8" t="s">
        <v>714</v>
      </c>
      <c r="E24" s="8" t="s">
        <v>715</v>
      </c>
      <c r="F24" s="8" t="s">
        <v>414</v>
      </c>
      <c r="G24" s="8" t="s">
        <v>414</v>
      </c>
      <c r="H24" s="8" t="s">
        <v>716</v>
      </c>
      <c r="I24" s="8" t="s">
        <v>414</v>
      </c>
      <c r="J24" s="8" t="s">
        <v>414</v>
      </c>
      <c r="K24" s="8" t="s">
        <v>717</v>
      </c>
      <c r="L24" s="8" t="s">
        <v>503</v>
      </c>
      <c r="M24" s="8">
        <v>5</v>
      </c>
      <c r="N24" s="8">
        <v>4</v>
      </c>
      <c r="O24" s="14">
        <v>0.55555555555555558</v>
      </c>
      <c r="P24" s="14">
        <v>0.55555555555555558</v>
      </c>
      <c r="Q24" s="8" t="s">
        <v>504</v>
      </c>
      <c r="R24" s="9" t="s">
        <v>718</v>
      </c>
    </row>
    <row r="25" spans="1:18" ht="26" customHeight="1">
      <c r="A25" s="7" t="s">
        <v>428</v>
      </c>
      <c r="B25" s="8" t="s">
        <v>350</v>
      </c>
      <c r="C25" s="8" t="s">
        <v>719</v>
      </c>
      <c r="D25" s="8" t="s">
        <v>720</v>
      </c>
      <c r="E25" s="8" t="s">
        <v>64</v>
      </c>
      <c r="F25" s="8" t="s">
        <v>414</v>
      </c>
      <c r="G25" s="8" t="s">
        <v>721</v>
      </c>
      <c r="H25" s="8" t="s">
        <v>645</v>
      </c>
      <c r="I25" s="8" t="s">
        <v>722</v>
      </c>
      <c r="J25" s="8" t="s">
        <v>414</v>
      </c>
      <c r="K25" s="8" t="s">
        <v>723</v>
      </c>
      <c r="L25" s="8" t="s">
        <v>724</v>
      </c>
      <c r="M25" s="8">
        <v>6</v>
      </c>
      <c r="N25" s="8">
        <v>3</v>
      </c>
      <c r="O25" s="14">
        <v>0.66666666666666663</v>
      </c>
      <c r="P25" s="14">
        <v>0.66666666666666663</v>
      </c>
      <c r="Q25" s="8" t="s">
        <v>725</v>
      </c>
      <c r="R25" s="9" t="s">
        <v>726</v>
      </c>
    </row>
    <row r="26" spans="1:18" ht="39" customHeight="1">
      <c r="A26" s="7" t="s">
        <v>509</v>
      </c>
      <c r="B26" s="8" t="s">
        <v>339</v>
      </c>
      <c r="C26" s="8" t="s">
        <v>727</v>
      </c>
      <c r="D26" s="8" t="s">
        <v>728</v>
      </c>
      <c r="E26" s="8" t="s">
        <v>697</v>
      </c>
      <c r="F26" s="8" t="s">
        <v>414</v>
      </c>
      <c r="G26" s="8" t="s">
        <v>414</v>
      </c>
      <c r="H26" s="8" t="s">
        <v>414</v>
      </c>
      <c r="I26" s="8" t="s">
        <v>414</v>
      </c>
      <c r="J26" s="8" t="s">
        <v>414</v>
      </c>
      <c r="K26" s="8" t="s">
        <v>728</v>
      </c>
      <c r="L26" s="8" t="s">
        <v>511</v>
      </c>
      <c r="M26" s="8">
        <v>4</v>
      </c>
      <c r="N26" s="8">
        <v>5</v>
      </c>
      <c r="O26" s="14">
        <v>0.44444444444444442</v>
      </c>
      <c r="P26" s="14">
        <v>0.44444444444444442</v>
      </c>
      <c r="Q26" s="8" t="s">
        <v>512</v>
      </c>
      <c r="R26" s="9" t="s">
        <v>513</v>
      </c>
    </row>
    <row r="27" spans="1:18" ht="26" customHeight="1">
      <c r="A27" s="7" t="s">
        <v>515</v>
      </c>
      <c r="B27" s="8" t="s">
        <v>360</v>
      </c>
      <c r="C27" s="8" t="s">
        <v>729</v>
      </c>
      <c r="D27" s="8" t="s">
        <v>730</v>
      </c>
      <c r="E27" s="8" t="s">
        <v>64</v>
      </c>
      <c r="F27" s="8" t="s">
        <v>414</v>
      </c>
      <c r="G27" s="8" t="s">
        <v>414</v>
      </c>
      <c r="H27" s="8" t="s">
        <v>64</v>
      </c>
      <c r="I27" s="8" t="s">
        <v>414</v>
      </c>
      <c r="J27" s="8" t="s">
        <v>414</v>
      </c>
      <c r="K27" s="8" t="s">
        <v>620</v>
      </c>
      <c r="L27" s="8" t="s">
        <v>503</v>
      </c>
      <c r="M27" s="8">
        <v>5</v>
      </c>
      <c r="N27" s="8">
        <v>4</v>
      </c>
      <c r="O27" s="14">
        <v>0.55555555555555558</v>
      </c>
      <c r="P27" s="14">
        <v>0.55555555555555558</v>
      </c>
      <c r="Q27" s="8" t="s">
        <v>517</v>
      </c>
      <c r="R27" s="9" t="s">
        <v>518</v>
      </c>
    </row>
    <row r="28" spans="1:18" ht="26" customHeight="1">
      <c r="A28" s="7" t="s">
        <v>520</v>
      </c>
      <c r="B28" s="8" t="s">
        <v>350</v>
      </c>
      <c r="C28" s="8" t="s">
        <v>728</v>
      </c>
      <c r="D28" s="8" t="s">
        <v>728</v>
      </c>
      <c r="E28" s="8" t="s">
        <v>731</v>
      </c>
      <c r="F28" s="8" t="s">
        <v>414</v>
      </c>
      <c r="G28" s="8" t="s">
        <v>414</v>
      </c>
      <c r="H28" s="8" t="s">
        <v>414</v>
      </c>
      <c r="I28" s="8" t="s">
        <v>414</v>
      </c>
      <c r="J28" s="8" t="s">
        <v>414</v>
      </c>
      <c r="K28" s="8" t="s">
        <v>414</v>
      </c>
      <c r="L28" s="8" t="s">
        <v>522</v>
      </c>
      <c r="M28" s="8">
        <v>3</v>
      </c>
      <c r="N28" s="8">
        <v>6</v>
      </c>
      <c r="O28" s="14">
        <v>0.33333333333333331</v>
      </c>
      <c r="P28" s="14">
        <v>0.33333333333333331</v>
      </c>
      <c r="Q28" s="8" t="s">
        <v>523</v>
      </c>
      <c r="R28" s="9" t="s">
        <v>524</v>
      </c>
    </row>
    <row r="29" spans="1:18" ht="26" customHeight="1">
      <c r="A29" s="7" t="s">
        <v>526</v>
      </c>
      <c r="B29" s="8" t="s">
        <v>339</v>
      </c>
      <c r="C29" s="8" t="s">
        <v>642</v>
      </c>
      <c r="D29" s="8" t="s">
        <v>732</v>
      </c>
      <c r="E29" s="8" t="s">
        <v>733</v>
      </c>
      <c r="F29" s="8" t="s">
        <v>414</v>
      </c>
      <c r="G29" s="8" t="s">
        <v>414</v>
      </c>
      <c r="H29" s="8" t="s">
        <v>716</v>
      </c>
      <c r="I29" s="8" t="s">
        <v>414</v>
      </c>
      <c r="J29" s="8" t="s">
        <v>414</v>
      </c>
      <c r="K29" s="8" t="s">
        <v>734</v>
      </c>
      <c r="L29" s="8" t="s">
        <v>528</v>
      </c>
      <c r="M29" s="8">
        <v>5</v>
      </c>
      <c r="N29" s="8">
        <v>4</v>
      </c>
      <c r="O29" s="14">
        <v>0.55555555555555558</v>
      </c>
      <c r="P29" s="14">
        <v>0.55555555555555558</v>
      </c>
      <c r="Q29" s="8" t="s">
        <v>529</v>
      </c>
      <c r="R29" s="9" t="s">
        <v>530</v>
      </c>
    </row>
    <row r="30" spans="1:18" ht="26" customHeight="1">
      <c r="A30" s="7" t="s">
        <v>532</v>
      </c>
      <c r="B30" s="8" t="s">
        <v>339</v>
      </c>
      <c r="C30" s="8" t="s">
        <v>735</v>
      </c>
      <c r="D30" s="8" t="s">
        <v>675</v>
      </c>
      <c r="E30" s="8" t="s">
        <v>736</v>
      </c>
      <c r="F30" s="8" t="s">
        <v>414</v>
      </c>
      <c r="G30" s="8" t="s">
        <v>414</v>
      </c>
      <c r="H30" s="8" t="s">
        <v>737</v>
      </c>
      <c r="I30" s="8" t="s">
        <v>414</v>
      </c>
      <c r="J30" s="8" t="s">
        <v>414</v>
      </c>
      <c r="K30" s="8" t="s">
        <v>738</v>
      </c>
      <c r="L30" s="8" t="s">
        <v>739</v>
      </c>
      <c r="M30" s="8">
        <v>5</v>
      </c>
      <c r="N30" s="8">
        <v>4</v>
      </c>
      <c r="O30" s="14">
        <v>0.55555555555555558</v>
      </c>
      <c r="P30" s="14">
        <v>0.55555555555555558</v>
      </c>
      <c r="Q30" s="8" t="s">
        <v>740</v>
      </c>
      <c r="R30" s="9" t="s">
        <v>741</v>
      </c>
    </row>
    <row r="31" spans="1:18" ht="26" customHeight="1">
      <c r="A31" s="7" t="s">
        <v>541</v>
      </c>
      <c r="B31" s="8" t="s">
        <v>350</v>
      </c>
      <c r="C31" s="8" t="s">
        <v>544</v>
      </c>
      <c r="D31" s="8" t="s">
        <v>414</v>
      </c>
      <c r="E31" s="8" t="s">
        <v>64</v>
      </c>
      <c r="F31" s="8" t="s">
        <v>414</v>
      </c>
      <c r="G31" s="8" t="s">
        <v>414</v>
      </c>
      <c r="H31" s="8" t="s">
        <v>414</v>
      </c>
      <c r="I31" s="8" t="s">
        <v>414</v>
      </c>
      <c r="J31" s="8" t="s">
        <v>414</v>
      </c>
      <c r="K31" s="8" t="s">
        <v>414</v>
      </c>
      <c r="L31" s="8" t="s">
        <v>414</v>
      </c>
      <c r="M31" s="8">
        <v>2</v>
      </c>
      <c r="N31" s="8">
        <v>7</v>
      </c>
      <c r="O31" s="14">
        <v>0.22222222222222221</v>
      </c>
      <c r="P31" s="14">
        <v>0.22222222222222221</v>
      </c>
      <c r="Q31" s="8" t="s">
        <v>542</v>
      </c>
      <c r="R31" s="9" t="s">
        <v>543</v>
      </c>
    </row>
    <row r="32" spans="1:18" ht="26" customHeight="1">
      <c r="A32" s="7" t="s">
        <v>545</v>
      </c>
      <c r="B32" s="8" t="s">
        <v>339</v>
      </c>
      <c r="C32" s="8" t="s">
        <v>642</v>
      </c>
      <c r="D32" s="8" t="s">
        <v>742</v>
      </c>
      <c r="E32" s="8" t="s">
        <v>743</v>
      </c>
      <c r="F32" s="8" t="s">
        <v>414</v>
      </c>
      <c r="G32" s="8" t="s">
        <v>414</v>
      </c>
      <c r="H32" s="8" t="s">
        <v>414</v>
      </c>
      <c r="I32" s="8" t="s">
        <v>414</v>
      </c>
      <c r="J32" s="8" t="s">
        <v>414</v>
      </c>
      <c r="K32" s="8" t="s">
        <v>744</v>
      </c>
      <c r="L32" s="8" t="s">
        <v>546</v>
      </c>
      <c r="M32" s="8">
        <v>4</v>
      </c>
      <c r="N32" s="8">
        <v>5</v>
      </c>
      <c r="O32" s="14">
        <v>0.44444444444444442</v>
      </c>
      <c r="P32" s="14">
        <v>0.44444444444444442</v>
      </c>
      <c r="Q32" s="8" t="s">
        <v>547</v>
      </c>
      <c r="R32" s="9" t="s">
        <v>548</v>
      </c>
    </row>
    <row r="33" spans="1:18" ht="26" customHeight="1">
      <c r="A33" s="7" t="s">
        <v>550</v>
      </c>
      <c r="B33" s="8" t="s">
        <v>339</v>
      </c>
      <c r="C33" s="8" t="s">
        <v>708</v>
      </c>
      <c r="D33" s="8" t="s">
        <v>618</v>
      </c>
      <c r="E33" s="8" t="s">
        <v>414</v>
      </c>
      <c r="F33" s="8" t="s">
        <v>414</v>
      </c>
      <c r="G33" s="8" t="s">
        <v>414</v>
      </c>
      <c r="H33" s="8" t="s">
        <v>414</v>
      </c>
      <c r="I33" s="8" t="s">
        <v>414</v>
      </c>
      <c r="J33" s="8" t="s">
        <v>414</v>
      </c>
      <c r="K33" s="8" t="s">
        <v>414</v>
      </c>
      <c r="L33" s="8" t="s">
        <v>551</v>
      </c>
      <c r="M33" s="8">
        <v>2</v>
      </c>
      <c r="N33" s="8">
        <v>7</v>
      </c>
      <c r="O33" s="14">
        <v>0.22222222222222221</v>
      </c>
      <c r="P33" s="14">
        <v>0.22222222222222221</v>
      </c>
      <c r="Q33" s="8" t="s">
        <v>552</v>
      </c>
      <c r="R33" s="9" t="s">
        <v>553</v>
      </c>
    </row>
    <row r="34" spans="1:18" ht="26" customHeight="1">
      <c r="A34" s="10" t="s">
        <v>554</v>
      </c>
      <c r="B34" s="11" t="s">
        <v>350</v>
      </c>
      <c r="C34" s="11" t="s">
        <v>745</v>
      </c>
      <c r="D34" s="11" t="s">
        <v>745</v>
      </c>
      <c r="E34" s="11" t="s">
        <v>64</v>
      </c>
      <c r="F34" s="11" t="s">
        <v>414</v>
      </c>
      <c r="G34" s="11" t="s">
        <v>414</v>
      </c>
      <c r="H34" s="11" t="s">
        <v>414</v>
      </c>
      <c r="I34" s="11" t="s">
        <v>414</v>
      </c>
      <c r="J34" s="11" t="s">
        <v>414</v>
      </c>
      <c r="K34" s="11" t="s">
        <v>414</v>
      </c>
      <c r="L34" s="11" t="s">
        <v>556</v>
      </c>
      <c r="M34" s="11">
        <v>3</v>
      </c>
      <c r="N34" s="11">
        <v>6</v>
      </c>
      <c r="O34" s="15">
        <v>0.33333333333333331</v>
      </c>
      <c r="P34" s="15">
        <v>0.33333333333333331</v>
      </c>
      <c r="Q34" s="11" t="s">
        <v>557</v>
      </c>
      <c r="R34" s="12" t="s">
        <v>558</v>
      </c>
    </row>
    <row r="35" spans="1:18" ht="90" customHeight="1">
      <c r="A35" s="30" t="s">
        <v>399</v>
      </c>
      <c r="B35" s="30" t="s">
        <v>400</v>
      </c>
      <c r="C35" s="30" t="s">
        <v>746</v>
      </c>
      <c r="D35" s="30" t="s">
        <v>747</v>
      </c>
      <c r="E35" s="30" t="s">
        <v>697</v>
      </c>
      <c r="F35" s="30" t="s">
        <v>748</v>
      </c>
      <c r="G35" s="30" t="s">
        <v>414</v>
      </c>
      <c r="H35" s="30" t="s">
        <v>749</v>
      </c>
      <c r="I35" s="30" t="s">
        <v>414</v>
      </c>
      <c r="J35" s="30" t="s">
        <v>414</v>
      </c>
      <c r="K35" s="30" t="s">
        <v>750</v>
      </c>
      <c r="L35" s="30" t="s">
        <v>751</v>
      </c>
      <c r="M35" s="30">
        <v>5</v>
      </c>
      <c r="N35" s="30">
        <v>4</v>
      </c>
      <c r="O35" s="39">
        <v>0.55555555555555558</v>
      </c>
      <c r="P35" s="30" t="s">
        <v>405</v>
      </c>
      <c r="Q35" s="30" t="s">
        <v>752</v>
      </c>
      <c r="R35" s="30" t="s">
        <v>753</v>
      </c>
    </row>
    <row r="36" spans="1:18" ht="45" customHeight="1">
      <c r="A36" s="30" t="s">
        <v>388</v>
      </c>
      <c r="B36" s="30" t="s">
        <v>389</v>
      </c>
      <c r="C36" s="30" t="s">
        <v>754</v>
      </c>
      <c r="D36" s="30" t="s">
        <v>755</v>
      </c>
      <c r="E36" s="30" t="s">
        <v>414</v>
      </c>
      <c r="F36" s="30" t="s">
        <v>414</v>
      </c>
      <c r="G36" s="30" t="s">
        <v>414</v>
      </c>
      <c r="H36" s="30" t="s">
        <v>756</v>
      </c>
      <c r="I36" s="30" t="s">
        <v>414</v>
      </c>
      <c r="J36" s="30" t="s">
        <v>757</v>
      </c>
      <c r="K36" s="30" t="s">
        <v>758</v>
      </c>
      <c r="L36" s="30" t="s">
        <v>759</v>
      </c>
      <c r="M36" s="30">
        <v>4</v>
      </c>
      <c r="N36" s="30">
        <v>5</v>
      </c>
      <c r="O36" s="39">
        <v>0.44444444444444442</v>
      </c>
      <c r="P36" s="30" t="s">
        <v>760</v>
      </c>
      <c r="Q36" s="30" t="s">
        <v>761</v>
      </c>
      <c r="R36" s="30" t="s">
        <v>762</v>
      </c>
    </row>
  </sheetData>
  <mergeCells count="2">
    <mergeCell ref="A2:R2"/>
    <mergeCell ref="A1:R1"/>
  </mergeCells>
  <conditionalFormatting sqref="P5:P34">
    <cfRule type="dataBar" priority="1">
      <dataBar>
        <cfvo type="min"/>
        <cfvo type="max"/>
        <color rgb="FF2A9D8F"/>
      </dataBar>
    </cfRule>
    <cfRule type="dataBar" priority="2">
      <dataBar>
        <cfvo type="min"/>
        <cfvo type="max"/>
        <color rgb="FF2A9D8F"/>
      </dataBar>
    </cfRule>
    <cfRule type="dataBar" priority="3">
      <dataBar>
        <cfvo type="min"/>
        <cfvo type="max"/>
        <color rgb="FF2A9D8F"/>
      </dataBar>
    </cfRule>
    <cfRule type="dataBar" priority="4">
      <dataBar>
        <cfvo type="min"/>
        <cfvo type="max"/>
        <color rgb="FF2A9D8F"/>
      </dataBar>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85"/>
  <sheetViews>
    <sheetView showGridLines="0" workbookViewId="0"/>
  </sheetViews>
  <sheetFormatPr baseColWidth="10" defaultColWidth="8.83203125" defaultRowHeight="14"/>
  <cols>
    <col min="1" max="1" width="29" customWidth="1"/>
    <col min="2" max="2" width="24" customWidth="1"/>
    <col min="3" max="3" width="22" customWidth="1"/>
    <col min="4" max="4" width="13" customWidth="1"/>
    <col min="5" max="5" width="25" customWidth="1"/>
    <col min="6" max="7" width="55" customWidth="1"/>
    <col min="8" max="8" width="18" customWidth="1"/>
    <col min="9" max="9" width="32" customWidth="1"/>
    <col min="10" max="10" width="14" customWidth="1"/>
  </cols>
  <sheetData>
    <row r="1" spans="1:10" ht="32" customHeight="1">
      <c r="A1" s="91" t="s">
        <v>763</v>
      </c>
      <c r="B1" s="77"/>
      <c r="C1" s="77"/>
      <c r="D1" s="77"/>
      <c r="E1" s="77"/>
      <c r="F1" s="77"/>
      <c r="G1" s="77"/>
      <c r="H1" s="77"/>
      <c r="I1" s="77"/>
      <c r="J1" s="77"/>
    </row>
    <row r="2" spans="1:10" ht="30" customHeight="1">
      <c r="A2" s="92" t="s">
        <v>764</v>
      </c>
      <c r="B2" s="77"/>
      <c r="C2" s="77"/>
      <c r="D2" s="77"/>
      <c r="E2" s="77"/>
      <c r="F2" s="77"/>
      <c r="G2" s="77"/>
      <c r="H2" s="77"/>
      <c r="I2" s="77"/>
      <c r="J2" s="77"/>
    </row>
    <row r="3" spans="1:10">
      <c r="A3" s="40"/>
      <c r="B3" s="40"/>
      <c r="C3" s="40"/>
      <c r="D3" s="40"/>
      <c r="E3" s="40"/>
      <c r="F3" s="40"/>
      <c r="G3" s="40"/>
      <c r="H3" s="40"/>
      <c r="I3" s="40"/>
      <c r="J3" s="40"/>
    </row>
    <row r="4" spans="1:10" ht="28" customHeight="1">
      <c r="A4" s="41" t="s">
        <v>46</v>
      </c>
      <c r="B4" s="42" t="s">
        <v>765</v>
      </c>
      <c r="C4" s="42" t="s">
        <v>766</v>
      </c>
      <c r="D4" s="42" t="s">
        <v>767</v>
      </c>
      <c r="E4" s="42" t="s">
        <v>768</v>
      </c>
      <c r="F4" s="42" t="s">
        <v>769</v>
      </c>
      <c r="G4" s="42" t="s">
        <v>770</v>
      </c>
      <c r="H4" s="42" t="s">
        <v>771</v>
      </c>
      <c r="I4" s="42" t="s">
        <v>772</v>
      </c>
      <c r="J4" s="43" t="s">
        <v>773</v>
      </c>
    </row>
    <row r="5" spans="1:10">
      <c r="A5" s="4" t="s">
        <v>617</v>
      </c>
      <c r="B5" s="5" t="s">
        <v>774</v>
      </c>
      <c r="C5" s="5" t="s">
        <v>775</v>
      </c>
      <c r="D5" s="21"/>
      <c r="E5" s="5" t="s">
        <v>776</v>
      </c>
      <c r="F5" s="5" t="s">
        <v>777</v>
      </c>
      <c r="G5" s="5" t="s">
        <v>778</v>
      </c>
      <c r="H5" s="5" t="s">
        <v>74</v>
      </c>
      <c r="I5" s="5" t="s">
        <v>779</v>
      </c>
      <c r="J5" s="24" t="s">
        <v>780</v>
      </c>
    </row>
    <row r="6" spans="1:10">
      <c r="A6" s="7" t="s">
        <v>617</v>
      </c>
      <c r="B6" s="8" t="s">
        <v>781</v>
      </c>
      <c r="C6" s="8" t="s">
        <v>782</v>
      </c>
      <c r="D6" s="22">
        <v>46223</v>
      </c>
      <c r="E6" s="8" t="s">
        <v>783</v>
      </c>
      <c r="F6" s="8" t="s">
        <v>784</v>
      </c>
      <c r="G6" s="8" t="s">
        <v>785</v>
      </c>
      <c r="H6" s="8" t="s">
        <v>786</v>
      </c>
      <c r="I6" s="8" t="s">
        <v>787</v>
      </c>
      <c r="J6" s="25" t="s">
        <v>780</v>
      </c>
    </row>
    <row r="7" spans="1:10" ht="26" customHeight="1">
      <c r="A7" s="7" t="s">
        <v>327</v>
      </c>
      <c r="B7" s="8" t="s">
        <v>774</v>
      </c>
      <c r="C7" s="8" t="s">
        <v>775</v>
      </c>
      <c r="D7" s="22"/>
      <c r="E7" s="8" t="s">
        <v>776</v>
      </c>
      <c r="F7" s="8" t="s">
        <v>788</v>
      </c>
      <c r="G7" s="8" t="s">
        <v>778</v>
      </c>
      <c r="H7" s="8" t="s">
        <v>74</v>
      </c>
      <c r="I7" s="8" t="s">
        <v>779</v>
      </c>
      <c r="J7" s="25" t="s">
        <v>780</v>
      </c>
    </row>
    <row r="8" spans="1:10">
      <c r="A8" s="7" t="s">
        <v>327</v>
      </c>
      <c r="B8" s="8" t="s">
        <v>781</v>
      </c>
      <c r="C8" s="8" t="s">
        <v>782</v>
      </c>
      <c r="D8" s="22">
        <v>46223</v>
      </c>
      <c r="E8" s="8" t="s">
        <v>783</v>
      </c>
      <c r="F8" s="8" t="s">
        <v>789</v>
      </c>
      <c r="G8" s="8" t="s">
        <v>785</v>
      </c>
      <c r="H8" s="8" t="s">
        <v>786</v>
      </c>
      <c r="I8" s="8" t="s">
        <v>787</v>
      </c>
      <c r="J8" s="25" t="s">
        <v>780</v>
      </c>
    </row>
    <row r="9" spans="1:10" ht="26" customHeight="1">
      <c r="A9" s="7" t="s">
        <v>631</v>
      </c>
      <c r="B9" s="8" t="s">
        <v>774</v>
      </c>
      <c r="C9" s="8" t="s">
        <v>775</v>
      </c>
      <c r="D9" s="22"/>
      <c r="E9" s="8" t="s">
        <v>776</v>
      </c>
      <c r="F9" s="8" t="s">
        <v>790</v>
      </c>
      <c r="G9" s="8" t="s">
        <v>778</v>
      </c>
      <c r="H9" s="8" t="s">
        <v>74</v>
      </c>
      <c r="I9" s="8" t="s">
        <v>779</v>
      </c>
      <c r="J9" s="25" t="s">
        <v>780</v>
      </c>
    </row>
    <row r="10" spans="1:10">
      <c r="A10" s="7" t="s">
        <v>631</v>
      </c>
      <c r="B10" s="8" t="s">
        <v>781</v>
      </c>
      <c r="C10" s="8" t="s">
        <v>782</v>
      </c>
      <c r="D10" s="22">
        <v>46223</v>
      </c>
      <c r="E10" s="8" t="s">
        <v>783</v>
      </c>
      <c r="F10" s="8" t="s">
        <v>791</v>
      </c>
      <c r="G10" s="8" t="s">
        <v>785</v>
      </c>
      <c r="H10" s="8" t="s">
        <v>786</v>
      </c>
      <c r="I10" s="8" t="s">
        <v>787</v>
      </c>
      <c r="J10" s="25" t="s">
        <v>780</v>
      </c>
    </row>
    <row r="11" spans="1:10" ht="26" customHeight="1">
      <c r="A11" s="7" t="s">
        <v>349</v>
      </c>
      <c r="B11" s="8" t="s">
        <v>774</v>
      </c>
      <c r="C11" s="8" t="s">
        <v>775</v>
      </c>
      <c r="D11" s="22"/>
      <c r="E11" s="8" t="s">
        <v>776</v>
      </c>
      <c r="F11" s="8" t="s">
        <v>792</v>
      </c>
      <c r="G11" s="8" t="s">
        <v>778</v>
      </c>
      <c r="H11" s="8" t="s">
        <v>74</v>
      </c>
      <c r="I11" s="8" t="s">
        <v>779</v>
      </c>
      <c r="J11" s="25" t="s">
        <v>780</v>
      </c>
    </row>
    <row r="12" spans="1:10" ht="26" customHeight="1">
      <c r="A12" s="7" t="s">
        <v>349</v>
      </c>
      <c r="B12" s="8" t="s">
        <v>781</v>
      </c>
      <c r="C12" s="8" t="s">
        <v>782</v>
      </c>
      <c r="D12" s="22">
        <v>46223</v>
      </c>
      <c r="E12" s="8" t="s">
        <v>783</v>
      </c>
      <c r="F12" s="8" t="s">
        <v>793</v>
      </c>
      <c r="G12" s="8" t="s">
        <v>785</v>
      </c>
      <c r="H12" s="8" t="s">
        <v>786</v>
      </c>
      <c r="I12" s="8" t="s">
        <v>787</v>
      </c>
      <c r="J12" s="25" t="s">
        <v>780</v>
      </c>
    </row>
    <row r="13" spans="1:10">
      <c r="A13" s="7" t="s">
        <v>359</v>
      </c>
      <c r="B13" s="8" t="s">
        <v>774</v>
      </c>
      <c r="C13" s="8" t="s">
        <v>775</v>
      </c>
      <c r="D13" s="22"/>
      <c r="E13" s="8" t="s">
        <v>776</v>
      </c>
      <c r="F13" s="8" t="s">
        <v>794</v>
      </c>
      <c r="G13" s="8" t="s">
        <v>778</v>
      </c>
      <c r="H13" s="8" t="s">
        <v>74</v>
      </c>
      <c r="I13" s="8" t="s">
        <v>779</v>
      </c>
      <c r="J13" s="25" t="s">
        <v>780</v>
      </c>
    </row>
    <row r="14" spans="1:10" ht="26" customHeight="1">
      <c r="A14" s="7" t="s">
        <v>338</v>
      </c>
      <c r="B14" s="8" t="s">
        <v>774</v>
      </c>
      <c r="C14" s="8" t="s">
        <v>775</v>
      </c>
      <c r="D14" s="22"/>
      <c r="E14" s="8" t="s">
        <v>776</v>
      </c>
      <c r="F14" s="8" t="s">
        <v>795</v>
      </c>
      <c r="G14" s="8" t="s">
        <v>778</v>
      </c>
      <c r="H14" s="8" t="s">
        <v>74</v>
      </c>
      <c r="I14" s="8" t="s">
        <v>779</v>
      </c>
      <c r="J14" s="25" t="s">
        <v>780</v>
      </c>
    </row>
    <row r="15" spans="1:10" ht="26" customHeight="1">
      <c r="A15" s="7" t="s">
        <v>338</v>
      </c>
      <c r="B15" s="8" t="s">
        <v>781</v>
      </c>
      <c r="C15" s="8" t="s">
        <v>782</v>
      </c>
      <c r="D15" s="22">
        <v>46223</v>
      </c>
      <c r="E15" s="8" t="s">
        <v>783</v>
      </c>
      <c r="F15" s="8" t="s">
        <v>796</v>
      </c>
      <c r="G15" s="8" t="s">
        <v>785</v>
      </c>
      <c r="H15" s="8" t="s">
        <v>786</v>
      </c>
      <c r="I15" s="8" t="s">
        <v>787</v>
      </c>
      <c r="J15" s="25" t="s">
        <v>780</v>
      </c>
    </row>
    <row r="16" spans="1:10">
      <c r="A16" s="7" t="s">
        <v>379</v>
      </c>
      <c r="B16" s="8" t="s">
        <v>774</v>
      </c>
      <c r="C16" s="8" t="s">
        <v>775</v>
      </c>
      <c r="D16" s="22"/>
      <c r="E16" s="8" t="s">
        <v>776</v>
      </c>
      <c r="F16" s="8" t="s">
        <v>797</v>
      </c>
      <c r="G16" s="8" t="s">
        <v>778</v>
      </c>
      <c r="H16" s="8" t="s">
        <v>74</v>
      </c>
      <c r="I16" s="8" t="s">
        <v>779</v>
      </c>
      <c r="J16" s="25" t="s">
        <v>780</v>
      </c>
    </row>
    <row r="17" spans="1:10" ht="26" customHeight="1">
      <c r="A17" s="7" t="s">
        <v>370</v>
      </c>
      <c r="B17" s="8" t="s">
        <v>774</v>
      </c>
      <c r="C17" s="8" t="s">
        <v>775</v>
      </c>
      <c r="D17" s="22"/>
      <c r="E17" s="8" t="s">
        <v>776</v>
      </c>
      <c r="F17" s="8" t="s">
        <v>798</v>
      </c>
      <c r="G17" s="8" t="s">
        <v>778</v>
      </c>
      <c r="H17" s="8" t="s">
        <v>74</v>
      </c>
      <c r="I17" s="8" t="s">
        <v>779</v>
      </c>
      <c r="J17" s="25" t="s">
        <v>780</v>
      </c>
    </row>
    <row r="18" spans="1:10" ht="26" customHeight="1">
      <c r="A18" s="7" t="s">
        <v>419</v>
      </c>
      <c r="B18" s="8" t="s">
        <v>774</v>
      </c>
      <c r="C18" s="8" t="s">
        <v>775</v>
      </c>
      <c r="D18" s="22"/>
      <c r="E18" s="8" t="s">
        <v>776</v>
      </c>
      <c r="F18" s="8" t="s">
        <v>799</v>
      </c>
      <c r="G18" s="8" t="s">
        <v>778</v>
      </c>
      <c r="H18" s="8" t="s">
        <v>74</v>
      </c>
      <c r="I18" s="8" t="s">
        <v>779</v>
      </c>
      <c r="J18" s="25" t="s">
        <v>780</v>
      </c>
    </row>
    <row r="19" spans="1:10">
      <c r="A19" s="7" t="s">
        <v>419</v>
      </c>
      <c r="B19" s="8" t="s">
        <v>781</v>
      </c>
      <c r="C19" s="8" t="s">
        <v>782</v>
      </c>
      <c r="D19" s="22">
        <v>46223</v>
      </c>
      <c r="E19" s="8" t="s">
        <v>783</v>
      </c>
      <c r="F19" s="8" t="s">
        <v>800</v>
      </c>
      <c r="G19" s="8" t="s">
        <v>785</v>
      </c>
      <c r="H19" s="8" t="s">
        <v>786</v>
      </c>
      <c r="I19" s="8" t="s">
        <v>787</v>
      </c>
      <c r="J19" s="25" t="s">
        <v>780</v>
      </c>
    </row>
    <row r="20" spans="1:10" ht="26" customHeight="1">
      <c r="A20" s="7" t="s">
        <v>411</v>
      </c>
      <c r="B20" s="8" t="s">
        <v>774</v>
      </c>
      <c r="C20" s="8" t="s">
        <v>775</v>
      </c>
      <c r="D20" s="22"/>
      <c r="E20" s="8" t="s">
        <v>776</v>
      </c>
      <c r="F20" s="8" t="s">
        <v>801</v>
      </c>
      <c r="G20" s="8" t="s">
        <v>778</v>
      </c>
      <c r="H20" s="8" t="s">
        <v>74</v>
      </c>
      <c r="I20" s="8" t="s">
        <v>779</v>
      </c>
      <c r="J20" s="25" t="s">
        <v>780</v>
      </c>
    </row>
    <row r="21" spans="1:10" ht="39" customHeight="1">
      <c r="A21" s="7" t="s">
        <v>437</v>
      </c>
      <c r="B21" s="8" t="s">
        <v>774</v>
      </c>
      <c r="C21" s="8" t="s">
        <v>775</v>
      </c>
      <c r="D21" s="22"/>
      <c r="E21" s="8" t="s">
        <v>776</v>
      </c>
      <c r="F21" s="8" t="s">
        <v>802</v>
      </c>
      <c r="G21" s="8" t="s">
        <v>778</v>
      </c>
      <c r="H21" s="8" t="s">
        <v>74</v>
      </c>
      <c r="I21" s="8" t="s">
        <v>779</v>
      </c>
      <c r="J21" s="25" t="s">
        <v>780</v>
      </c>
    </row>
    <row r="22" spans="1:10" ht="26" customHeight="1">
      <c r="A22" s="7" t="s">
        <v>445</v>
      </c>
      <c r="B22" s="8" t="s">
        <v>774</v>
      </c>
      <c r="C22" s="8" t="s">
        <v>775</v>
      </c>
      <c r="D22" s="22"/>
      <c r="E22" s="8" t="s">
        <v>776</v>
      </c>
      <c r="F22" s="8" t="s">
        <v>803</v>
      </c>
      <c r="G22" s="8" t="s">
        <v>778</v>
      </c>
      <c r="H22" s="8" t="s">
        <v>74</v>
      </c>
      <c r="I22" s="8" t="s">
        <v>779</v>
      </c>
      <c r="J22" s="25" t="s">
        <v>780</v>
      </c>
    </row>
    <row r="23" spans="1:10" ht="26" customHeight="1">
      <c r="A23" s="7" t="s">
        <v>451</v>
      </c>
      <c r="B23" s="8" t="s">
        <v>774</v>
      </c>
      <c r="C23" s="8" t="s">
        <v>775</v>
      </c>
      <c r="D23" s="22"/>
      <c r="E23" s="8" t="s">
        <v>776</v>
      </c>
      <c r="F23" s="8" t="s">
        <v>804</v>
      </c>
      <c r="G23" s="8" t="s">
        <v>778</v>
      </c>
      <c r="H23" s="8" t="s">
        <v>74</v>
      </c>
      <c r="I23" s="8" t="s">
        <v>779</v>
      </c>
      <c r="J23" s="25" t="s">
        <v>780</v>
      </c>
    </row>
    <row r="24" spans="1:10">
      <c r="A24" s="7" t="s">
        <v>457</v>
      </c>
      <c r="B24" s="8" t="s">
        <v>774</v>
      </c>
      <c r="C24" s="8" t="s">
        <v>775</v>
      </c>
      <c r="D24" s="22"/>
      <c r="E24" s="8" t="s">
        <v>776</v>
      </c>
      <c r="F24" s="8" t="s">
        <v>805</v>
      </c>
      <c r="G24" s="8" t="s">
        <v>778</v>
      </c>
      <c r="H24" s="8" t="s">
        <v>74</v>
      </c>
      <c r="I24" s="8" t="s">
        <v>779</v>
      </c>
      <c r="J24" s="25" t="s">
        <v>780</v>
      </c>
    </row>
    <row r="25" spans="1:10">
      <c r="A25" s="7" t="s">
        <v>466</v>
      </c>
      <c r="B25" s="8" t="s">
        <v>774</v>
      </c>
      <c r="C25" s="8" t="s">
        <v>775</v>
      </c>
      <c r="D25" s="22"/>
      <c r="E25" s="8" t="s">
        <v>776</v>
      </c>
      <c r="F25" s="8" t="s">
        <v>805</v>
      </c>
      <c r="G25" s="8" t="s">
        <v>778</v>
      </c>
      <c r="H25" s="8" t="s">
        <v>74</v>
      </c>
      <c r="I25" s="8" t="s">
        <v>779</v>
      </c>
      <c r="J25" s="25" t="s">
        <v>780</v>
      </c>
    </row>
    <row r="26" spans="1:10" ht="26" customHeight="1">
      <c r="A26" s="7" t="s">
        <v>472</v>
      </c>
      <c r="B26" s="8" t="s">
        <v>774</v>
      </c>
      <c r="C26" s="8" t="s">
        <v>775</v>
      </c>
      <c r="D26" s="22"/>
      <c r="E26" s="8" t="s">
        <v>776</v>
      </c>
      <c r="F26" s="8" t="s">
        <v>806</v>
      </c>
      <c r="G26" s="8" t="s">
        <v>778</v>
      </c>
      <c r="H26" s="8" t="s">
        <v>74</v>
      </c>
      <c r="I26" s="8" t="s">
        <v>779</v>
      </c>
      <c r="J26" s="25" t="s">
        <v>780</v>
      </c>
    </row>
    <row r="27" spans="1:10" ht="26" customHeight="1">
      <c r="A27" s="7" t="s">
        <v>481</v>
      </c>
      <c r="B27" s="8" t="s">
        <v>774</v>
      </c>
      <c r="C27" s="8" t="s">
        <v>775</v>
      </c>
      <c r="D27" s="22"/>
      <c r="E27" s="8" t="s">
        <v>776</v>
      </c>
      <c r="F27" s="8" t="s">
        <v>807</v>
      </c>
      <c r="G27" s="8" t="s">
        <v>778</v>
      </c>
      <c r="H27" s="8" t="s">
        <v>74</v>
      </c>
      <c r="I27" s="8" t="s">
        <v>779</v>
      </c>
      <c r="J27" s="25" t="s">
        <v>780</v>
      </c>
    </row>
    <row r="28" spans="1:10">
      <c r="A28" s="7" t="s">
        <v>487</v>
      </c>
      <c r="B28" s="8" t="s">
        <v>774</v>
      </c>
      <c r="C28" s="8" t="s">
        <v>775</v>
      </c>
      <c r="D28" s="22"/>
      <c r="E28" s="8" t="s">
        <v>776</v>
      </c>
      <c r="F28" s="8" t="s">
        <v>808</v>
      </c>
      <c r="G28" s="8" t="s">
        <v>778</v>
      </c>
      <c r="H28" s="8" t="s">
        <v>74</v>
      </c>
      <c r="I28" s="8" t="s">
        <v>779</v>
      </c>
      <c r="J28" s="25" t="s">
        <v>780</v>
      </c>
    </row>
    <row r="29" spans="1:10">
      <c r="A29" s="7" t="s">
        <v>487</v>
      </c>
      <c r="B29" s="8" t="s">
        <v>781</v>
      </c>
      <c r="C29" s="8" t="s">
        <v>782</v>
      </c>
      <c r="D29" s="22">
        <v>46223</v>
      </c>
      <c r="E29" s="8" t="s">
        <v>783</v>
      </c>
      <c r="F29" s="8" t="s">
        <v>494</v>
      </c>
      <c r="G29" s="8" t="s">
        <v>785</v>
      </c>
      <c r="H29" s="8" t="s">
        <v>786</v>
      </c>
      <c r="I29" s="8" t="s">
        <v>787</v>
      </c>
      <c r="J29" s="25" t="s">
        <v>780</v>
      </c>
    </row>
    <row r="30" spans="1:10">
      <c r="A30" s="7" t="s">
        <v>495</v>
      </c>
      <c r="B30" s="8" t="s">
        <v>774</v>
      </c>
      <c r="C30" s="8" t="s">
        <v>775</v>
      </c>
      <c r="D30" s="22"/>
      <c r="E30" s="8" t="s">
        <v>776</v>
      </c>
      <c r="F30" s="8" t="s">
        <v>809</v>
      </c>
      <c r="G30" s="8" t="s">
        <v>778</v>
      </c>
      <c r="H30" s="8" t="s">
        <v>74</v>
      </c>
      <c r="I30" s="8" t="s">
        <v>779</v>
      </c>
      <c r="J30" s="25" t="s">
        <v>780</v>
      </c>
    </row>
    <row r="31" spans="1:10" ht="26" customHeight="1">
      <c r="A31" s="7" t="s">
        <v>501</v>
      </c>
      <c r="B31" s="8" t="s">
        <v>774</v>
      </c>
      <c r="C31" s="8" t="s">
        <v>775</v>
      </c>
      <c r="D31" s="22"/>
      <c r="E31" s="8" t="s">
        <v>776</v>
      </c>
      <c r="F31" s="8" t="s">
        <v>810</v>
      </c>
      <c r="G31" s="8" t="s">
        <v>778</v>
      </c>
      <c r="H31" s="8" t="s">
        <v>74</v>
      </c>
      <c r="I31" s="8" t="s">
        <v>779</v>
      </c>
      <c r="J31" s="25" t="s">
        <v>780</v>
      </c>
    </row>
    <row r="32" spans="1:10" ht="26" customHeight="1">
      <c r="A32" s="7" t="s">
        <v>428</v>
      </c>
      <c r="B32" s="8" t="s">
        <v>774</v>
      </c>
      <c r="C32" s="8" t="s">
        <v>775</v>
      </c>
      <c r="D32" s="22"/>
      <c r="E32" s="8" t="s">
        <v>776</v>
      </c>
      <c r="F32" s="8" t="s">
        <v>811</v>
      </c>
      <c r="G32" s="8" t="s">
        <v>778</v>
      </c>
      <c r="H32" s="8" t="s">
        <v>74</v>
      </c>
      <c r="I32" s="8" t="s">
        <v>779</v>
      </c>
      <c r="J32" s="25" t="s">
        <v>780</v>
      </c>
    </row>
    <row r="33" spans="1:10">
      <c r="A33" s="7" t="s">
        <v>509</v>
      </c>
      <c r="B33" s="8" t="s">
        <v>774</v>
      </c>
      <c r="C33" s="8" t="s">
        <v>775</v>
      </c>
      <c r="D33" s="22"/>
      <c r="E33" s="8" t="s">
        <v>776</v>
      </c>
      <c r="F33" s="8" t="s">
        <v>812</v>
      </c>
      <c r="G33" s="8" t="s">
        <v>778</v>
      </c>
      <c r="H33" s="8" t="s">
        <v>74</v>
      </c>
      <c r="I33" s="8" t="s">
        <v>779</v>
      </c>
      <c r="J33" s="25" t="s">
        <v>780</v>
      </c>
    </row>
    <row r="34" spans="1:10" ht="26" customHeight="1">
      <c r="A34" s="7" t="s">
        <v>515</v>
      </c>
      <c r="B34" s="8" t="s">
        <v>774</v>
      </c>
      <c r="C34" s="8" t="s">
        <v>775</v>
      </c>
      <c r="D34" s="22"/>
      <c r="E34" s="8" t="s">
        <v>776</v>
      </c>
      <c r="F34" s="8" t="s">
        <v>813</v>
      </c>
      <c r="G34" s="8" t="s">
        <v>778</v>
      </c>
      <c r="H34" s="8" t="s">
        <v>74</v>
      </c>
      <c r="I34" s="8" t="s">
        <v>779</v>
      </c>
      <c r="J34" s="25" t="s">
        <v>780</v>
      </c>
    </row>
    <row r="35" spans="1:10">
      <c r="A35" s="7" t="s">
        <v>520</v>
      </c>
      <c r="B35" s="8" t="s">
        <v>774</v>
      </c>
      <c r="C35" s="8" t="s">
        <v>775</v>
      </c>
      <c r="D35" s="22"/>
      <c r="E35" s="8" t="s">
        <v>776</v>
      </c>
      <c r="F35" s="8" t="s">
        <v>814</v>
      </c>
      <c r="G35" s="8" t="s">
        <v>778</v>
      </c>
      <c r="H35" s="8" t="s">
        <v>74</v>
      </c>
      <c r="I35" s="8" t="s">
        <v>779</v>
      </c>
      <c r="J35" s="25" t="s">
        <v>780</v>
      </c>
    </row>
    <row r="36" spans="1:10" ht="26" customHeight="1">
      <c r="A36" s="7" t="s">
        <v>526</v>
      </c>
      <c r="B36" s="8" t="s">
        <v>774</v>
      </c>
      <c r="C36" s="8" t="s">
        <v>775</v>
      </c>
      <c r="D36" s="22"/>
      <c r="E36" s="8" t="s">
        <v>776</v>
      </c>
      <c r="F36" s="8" t="s">
        <v>815</v>
      </c>
      <c r="G36" s="8" t="s">
        <v>778</v>
      </c>
      <c r="H36" s="8" t="s">
        <v>74</v>
      </c>
      <c r="I36" s="8" t="s">
        <v>779</v>
      </c>
      <c r="J36" s="25" t="s">
        <v>780</v>
      </c>
    </row>
    <row r="37" spans="1:10" ht="26" customHeight="1">
      <c r="A37" s="7" t="s">
        <v>532</v>
      </c>
      <c r="B37" s="8" t="s">
        <v>774</v>
      </c>
      <c r="C37" s="8" t="s">
        <v>775</v>
      </c>
      <c r="D37" s="22"/>
      <c r="E37" s="8" t="s">
        <v>776</v>
      </c>
      <c r="F37" s="8" t="s">
        <v>816</v>
      </c>
      <c r="G37" s="8" t="s">
        <v>778</v>
      </c>
      <c r="H37" s="8" t="s">
        <v>74</v>
      </c>
      <c r="I37" s="8" t="s">
        <v>779</v>
      </c>
      <c r="J37" s="25" t="s">
        <v>780</v>
      </c>
    </row>
    <row r="38" spans="1:10">
      <c r="A38" s="7" t="s">
        <v>541</v>
      </c>
      <c r="B38" s="8" t="s">
        <v>774</v>
      </c>
      <c r="C38" s="8" t="s">
        <v>775</v>
      </c>
      <c r="D38" s="22"/>
      <c r="E38" s="8" t="s">
        <v>776</v>
      </c>
      <c r="F38" s="8" t="s">
        <v>817</v>
      </c>
      <c r="G38" s="8" t="s">
        <v>778</v>
      </c>
      <c r="H38" s="8" t="s">
        <v>74</v>
      </c>
      <c r="I38" s="8" t="s">
        <v>779</v>
      </c>
      <c r="J38" s="25" t="s">
        <v>780</v>
      </c>
    </row>
    <row r="39" spans="1:10" ht="26" customHeight="1">
      <c r="A39" s="7" t="s">
        <v>545</v>
      </c>
      <c r="B39" s="8" t="s">
        <v>774</v>
      </c>
      <c r="C39" s="8" t="s">
        <v>775</v>
      </c>
      <c r="D39" s="22"/>
      <c r="E39" s="8" t="s">
        <v>776</v>
      </c>
      <c r="F39" s="8" t="s">
        <v>818</v>
      </c>
      <c r="G39" s="8" t="s">
        <v>778</v>
      </c>
      <c r="H39" s="8" t="s">
        <v>74</v>
      </c>
      <c r="I39" s="8" t="s">
        <v>779</v>
      </c>
      <c r="J39" s="25" t="s">
        <v>780</v>
      </c>
    </row>
    <row r="40" spans="1:10" ht="26" customHeight="1">
      <c r="A40" s="7" t="s">
        <v>550</v>
      </c>
      <c r="B40" s="8" t="s">
        <v>774</v>
      </c>
      <c r="C40" s="8" t="s">
        <v>775</v>
      </c>
      <c r="D40" s="22"/>
      <c r="E40" s="8" t="s">
        <v>776</v>
      </c>
      <c r="F40" s="8" t="s">
        <v>819</v>
      </c>
      <c r="G40" s="8" t="s">
        <v>778</v>
      </c>
      <c r="H40" s="8" t="s">
        <v>74</v>
      </c>
      <c r="I40" s="8" t="s">
        <v>779</v>
      </c>
      <c r="J40" s="25" t="s">
        <v>780</v>
      </c>
    </row>
    <row r="41" spans="1:10" ht="26" customHeight="1">
      <c r="A41" s="7" t="s">
        <v>554</v>
      </c>
      <c r="B41" s="8" t="s">
        <v>774</v>
      </c>
      <c r="C41" s="8" t="s">
        <v>775</v>
      </c>
      <c r="D41" s="22"/>
      <c r="E41" s="8" t="s">
        <v>776</v>
      </c>
      <c r="F41" s="8" t="s">
        <v>820</v>
      </c>
      <c r="G41" s="8" t="s">
        <v>778</v>
      </c>
      <c r="H41" s="8" t="s">
        <v>74</v>
      </c>
      <c r="I41" s="8" t="s">
        <v>779</v>
      </c>
      <c r="J41" s="25" t="s">
        <v>780</v>
      </c>
    </row>
    <row r="42" spans="1:10" ht="26" customHeight="1">
      <c r="A42" s="7" t="s">
        <v>349</v>
      </c>
      <c r="B42" s="8" t="s">
        <v>603</v>
      </c>
      <c r="C42" s="8" t="s">
        <v>821</v>
      </c>
      <c r="D42" s="22">
        <v>45351</v>
      </c>
      <c r="E42" s="8" t="s">
        <v>822</v>
      </c>
      <c r="F42" s="8" t="s">
        <v>823</v>
      </c>
      <c r="G42" s="8" t="s">
        <v>824</v>
      </c>
      <c r="H42" s="8" t="s">
        <v>141</v>
      </c>
      <c r="I42" s="8" t="s">
        <v>825</v>
      </c>
      <c r="J42" s="25" t="s">
        <v>780</v>
      </c>
    </row>
    <row r="43" spans="1:10" ht="26" customHeight="1">
      <c r="A43" s="7" t="s">
        <v>349</v>
      </c>
      <c r="B43" s="8" t="s">
        <v>603</v>
      </c>
      <c r="C43" s="8" t="s">
        <v>826</v>
      </c>
      <c r="D43" s="22">
        <v>45931</v>
      </c>
      <c r="E43" s="8" t="s">
        <v>827</v>
      </c>
      <c r="F43" s="8" t="s">
        <v>828</v>
      </c>
      <c r="G43" s="8" t="s">
        <v>829</v>
      </c>
      <c r="H43" s="8" t="s">
        <v>74</v>
      </c>
      <c r="I43" s="8" t="s">
        <v>830</v>
      </c>
      <c r="J43" s="25" t="s">
        <v>780</v>
      </c>
    </row>
    <row r="44" spans="1:10" ht="26" customHeight="1">
      <c r="A44" s="7" t="s">
        <v>428</v>
      </c>
      <c r="B44" s="8" t="s">
        <v>831</v>
      </c>
      <c r="C44" s="8" t="s">
        <v>821</v>
      </c>
      <c r="D44" s="22">
        <v>46034</v>
      </c>
      <c r="E44" s="8" t="s">
        <v>832</v>
      </c>
      <c r="F44" s="8" t="s">
        <v>833</v>
      </c>
      <c r="G44" s="8" t="s">
        <v>834</v>
      </c>
      <c r="H44" s="8" t="s">
        <v>141</v>
      </c>
      <c r="I44" s="8" t="s">
        <v>430</v>
      </c>
      <c r="J44" s="25" t="s">
        <v>780</v>
      </c>
    </row>
    <row r="45" spans="1:10" ht="26" customHeight="1">
      <c r="A45" s="7" t="s">
        <v>338</v>
      </c>
      <c r="B45" s="8" t="s">
        <v>603</v>
      </c>
      <c r="C45" s="8" t="s">
        <v>835</v>
      </c>
      <c r="D45" s="22">
        <v>42005</v>
      </c>
      <c r="E45" s="8" t="s">
        <v>836</v>
      </c>
      <c r="F45" s="8" t="s">
        <v>837</v>
      </c>
      <c r="G45" s="8" t="s">
        <v>838</v>
      </c>
      <c r="H45" s="8" t="s">
        <v>74</v>
      </c>
      <c r="I45" s="8" t="s">
        <v>839</v>
      </c>
      <c r="J45" s="25" t="s">
        <v>780</v>
      </c>
    </row>
    <row r="46" spans="1:10" ht="26" customHeight="1">
      <c r="A46" s="7" t="s">
        <v>338</v>
      </c>
      <c r="B46" s="8" t="s">
        <v>840</v>
      </c>
      <c r="C46" s="8" t="s">
        <v>841</v>
      </c>
      <c r="D46" s="22">
        <v>45701</v>
      </c>
      <c r="E46" s="8" t="s">
        <v>842</v>
      </c>
      <c r="F46" s="8" t="s">
        <v>843</v>
      </c>
      <c r="G46" s="8" t="s">
        <v>844</v>
      </c>
      <c r="H46" s="8" t="s">
        <v>141</v>
      </c>
      <c r="I46" s="8" t="s">
        <v>845</v>
      </c>
      <c r="J46" s="25" t="s">
        <v>780</v>
      </c>
    </row>
    <row r="47" spans="1:10" ht="26" customHeight="1">
      <c r="A47" s="7" t="s">
        <v>338</v>
      </c>
      <c r="B47" s="8" t="s">
        <v>846</v>
      </c>
      <c r="C47" s="8" t="s">
        <v>847</v>
      </c>
      <c r="D47" s="22"/>
      <c r="E47" s="8" t="s">
        <v>848</v>
      </c>
      <c r="F47" s="8" t="s">
        <v>849</v>
      </c>
      <c r="G47" s="8" t="s">
        <v>850</v>
      </c>
      <c r="H47" s="8" t="s">
        <v>141</v>
      </c>
      <c r="I47" s="8" t="s">
        <v>851</v>
      </c>
      <c r="J47" s="25" t="s">
        <v>780</v>
      </c>
    </row>
    <row r="48" spans="1:10" ht="26" customHeight="1">
      <c r="A48" s="7" t="s">
        <v>631</v>
      </c>
      <c r="B48" s="8" t="s">
        <v>852</v>
      </c>
      <c r="C48" s="8" t="s">
        <v>821</v>
      </c>
      <c r="D48" s="22">
        <v>45419</v>
      </c>
      <c r="E48" s="8" t="s">
        <v>853</v>
      </c>
      <c r="F48" s="8" t="s">
        <v>854</v>
      </c>
      <c r="G48" s="8" t="s">
        <v>855</v>
      </c>
      <c r="H48" s="8" t="s">
        <v>141</v>
      </c>
      <c r="I48" s="8" t="s">
        <v>459</v>
      </c>
      <c r="J48" s="25" t="s">
        <v>780</v>
      </c>
    </row>
    <row r="49" spans="1:10">
      <c r="A49" s="7" t="s">
        <v>631</v>
      </c>
      <c r="B49" s="8" t="s">
        <v>606</v>
      </c>
      <c r="C49" s="8" t="s">
        <v>841</v>
      </c>
      <c r="D49" s="22"/>
      <c r="E49" s="8" t="s">
        <v>856</v>
      </c>
      <c r="F49" s="8" t="s">
        <v>857</v>
      </c>
      <c r="G49" s="8" t="s">
        <v>858</v>
      </c>
      <c r="H49" s="8" t="s">
        <v>141</v>
      </c>
      <c r="I49" s="8" t="s">
        <v>459</v>
      </c>
      <c r="J49" s="25" t="s">
        <v>780</v>
      </c>
    </row>
    <row r="50" spans="1:10" ht="26" customHeight="1">
      <c r="A50" s="7" t="s">
        <v>457</v>
      </c>
      <c r="B50" s="8" t="s">
        <v>603</v>
      </c>
      <c r="C50" s="8" t="s">
        <v>821</v>
      </c>
      <c r="D50" s="22">
        <v>44245</v>
      </c>
      <c r="E50" s="8" t="s">
        <v>859</v>
      </c>
      <c r="F50" s="8" t="s">
        <v>860</v>
      </c>
      <c r="G50" s="8" t="s">
        <v>861</v>
      </c>
      <c r="H50" s="8" t="s">
        <v>141</v>
      </c>
      <c r="I50" s="8" t="s">
        <v>459</v>
      </c>
      <c r="J50" s="25" t="s">
        <v>780</v>
      </c>
    </row>
    <row r="51" spans="1:10" ht="26" customHeight="1">
      <c r="A51" s="7" t="s">
        <v>532</v>
      </c>
      <c r="B51" s="8" t="s">
        <v>862</v>
      </c>
      <c r="C51" s="8" t="s">
        <v>863</v>
      </c>
      <c r="D51" s="22">
        <v>42736</v>
      </c>
      <c r="E51" s="8" t="s">
        <v>848</v>
      </c>
      <c r="F51" s="8" t="s">
        <v>864</v>
      </c>
      <c r="G51" s="8" t="s">
        <v>865</v>
      </c>
      <c r="H51" s="8" t="s">
        <v>141</v>
      </c>
      <c r="I51" s="8" t="s">
        <v>851</v>
      </c>
      <c r="J51" s="25" t="s">
        <v>780</v>
      </c>
    </row>
    <row r="52" spans="1:10" ht="26" customHeight="1">
      <c r="A52" s="7" t="s">
        <v>419</v>
      </c>
      <c r="B52" s="8" t="s">
        <v>603</v>
      </c>
      <c r="C52" s="8" t="s">
        <v>866</v>
      </c>
      <c r="D52" s="22">
        <v>45436</v>
      </c>
      <c r="E52" s="8" t="s">
        <v>867</v>
      </c>
      <c r="F52" s="8" t="s">
        <v>868</v>
      </c>
      <c r="G52" s="8" t="s">
        <v>869</v>
      </c>
      <c r="H52" s="8" t="s">
        <v>141</v>
      </c>
      <c r="I52" s="8" t="s">
        <v>459</v>
      </c>
      <c r="J52" s="25" t="s">
        <v>780</v>
      </c>
    </row>
    <row r="53" spans="1:10">
      <c r="A53" s="7" t="s">
        <v>509</v>
      </c>
      <c r="B53" s="8" t="s">
        <v>870</v>
      </c>
      <c r="C53" s="8" t="s">
        <v>866</v>
      </c>
      <c r="D53" s="22"/>
      <c r="E53" s="8" t="s">
        <v>871</v>
      </c>
      <c r="F53" s="8" t="s">
        <v>872</v>
      </c>
      <c r="G53" s="8" t="s">
        <v>873</v>
      </c>
      <c r="H53" s="8" t="s">
        <v>74</v>
      </c>
      <c r="I53" s="8" t="s">
        <v>874</v>
      </c>
      <c r="J53" s="25" t="s">
        <v>780</v>
      </c>
    </row>
    <row r="54" spans="1:10" ht="26" customHeight="1">
      <c r="A54" s="7" t="s">
        <v>437</v>
      </c>
      <c r="B54" s="8" t="s">
        <v>870</v>
      </c>
      <c r="C54" s="8" t="s">
        <v>866</v>
      </c>
      <c r="D54" s="22"/>
      <c r="E54" s="8" t="s">
        <v>871</v>
      </c>
      <c r="F54" s="8" t="s">
        <v>875</v>
      </c>
      <c r="G54" s="8" t="s">
        <v>873</v>
      </c>
      <c r="H54" s="8" t="s">
        <v>74</v>
      </c>
      <c r="I54" s="8" t="s">
        <v>874</v>
      </c>
      <c r="J54" s="25" t="s">
        <v>780</v>
      </c>
    </row>
    <row r="55" spans="1:10">
      <c r="A55" s="7" t="s">
        <v>419</v>
      </c>
      <c r="B55" s="8" t="s">
        <v>870</v>
      </c>
      <c r="C55" s="8" t="s">
        <v>866</v>
      </c>
      <c r="D55" s="22"/>
      <c r="E55" s="8" t="s">
        <v>871</v>
      </c>
      <c r="F55" s="8" t="s">
        <v>876</v>
      </c>
      <c r="G55" s="8" t="s">
        <v>873</v>
      </c>
      <c r="H55" s="8" t="s">
        <v>74</v>
      </c>
      <c r="I55" s="8" t="s">
        <v>874</v>
      </c>
      <c r="J55" s="25" t="s">
        <v>780</v>
      </c>
    </row>
    <row r="56" spans="1:10" ht="26" customHeight="1">
      <c r="A56" s="7" t="s">
        <v>359</v>
      </c>
      <c r="B56" s="8" t="s">
        <v>603</v>
      </c>
      <c r="C56" s="8" t="s">
        <v>877</v>
      </c>
      <c r="D56" s="22">
        <v>46149</v>
      </c>
      <c r="E56" s="8" t="s">
        <v>878</v>
      </c>
      <c r="F56" s="8" t="s">
        <v>879</v>
      </c>
      <c r="G56" s="8" t="s">
        <v>880</v>
      </c>
      <c r="H56" s="8" t="s">
        <v>74</v>
      </c>
      <c r="I56" s="8" t="s">
        <v>881</v>
      </c>
      <c r="J56" s="25" t="s">
        <v>780</v>
      </c>
    </row>
    <row r="57" spans="1:10" ht="26" customHeight="1">
      <c r="A57" s="10" t="s">
        <v>882</v>
      </c>
      <c r="B57" s="11" t="s">
        <v>883</v>
      </c>
      <c r="C57" s="11" t="s">
        <v>884</v>
      </c>
      <c r="D57" s="23">
        <v>45793</v>
      </c>
      <c r="E57" s="11" t="s">
        <v>885</v>
      </c>
      <c r="F57" s="11" t="s">
        <v>886</v>
      </c>
      <c r="G57" s="11" t="s">
        <v>887</v>
      </c>
      <c r="H57" s="11" t="s">
        <v>141</v>
      </c>
      <c r="I57" s="11" t="s">
        <v>888</v>
      </c>
      <c r="J57" s="26" t="s">
        <v>780</v>
      </c>
    </row>
    <row r="58" spans="1:10" ht="42" customHeight="1">
      <c r="A58" s="40" t="s">
        <v>882</v>
      </c>
      <c r="B58" s="40" t="s">
        <v>889</v>
      </c>
      <c r="C58" s="40" t="s">
        <v>890</v>
      </c>
      <c r="D58" s="44">
        <v>46237</v>
      </c>
      <c r="E58" s="40" t="s">
        <v>891</v>
      </c>
      <c r="F58" s="40" t="s">
        <v>892</v>
      </c>
      <c r="G58" s="40" t="s">
        <v>893</v>
      </c>
      <c r="H58" s="40" t="s">
        <v>141</v>
      </c>
      <c r="I58" s="40" t="s">
        <v>894</v>
      </c>
      <c r="J58" s="44">
        <v>46248</v>
      </c>
    </row>
    <row r="59" spans="1:10" ht="42" customHeight="1">
      <c r="A59" s="40" t="s">
        <v>359</v>
      </c>
      <c r="B59" s="40" t="s">
        <v>895</v>
      </c>
      <c r="C59" s="40" t="s">
        <v>896</v>
      </c>
      <c r="D59" s="44">
        <v>46237</v>
      </c>
      <c r="E59" s="40" t="s">
        <v>891</v>
      </c>
      <c r="F59" s="40" t="s">
        <v>897</v>
      </c>
      <c r="G59" s="40" t="s">
        <v>893</v>
      </c>
      <c r="H59" s="40" t="s">
        <v>898</v>
      </c>
      <c r="I59" s="40" t="s">
        <v>899</v>
      </c>
      <c r="J59" s="44">
        <v>46248</v>
      </c>
    </row>
    <row r="60" spans="1:10" ht="42" customHeight="1">
      <c r="A60" s="40" t="s">
        <v>338</v>
      </c>
      <c r="B60" s="40" t="s">
        <v>900</v>
      </c>
      <c r="C60" s="40" t="s">
        <v>901</v>
      </c>
      <c r="D60" s="44">
        <v>46245</v>
      </c>
      <c r="E60" s="40" t="s">
        <v>902</v>
      </c>
      <c r="F60" s="40" t="s">
        <v>903</v>
      </c>
      <c r="G60" s="40" t="s">
        <v>904</v>
      </c>
      <c r="H60" s="40" t="s">
        <v>905</v>
      </c>
      <c r="I60" s="40" t="s">
        <v>906</v>
      </c>
      <c r="J60" s="44">
        <v>46248</v>
      </c>
    </row>
    <row r="61" spans="1:10" ht="42" customHeight="1">
      <c r="A61" s="40" t="s">
        <v>338</v>
      </c>
      <c r="B61" s="40" t="s">
        <v>907</v>
      </c>
      <c r="C61" s="40" t="s">
        <v>908</v>
      </c>
      <c r="D61" s="44">
        <v>46244</v>
      </c>
      <c r="E61" s="40" t="s">
        <v>909</v>
      </c>
      <c r="F61" s="40" t="s">
        <v>910</v>
      </c>
      <c r="G61" s="40" t="s">
        <v>911</v>
      </c>
      <c r="H61" s="40" t="s">
        <v>912</v>
      </c>
      <c r="I61" s="40" t="s">
        <v>913</v>
      </c>
      <c r="J61" s="44">
        <v>46248</v>
      </c>
    </row>
    <row r="62" spans="1:10" ht="42" customHeight="1">
      <c r="A62" s="40" t="s">
        <v>327</v>
      </c>
      <c r="B62" s="40" t="s">
        <v>914</v>
      </c>
      <c r="C62" s="40" t="s">
        <v>915</v>
      </c>
      <c r="D62" s="44">
        <v>46013</v>
      </c>
      <c r="E62" s="40" t="s">
        <v>916</v>
      </c>
      <c r="F62" s="40" t="s">
        <v>917</v>
      </c>
      <c r="G62" s="40" t="s">
        <v>918</v>
      </c>
      <c r="H62" s="40" t="s">
        <v>141</v>
      </c>
      <c r="I62" s="40" t="s">
        <v>919</v>
      </c>
      <c r="J62" s="44">
        <v>46248</v>
      </c>
    </row>
    <row r="63" spans="1:10" ht="42" customHeight="1">
      <c r="A63" s="40" t="s">
        <v>419</v>
      </c>
      <c r="B63" s="40" t="s">
        <v>920</v>
      </c>
      <c r="C63" s="40" t="s">
        <v>921</v>
      </c>
      <c r="D63" s="44">
        <v>46247</v>
      </c>
      <c r="E63" s="40" t="s">
        <v>922</v>
      </c>
      <c r="F63" s="40" t="s">
        <v>923</v>
      </c>
      <c r="G63" s="40" t="s">
        <v>924</v>
      </c>
      <c r="H63" s="40" t="s">
        <v>925</v>
      </c>
      <c r="I63" s="40" t="s">
        <v>926</v>
      </c>
      <c r="J63" s="44">
        <v>46248</v>
      </c>
    </row>
    <row r="64" spans="1:10" ht="42" customHeight="1">
      <c r="A64" s="40" t="s">
        <v>388</v>
      </c>
      <c r="B64" s="40" t="s">
        <v>390</v>
      </c>
      <c r="C64" s="40" t="s">
        <v>921</v>
      </c>
      <c r="D64" s="44">
        <v>46247</v>
      </c>
      <c r="E64" s="40" t="s">
        <v>922</v>
      </c>
      <c r="F64" s="40" t="s">
        <v>927</v>
      </c>
      <c r="G64" s="40" t="s">
        <v>924</v>
      </c>
      <c r="H64" s="40" t="s">
        <v>928</v>
      </c>
      <c r="I64" s="40" t="s">
        <v>929</v>
      </c>
      <c r="J64" s="44">
        <v>46248</v>
      </c>
    </row>
    <row r="65" spans="1:10" ht="42" customHeight="1">
      <c r="A65" s="40" t="s">
        <v>532</v>
      </c>
      <c r="B65" s="40" t="s">
        <v>930</v>
      </c>
      <c r="C65" s="40" t="s">
        <v>921</v>
      </c>
      <c r="D65" s="44">
        <v>46247</v>
      </c>
      <c r="E65" s="40" t="s">
        <v>922</v>
      </c>
      <c r="F65" s="40" t="s">
        <v>931</v>
      </c>
      <c r="G65" s="40" t="s">
        <v>924</v>
      </c>
      <c r="H65" s="40" t="s">
        <v>932</v>
      </c>
      <c r="I65" s="40" t="s">
        <v>933</v>
      </c>
      <c r="J65" s="44">
        <v>46248</v>
      </c>
    </row>
    <row r="66" spans="1:10" ht="42" customHeight="1">
      <c r="A66" s="40" t="s">
        <v>428</v>
      </c>
      <c r="B66" s="40" t="s">
        <v>831</v>
      </c>
      <c r="C66" s="40" t="s">
        <v>934</v>
      </c>
      <c r="D66" s="44">
        <v>46240</v>
      </c>
      <c r="E66" s="40" t="s">
        <v>935</v>
      </c>
      <c r="F66" s="40" t="s">
        <v>936</v>
      </c>
      <c r="G66" s="40" t="s">
        <v>937</v>
      </c>
      <c r="H66" s="40" t="s">
        <v>938</v>
      </c>
      <c r="I66" s="40" t="s">
        <v>939</v>
      </c>
      <c r="J66" s="44">
        <v>46248</v>
      </c>
    </row>
    <row r="67" spans="1:10" ht="42" customHeight="1">
      <c r="A67" s="40" t="s">
        <v>882</v>
      </c>
      <c r="B67" s="40" t="s">
        <v>940</v>
      </c>
      <c r="C67" s="40" t="s">
        <v>934</v>
      </c>
      <c r="D67" s="44">
        <v>46240</v>
      </c>
      <c r="E67" s="40" t="s">
        <v>941</v>
      </c>
      <c r="F67" s="40" t="s">
        <v>942</v>
      </c>
      <c r="G67" s="40" t="s">
        <v>937</v>
      </c>
      <c r="H67" s="40" t="s">
        <v>943</v>
      </c>
      <c r="I67" s="40" t="s">
        <v>944</v>
      </c>
      <c r="J67" s="44">
        <v>46248</v>
      </c>
    </row>
    <row r="68" spans="1:10" ht="42" customHeight="1">
      <c r="A68" s="40" t="s">
        <v>399</v>
      </c>
      <c r="B68" s="40" t="s">
        <v>945</v>
      </c>
      <c r="C68" s="40" t="s">
        <v>946</v>
      </c>
      <c r="D68" s="44">
        <v>46244</v>
      </c>
      <c r="E68" s="40" t="s">
        <v>947</v>
      </c>
      <c r="F68" s="40" t="s">
        <v>948</v>
      </c>
      <c r="G68" s="40" t="s">
        <v>949</v>
      </c>
      <c r="H68" s="40" t="s">
        <v>950</v>
      </c>
      <c r="I68" s="40" t="s">
        <v>951</v>
      </c>
      <c r="J68" s="44">
        <v>46248</v>
      </c>
    </row>
    <row r="69" spans="1:10" ht="42" customHeight="1">
      <c r="A69" s="40" t="s">
        <v>379</v>
      </c>
      <c r="B69" s="40" t="s">
        <v>952</v>
      </c>
      <c r="C69" s="40" t="s">
        <v>953</v>
      </c>
      <c r="D69" s="44">
        <v>46248</v>
      </c>
      <c r="E69" s="40" t="s">
        <v>954</v>
      </c>
      <c r="F69" s="40" t="s">
        <v>955</v>
      </c>
      <c r="G69" s="40" t="s">
        <v>956</v>
      </c>
      <c r="H69" s="40" t="s">
        <v>957</v>
      </c>
      <c r="I69" s="40" t="s">
        <v>958</v>
      </c>
      <c r="J69" s="44">
        <v>46248</v>
      </c>
    </row>
    <row r="70" spans="1:10" ht="42" customHeight="1">
      <c r="A70" s="40" t="s">
        <v>338</v>
      </c>
      <c r="B70" s="40" t="s">
        <v>959</v>
      </c>
      <c r="C70" s="40" t="s">
        <v>960</v>
      </c>
      <c r="D70" s="44">
        <v>46269.5</v>
      </c>
      <c r="E70" s="40" t="s">
        <v>339</v>
      </c>
      <c r="F70" s="40" t="s">
        <v>961</v>
      </c>
      <c r="G70" s="40" t="s">
        <v>962</v>
      </c>
      <c r="H70" s="40" t="s">
        <v>963</v>
      </c>
      <c r="I70" s="40" t="s">
        <v>964</v>
      </c>
      <c r="J70" s="44">
        <v>46269.5</v>
      </c>
    </row>
    <row r="71" spans="1:10" ht="42" customHeight="1">
      <c r="A71" s="40" t="s">
        <v>532</v>
      </c>
      <c r="B71" s="40" t="s">
        <v>965</v>
      </c>
      <c r="C71" s="40" t="s">
        <v>960</v>
      </c>
      <c r="D71" s="44">
        <v>46269.5</v>
      </c>
      <c r="E71" s="40" t="s">
        <v>339</v>
      </c>
      <c r="F71" s="40" t="s">
        <v>966</v>
      </c>
      <c r="G71" s="40" t="s">
        <v>962</v>
      </c>
      <c r="H71" s="40" t="s">
        <v>963</v>
      </c>
      <c r="I71" s="40" t="s">
        <v>967</v>
      </c>
      <c r="J71" s="44">
        <v>46269.5</v>
      </c>
    </row>
    <row r="72" spans="1:10" ht="42" customHeight="1">
      <c r="A72" s="40" t="s">
        <v>419</v>
      </c>
      <c r="B72" s="40" t="s">
        <v>965</v>
      </c>
      <c r="C72" s="40" t="s">
        <v>960</v>
      </c>
      <c r="D72" s="44">
        <v>46269.5</v>
      </c>
      <c r="E72" s="40" t="s">
        <v>339</v>
      </c>
      <c r="F72" s="40" t="s">
        <v>968</v>
      </c>
      <c r="G72" s="40" t="s">
        <v>962</v>
      </c>
      <c r="H72" s="40" t="s">
        <v>963</v>
      </c>
      <c r="I72" s="40" t="s">
        <v>969</v>
      </c>
      <c r="J72" s="44">
        <v>46269.5</v>
      </c>
    </row>
    <row r="73" spans="1:10" ht="45" customHeight="1">
      <c r="A73" s="40" t="s">
        <v>472</v>
      </c>
      <c r="B73" s="40" t="s">
        <v>970</v>
      </c>
      <c r="C73" s="40" t="s">
        <v>971</v>
      </c>
      <c r="D73" s="44">
        <v>46269.5</v>
      </c>
      <c r="E73" s="40" t="s">
        <v>339</v>
      </c>
      <c r="F73" s="40" t="s">
        <v>972</v>
      </c>
      <c r="G73" s="40" t="s">
        <v>962</v>
      </c>
      <c r="H73" s="40" t="s">
        <v>973</v>
      </c>
      <c r="I73" s="40" t="s">
        <v>974</v>
      </c>
      <c r="J73" s="44">
        <v>46269.5</v>
      </c>
    </row>
    <row r="74" spans="1:10" ht="45" customHeight="1">
      <c r="A74" s="40" t="s">
        <v>501</v>
      </c>
      <c r="B74" s="40" t="s">
        <v>965</v>
      </c>
      <c r="C74" s="40" t="s">
        <v>960</v>
      </c>
      <c r="D74" s="44">
        <v>46269.5</v>
      </c>
      <c r="E74" s="40" t="s">
        <v>339</v>
      </c>
      <c r="F74" s="40" t="s">
        <v>975</v>
      </c>
      <c r="G74" s="40" t="s">
        <v>962</v>
      </c>
      <c r="H74" s="40" t="s">
        <v>976</v>
      </c>
      <c r="I74" s="40" t="s">
        <v>977</v>
      </c>
      <c r="J74" s="44">
        <v>46269.5</v>
      </c>
    </row>
    <row r="75" spans="1:10">
      <c r="A75" s="40"/>
      <c r="B75" s="40"/>
      <c r="C75" s="40"/>
      <c r="D75" s="44"/>
      <c r="E75" s="40"/>
      <c r="F75" s="40"/>
      <c r="G75" s="40"/>
      <c r="H75" s="40"/>
      <c r="I75" s="40"/>
      <c r="J75" s="44"/>
    </row>
    <row r="76" spans="1:10">
      <c r="A76" s="40"/>
      <c r="B76" s="40"/>
      <c r="C76" s="40"/>
      <c r="D76" s="44"/>
      <c r="E76" s="40"/>
      <c r="F76" s="40"/>
      <c r="G76" s="40"/>
      <c r="H76" s="40"/>
      <c r="I76" s="40"/>
      <c r="J76" s="44"/>
    </row>
    <row r="77" spans="1:10">
      <c r="A77" s="40"/>
      <c r="B77" s="40"/>
      <c r="C77" s="40"/>
      <c r="D77" s="44"/>
      <c r="E77" s="40"/>
      <c r="F77" s="40"/>
      <c r="G77" s="40"/>
      <c r="H77" s="40"/>
      <c r="I77" s="40"/>
      <c r="J77" s="44"/>
    </row>
    <row r="78" spans="1:10">
      <c r="A78" s="40"/>
      <c r="B78" s="40"/>
      <c r="C78" s="40"/>
      <c r="D78" s="44"/>
      <c r="E78" s="40"/>
      <c r="F78" s="40"/>
      <c r="G78" s="40"/>
      <c r="H78" s="40"/>
      <c r="I78" s="40"/>
      <c r="J78" s="44"/>
    </row>
    <row r="79" spans="1:10">
      <c r="A79" s="40"/>
      <c r="B79" s="40"/>
      <c r="C79" s="40"/>
      <c r="D79" s="44"/>
      <c r="E79" s="40"/>
      <c r="F79" s="40"/>
      <c r="G79" s="40"/>
      <c r="H79" s="40"/>
      <c r="I79" s="40"/>
      <c r="J79" s="44"/>
    </row>
    <row r="80" spans="1:10">
      <c r="A80" s="40"/>
      <c r="B80" s="40"/>
      <c r="C80" s="40"/>
      <c r="D80" s="44"/>
      <c r="E80" s="40"/>
      <c r="F80" s="40"/>
      <c r="G80" s="40"/>
      <c r="H80" s="40"/>
      <c r="I80" s="40"/>
      <c r="J80" s="44"/>
    </row>
    <row r="81" spans="1:10">
      <c r="A81" s="40"/>
      <c r="B81" s="40"/>
      <c r="C81" s="40"/>
      <c r="D81" s="44"/>
      <c r="E81" s="40"/>
      <c r="F81" s="40"/>
      <c r="G81" s="40"/>
      <c r="H81" s="40"/>
      <c r="I81" s="40"/>
      <c r="J81" s="44"/>
    </row>
    <row r="82" spans="1:10">
      <c r="A82" s="40"/>
      <c r="B82" s="40"/>
      <c r="C82" s="40"/>
      <c r="D82" s="44"/>
      <c r="E82" s="40"/>
      <c r="F82" s="40"/>
      <c r="G82" s="40"/>
      <c r="H82" s="40"/>
      <c r="I82" s="40"/>
      <c r="J82" s="44"/>
    </row>
    <row r="83" spans="1:10">
      <c r="A83" s="40"/>
      <c r="B83" s="40"/>
      <c r="C83" s="40"/>
      <c r="D83" s="44"/>
      <c r="E83" s="40"/>
      <c r="F83" s="40"/>
      <c r="G83" s="40"/>
      <c r="H83" s="40"/>
      <c r="I83" s="40"/>
      <c r="J83" s="44"/>
    </row>
    <row r="84" spans="1:10">
      <c r="A84" s="40"/>
      <c r="B84" s="40"/>
      <c r="C84" s="40"/>
      <c r="D84" s="44"/>
      <c r="E84" s="40"/>
      <c r="F84" s="40"/>
      <c r="G84" s="40"/>
      <c r="H84" s="40"/>
      <c r="I84" s="40"/>
      <c r="J84" s="44"/>
    </row>
    <row r="85" spans="1:10" ht="60" customHeight="1">
      <c r="A85" s="40" t="s">
        <v>327</v>
      </c>
      <c r="B85" s="40"/>
      <c r="C85" s="40" t="s">
        <v>978</v>
      </c>
      <c r="D85" s="40" t="s">
        <v>979</v>
      </c>
      <c r="E85" s="40"/>
      <c r="F85" s="40" t="s">
        <v>980</v>
      </c>
      <c r="G85" s="40"/>
      <c r="H85" s="40" t="s">
        <v>981</v>
      </c>
      <c r="I85" s="40"/>
      <c r="J85" s="40" t="s">
        <v>982</v>
      </c>
    </row>
  </sheetData>
  <mergeCells count="2">
    <mergeCell ref="A1:J1"/>
    <mergeCell ref="A2:J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7"/>
  <sheetViews>
    <sheetView showGridLines="0" workbookViewId="0"/>
  </sheetViews>
  <sheetFormatPr baseColWidth="10" defaultColWidth="8.83203125" defaultRowHeight="14"/>
  <cols>
    <col min="1" max="1" width="28" customWidth="1"/>
    <col min="2" max="2" width="25" customWidth="1"/>
    <col min="3" max="3" width="40" customWidth="1"/>
    <col min="4" max="4" width="48" customWidth="1"/>
    <col min="5" max="5" width="24" customWidth="1"/>
    <col min="6" max="6" width="50" customWidth="1"/>
    <col min="7" max="7" width="12" customWidth="1"/>
  </cols>
  <sheetData>
    <row r="1" spans="1:7" ht="32" customHeight="1">
      <c r="A1" s="90" t="s">
        <v>983</v>
      </c>
      <c r="B1" s="77"/>
      <c r="C1" s="77"/>
      <c r="D1" s="77"/>
      <c r="E1" s="77"/>
      <c r="F1" s="77"/>
      <c r="G1" s="77"/>
    </row>
    <row r="2" spans="1:7" ht="30" customHeight="1">
      <c r="A2" s="89" t="s">
        <v>984</v>
      </c>
      <c r="B2" s="77"/>
      <c r="C2" s="77"/>
      <c r="D2" s="77"/>
      <c r="E2" s="77"/>
      <c r="F2" s="77"/>
      <c r="G2" s="77"/>
    </row>
    <row r="4" spans="1:7" ht="28" customHeight="1">
      <c r="A4" s="1" t="s">
        <v>46</v>
      </c>
      <c r="B4" s="2" t="s">
        <v>985</v>
      </c>
      <c r="C4" s="2" t="s">
        <v>986</v>
      </c>
      <c r="D4" s="2" t="s">
        <v>987</v>
      </c>
      <c r="E4" s="2" t="s">
        <v>988</v>
      </c>
      <c r="F4" s="2" t="s">
        <v>989</v>
      </c>
      <c r="G4" s="3" t="s">
        <v>990</v>
      </c>
    </row>
    <row r="5" spans="1:7">
      <c r="A5" s="4" t="s">
        <v>428</v>
      </c>
      <c r="B5" s="5" t="s">
        <v>991</v>
      </c>
      <c r="C5" s="5" t="s">
        <v>992</v>
      </c>
      <c r="D5" s="5" t="s">
        <v>993</v>
      </c>
      <c r="E5" s="5" t="s">
        <v>994</v>
      </c>
      <c r="F5" s="5" t="s">
        <v>995</v>
      </c>
      <c r="G5" s="6" t="s">
        <v>996</v>
      </c>
    </row>
    <row r="6" spans="1:7" ht="26" customHeight="1">
      <c r="A6" s="7" t="s">
        <v>349</v>
      </c>
      <c r="B6" s="8" t="s">
        <v>997</v>
      </c>
      <c r="C6" s="8" t="s">
        <v>998</v>
      </c>
      <c r="D6" s="8" t="s">
        <v>999</v>
      </c>
      <c r="E6" s="8" t="s">
        <v>1000</v>
      </c>
      <c r="F6" s="8" t="s">
        <v>1001</v>
      </c>
      <c r="G6" s="9" t="s">
        <v>1002</v>
      </c>
    </row>
    <row r="7" spans="1:7">
      <c r="A7" s="7" t="s">
        <v>617</v>
      </c>
      <c r="B7" s="8" t="s">
        <v>1003</v>
      </c>
      <c r="C7" s="8" t="s">
        <v>1004</v>
      </c>
      <c r="D7" s="8" t="s">
        <v>1005</v>
      </c>
      <c r="E7" s="8" t="s">
        <v>1006</v>
      </c>
      <c r="F7" s="8" t="s">
        <v>1007</v>
      </c>
      <c r="G7" s="9" t="s">
        <v>1008</v>
      </c>
    </row>
    <row r="8" spans="1:7">
      <c r="A8" s="7" t="s">
        <v>327</v>
      </c>
      <c r="B8" s="8" t="s">
        <v>1009</v>
      </c>
      <c r="C8" s="8" t="s">
        <v>1010</v>
      </c>
      <c r="D8" s="8" t="s">
        <v>1011</v>
      </c>
      <c r="E8" s="8" t="s">
        <v>782</v>
      </c>
      <c r="F8" s="8" t="s">
        <v>1012</v>
      </c>
      <c r="G8" s="9" t="s">
        <v>1013</v>
      </c>
    </row>
    <row r="9" spans="1:7">
      <c r="A9" s="7" t="s">
        <v>631</v>
      </c>
      <c r="B9" s="8" t="s">
        <v>1003</v>
      </c>
      <c r="C9" s="8" t="s">
        <v>1014</v>
      </c>
      <c r="D9" s="8" t="s">
        <v>1015</v>
      </c>
      <c r="E9" s="8" t="s">
        <v>1016</v>
      </c>
      <c r="F9" s="8" t="s">
        <v>1017</v>
      </c>
      <c r="G9" s="9" t="s">
        <v>1008</v>
      </c>
    </row>
    <row r="10" spans="1:7" ht="26" customHeight="1">
      <c r="A10" s="7" t="s">
        <v>419</v>
      </c>
      <c r="B10" s="8" t="s">
        <v>1018</v>
      </c>
      <c r="C10" s="8" t="s">
        <v>1019</v>
      </c>
      <c r="D10" s="8" t="s">
        <v>1020</v>
      </c>
      <c r="E10" s="8" t="s">
        <v>1021</v>
      </c>
      <c r="F10" s="8" t="s">
        <v>1022</v>
      </c>
      <c r="G10" s="9" t="s">
        <v>1023</v>
      </c>
    </row>
    <row r="11" spans="1:7">
      <c r="A11" s="7" t="s">
        <v>487</v>
      </c>
      <c r="B11" s="8" t="s">
        <v>1024</v>
      </c>
      <c r="C11" s="8" t="s">
        <v>1025</v>
      </c>
      <c r="D11" s="8" t="s">
        <v>1026</v>
      </c>
      <c r="E11" s="8" t="s">
        <v>782</v>
      </c>
      <c r="F11" s="8" t="s">
        <v>1027</v>
      </c>
      <c r="G11" s="9" t="s">
        <v>1002</v>
      </c>
    </row>
    <row r="12" spans="1:7" ht="26" customHeight="1">
      <c r="A12" s="7" t="s">
        <v>338</v>
      </c>
      <c r="B12" s="8" t="s">
        <v>1028</v>
      </c>
      <c r="C12" s="8" t="s">
        <v>1029</v>
      </c>
      <c r="D12" s="8" t="s">
        <v>1030</v>
      </c>
      <c r="E12" s="8" t="s">
        <v>1031</v>
      </c>
      <c r="F12" s="8" t="s">
        <v>1032</v>
      </c>
      <c r="G12" s="9" t="s">
        <v>1013</v>
      </c>
    </row>
    <row r="13" spans="1:7" ht="26" customHeight="1">
      <c r="A13" s="10" t="s">
        <v>359</v>
      </c>
      <c r="B13" s="11" t="s">
        <v>883</v>
      </c>
      <c r="C13" s="11" t="s">
        <v>1033</v>
      </c>
      <c r="D13" s="11" t="s">
        <v>1034</v>
      </c>
      <c r="E13" s="11" t="s">
        <v>1035</v>
      </c>
      <c r="F13" s="11" t="s">
        <v>1036</v>
      </c>
      <c r="G13" s="12" t="s">
        <v>1013</v>
      </c>
    </row>
    <row r="14" spans="1:7" ht="15" customHeight="1">
      <c r="A14" s="30" t="s">
        <v>379</v>
      </c>
      <c r="B14" s="30" t="s">
        <v>1037</v>
      </c>
      <c r="C14" s="30" t="s">
        <v>1038</v>
      </c>
      <c r="D14" s="30" t="s">
        <v>1039</v>
      </c>
      <c r="E14" s="30" t="s">
        <v>1040</v>
      </c>
      <c r="F14" s="30" t="s">
        <v>1041</v>
      </c>
      <c r="G14" s="30" t="s">
        <v>1013</v>
      </c>
    </row>
    <row r="15" spans="1:7" ht="30" customHeight="1">
      <c r="A15" s="30" t="s">
        <v>428</v>
      </c>
      <c r="B15" s="30" t="s">
        <v>1042</v>
      </c>
      <c r="C15" s="30" t="s">
        <v>1043</v>
      </c>
      <c r="D15" s="30" t="s">
        <v>1044</v>
      </c>
      <c r="E15" s="30" t="s">
        <v>1045</v>
      </c>
      <c r="F15" s="30" t="s">
        <v>1046</v>
      </c>
      <c r="G15" s="30" t="s">
        <v>1002</v>
      </c>
    </row>
    <row r="16" spans="1:7" ht="30" customHeight="1">
      <c r="A16" s="30" t="s">
        <v>399</v>
      </c>
      <c r="B16" s="30" t="s">
        <v>1047</v>
      </c>
      <c r="C16" s="30" t="s">
        <v>1048</v>
      </c>
      <c r="D16" s="30" t="s">
        <v>1049</v>
      </c>
      <c r="E16" s="30" t="s">
        <v>946</v>
      </c>
      <c r="F16" s="30" t="s">
        <v>1050</v>
      </c>
      <c r="G16" s="30" t="s">
        <v>1013</v>
      </c>
    </row>
    <row r="17" spans="1:7" ht="30" customHeight="1">
      <c r="A17" s="30" t="s">
        <v>388</v>
      </c>
      <c r="B17" s="30" t="s">
        <v>1051</v>
      </c>
      <c r="C17" s="30" t="s">
        <v>1048</v>
      </c>
      <c r="D17" s="30" t="s">
        <v>1052</v>
      </c>
      <c r="E17" s="30" t="s">
        <v>1053</v>
      </c>
      <c r="F17" s="30" t="s">
        <v>1054</v>
      </c>
      <c r="G17" s="30" t="s">
        <v>1013</v>
      </c>
    </row>
  </sheetData>
  <mergeCells count="2">
    <mergeCell ref="A2:G2"/>
    <mergeCell ref="A1:G1"/>
  </mergeCells>
  <conditionalFormatting sqref="G5:G13">
    <cfRule type="containsText" dxfId="1" priority="1" operator="containsText" text="URGENT"/>
    <cfRule type="containsText" dxfId="0" priority="2" operator="containsText" text="RESOLVED"/>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
  <sheetViews>
    <sheetView showGridLines="0" workbookViewId="0"/>
  </sheetViews>
  <sheetFormatPr baseColWidth="10" defaultColWidth="8.83203125" defaultRowHeight="14"/>
  <cols>
    <col min="1" max="1" width="20" customWidth="1"/>
    <col min="2" max="2" width="14" customWidth="1"/>
    <col min="3" max="3" width="11" customWidth="1"/>
    <col min="4" max="4" width="12" customWidth="1"/>
    <col min="5" max="5" width="50" customWidth="1"/>
    <col min="6" max="6" width="60" customWidth="1"/>
    <col min="7" max="7" width="44" customWidth="1"/>
    <col min="8" max="8" width="48" customWidth="1"/>
  </cols>
  <sheetData>
    <row r="1" spans="1:8" ht="32" customHeight="1">
      <c r="A1" s="91" t="s">
        <v>1055</v>
      </c>
      <c r="B1" s="77"/>
      <c r="C1" s="77"/>
      <c r="D1" s="77"/>
      <c r="E1" s="77"/>
      <c r="F1" s="77"/>
      <c r="G1" s="77"/>
      <c r="H1" s="77"/>
    </row>
    <row r="2" spans="1:8" ht="30" customHeight="1">
      <c r="A2" s="92" t="s">
        <v>1056</v>
      </c>
      <c r="B2" s="77"/>
      <c r="C2" s="77"/>
      <c r="D2" s="77"/>
      <c r="E2" s="77"/>
      <c r="F2" s="77"/>
      <c r="G2" s="77"/>
      <c r="H2" s="77"/>
    </row>
    <row r="3" spans="1:8">
      <c r="A3" s="40"/>
      <c r="B3" s="40"/>
      <c r="C3" s="40"/>
      <c r="D3" s="40"/>
      <c r="E3" s="40"/>
      <c r="F3" s="40"/>
      <c r="G3" s="40"/>
      <c r="H3" s="40"/>
    </row>
    <row r="4" spans="1:8" ht="28" customHeight="1">
      <c r="A4" s="41" t="s">
        <v>297</v>
      </c>
      <c r="B4" s="42" t="s">
        <v>1057</v>
      </c>
      <c r="C4" s="42" t="s">
        <v>1058</v>
      </c>
      <c r="D4" s="42" t="s">
        <v>1059</v>
      </c>
      <c r="E4" s="42" t="s">
        <v>1060</v>
      </c>
      <c r="F4" s="42" t="s">
        <v>1061</v>
      </c>
      <c r="G4" s="42" t="s">
        <v>1062</v>
      </c>
      <c r="H4" s="43" t="s">
        <v>1063</v>
      </c>
    </row>
    <row r="5" spans="1:8" ht="26" customHeight="1">
      <c r="A5" s="4" t="s">
        <v>339</v>
      </c>
      <c r="B5" s="5">
        <v>11</v>
      </c>
      <c r="C5" s="5">
        <v>1</v>
      </c>
      <c r="D5" s="18">
        <v>57.1</v>
      </c>
      <c r="E5" s="5" t="s">
        <v>1064</v>
      </c>
      <c r="F5" s="5" t="s">
        <v>1065</v>
      </c>
      <c r="G5" s="5" t="s">
        <v>1066</v>
      </c>
      <c r="H5" s="6" t="s">
        <v>1067</v>
      </c>
    </row>
    <row r="6" spans="1:8" ht="26" customHeight="1">
      <c r="A6" s="7" t="s">
        <v>350</v>
      </c>
      <c r="B6" s="8">
        <v>8</v>
      </c>
      <c r="C6" s="8">
        <v>1</v>
      </c>
      <c r="D6" s="19">
        <v>59.6</v>
      </c>
      <c r="E6" s="8" t="s">
        <v>1068</v>
      </c>
      <c r="F6" s="8" t="s">
        <v>1069</v>
      </c>
      <c r="G6" s="8" t="s">
        <v>1070</v>
      </c>
      <c r="H6" s="9" t="s">
        <v>1071</v>
      </c>
    </row>
    <row r="7" spans="1:8" ht="26" customHeight="1">
      <c r="A7" s="7" t="s">
        <v>328</v>
      </c>
      <c r="B7" s="8">
        <v>6</v>
      </c>
      <c r="C7" s="8">
        <v>1</v>
      </c>
      <c r="D7" s="19">
        <v>65.2</v>
      </c>
      <c r="E7" s="8" t="s">
        <v>1072</v>
      </c>
      <c r="F7" s="8" t="s">
        <v>1073</v>
      </c>
      <c r="G7" s="8" t="s">
        <v>1074</v>
      </c>
      <c r="H7" s="9" t="s">
        <v>1075</v>
      </c>
    </row>
    <row r="8" spans="1:8" ht="26" customHeight="1">
      <c r="A8" s="10" t="s">
        <v>360</v>
      </c>
      <c r="B8" s="11">
        <v>3</v>
      </c>
      <c r="C8" s="11">
        <v>1</v>
      </c>
      <c r="D8" s="20">
        <v>63</v>
      </c>
      <c r="E8" s="11" t="s">
        <v>1076</v>
      </c>
      <c r="F8" s="11" t="s">
        <v>1077</v>
      </c>
      <c r="G8" s="11" t="s">
        <v>1078</v>
      </c>
      <c r="H8" s="12" t="s">
        <v>1079</v>
      </c>
    </row>
    <row r="9" spans="1:8" ht="30" customHeight="1">
      <c r="A9" s="40" t="s">
        <v>389</v>
      </c>
      <c r="B9" s="40">
        <v>1</v>
      </c>
      <c r="C9" s="40">
        <v>0</v>
      </c>
      <c r="D9" s="40">
        <v>74</v>
      </c>
      <c r="E9" s="40" t="s">
        <v>388</v>
      </c>
      <c r="F9" s="40" t="s">
        <v>1080</v>
      </c>
      <c r="G9" s="40" t="s">
        <v>1081</v>
      </c>
      <c r="H9" s="40" t="s">
        <v>1082</v>
      </c>
    </row>
    <row r="10" spans="1:8" ht="30" customHeight="1">
      <c r="A10" s="40" t="s">
        <v>400</v>
      </c>
      <c r="B10" s="40">
        <v>1</v>
      </c>
      <c r="C10" s="40">
        <v>0</v>
      </c>
      <c r="D10" s="40">
        <v>72</v>
      </c>
      <c r="E10" s="40" t="s">
        <v>399</v>
      </c>
      <c r="F10" s="40" t="s">
        <v>1083</v>
      </c>
      <c r="G10" s="40" t="s">
        <v>1084</v>
      </c>
      <c r="H10" s="40" t="s">
        <v>1085</v>
      </c>
    </row>
  </sheetData>
  <mergeCells count="2">
    <mergeCell ref="A2:H2"/>
    <mergeCell ref="A1:H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5"/>
  <sheetViews>
    <sheetView showGridLines="0" workbookViewId="0"/>
  </sheetViews>
  <sheetFormatPr baseColWidth="10" defaultColWidth="8.83203125" defaultRowHeight="14"/>
  <cols>
    <col min="1" max="5" width="22" customWidth="1"/>
    <col min="6" max="6" width="32" customWidth="1"/>
  </cols>
  <sheetData>
    <row r="1" spans="1:6" ht="32" customHeight="1">
      <c r="A1" s="90" t="s">
        <v>1086</v>
      </c>
      <c r="B1" s="77"/>
      <c r="C1" s="77"/>
      <c r="D1" s="77"/>
      <c r="E1" s="77"/>
      <c r="F1" s="77"/>
    </row>
    <row r="2" spans="1:6" ht="30" customHeight="1">
      <c r="A2" s="89" t="s">
        <v>1087</v>
      </c>
      <c r="B2" s="77"/>
      <c r="C2" s="77"/>
      <c r="D2" s="77"/>
      <c r="E2" s="77"/>
      <c r="F2" s="77"/>
    </row>
    <row r="4" spans="1:6" ht="28" customHeight="1">
      <c r="A4" s="1" t="s">
        <v>1088</v>
      </c>
      <c r="B4" s="2" t="s">
        <v>1089</v>
      </c>
      <c r="C4" s="2" t="s">
        <v>1090</v>
      </c>
      <c r="D4" s="2" t="s">
        <v>1091</v>
      </c>
      <c r="E4" s="2" t="s">
        <v>1092</v>
      </c>
      <c r="F4" s="3" t="s">
        <v>1093</v>
      </c>
    </row>
    <row r="5" spans="1:6">
      <c r="A5" s="4" t="s">
        <v>301</v>
      </c>
      <c r="B5" s="13">
        <v>0.2</v>
      </c>
      <c r="C5" s="5" t="s">
        <v>1094</v>
      </c>
      <c r="D5" s="5" t="s">
        <v>1095</v>
      </c>
      <c r="E5" s="5" t="s">
        <v>1096</v>
      </c>
      <c r="F5" s="6" t="s">
        <v>1097</v>
      </c>
    </row>
    <row r="6" spans="1:6">
      <c r="A6" s="7" t="s">
        <v>1098</v>
      </c>
      <c r="B6" s="14">
        <v>0.2</v>
      </c>
      <c r="C6" s="8" t="s">
        <v>1099</v>
      </c>
      <c r="D6" s="8" t="s">
        <v>1100</v>
      </c>
      <c r="E6" s="8" t="s">
        <v>1101</v>
      </c>
      <c r="F6" s="9" t="s">
        <v>1102</v>
      </c>
    </row>
    <row r="7" spans="1:6">
      <c r="A7" s="7" t="s">
        <v>1103</v>
      </c>
      <c r="B7" s="14">
        <v>0.15</v>
      </c>
      <c r="C7" s="8" t="s">
        <v>1104</v>
      </c>
      <c r="D7" s="8" t="s">
        <v>1105</v>
      </c>
      <c r="E7" s="8" t="s">
        <v>1106</v>
      </c>
      <c r="F7" s="9" t="s">
        <v>1107</v>
      </c>
    </row>
    <row r="8" spans="1:6">
      <c r="A8" s="7" t="s">
        <v>1108</v>
      </c>
      <c r="B8" s="14">
        <v>0.15</v>
      </c>
      <c r="C8" s="8" t="s">
        <v>1109</v>
      </c>
      <c r="D8" s="8" t="s">
        <v>1110</v>
      </c>
      <c r="E8" s="8" t="s">
        <v>1111</v>
      </c>
      <c r="F8" s="9" t="s">
        <v>1112</v>
      </c>
    </row>
    <row r="9" spans="1:6">
      <c r="A9" s="7" t="s">
        <v>305</v>
      </c>
      <c r="B9" s="14">
        <v>0.1</v>
      </c>
      <c r="C9" s="8" t="s">
        <v>1113</v>
      </c>
      <c r="D9" s="8" t="s">
        <v>1114</v>
      </c>
      <c r="E9" s="8" t="s">
        <v>1115</v>
      </c>
      <c r="F9" s="9" t="s">
        <v>1116</v>
      </c>
    </row>
    <row r="10" spans="1:6">
      <c r="A10" s="7" t="s">
        <v>1117</v>
      </c>
      <c r="B10" s="14">
        <v>0.15</v>
      </c>
      <c r="C10" s="8" t="s">
        <v>1118</v>
      </c>
      <c r="D10" s="8" t="s">
        <v>1119</v>
      </c>
      <c r="E10" s="8" t="s">
        <v>1120</v>
      </c>
      <c r="F10" s="9" t="s">
        <v>1121</v>
      </c>
    </row>
    <row r="11" spans="1:6">
      <c r="A11" s="10" t="s">
        <v>1122</v>
      </c>
      <c r="B11" s="15">
        <v>0.05</v>
      </c>
      <c r="C11" s="11" t="s">
        <v>1123</v>
      </c>
      <c r="D11" s="11" t="s">
        <v>1124</v>
      </c>
      <c r="E11" s="11" t="s">
        <v>1125</v>
      </c>
      <c r="F11" s="12" t="s">
        <v>1126</v>
      </c>
    </row>
    <row r="13" spans="1:6" ht="15" customHeight="1">
      <c r="A13" s="16" t="s">
        <v>1127</v>
      </c>
      <c r="B13" s="16"/>
      <c r="C13" s="16"/>
      <c r="D13" s="16"/>
      <c r="E13" s="16"/>
      <c r="F13" s="16"/>
    </row>
    <row r="14" spans="1:6" ht="45" customHeight="1">
      <c r="A14" s="17" t="s">
        <v>1128</v>
      </c>
      <c r="B14" s="17" t="s">
        <v>1129</v>
      </c>
      <c r="C14" s="17"/>
      <c r="D14" s="17"/>
      <c r="E14" s="17"/>
      <c r="F14" s="17"/>
    </row>
    <row r="15" spans="1:6" ht="30" customHeight="1">
      <c r="A15" s="17" t="s">
        <v>1130</v>
      </c>
      <c r="B15" s="17" t="s">
        <v>1131</v>
      </c>
      <c r="C15" s="17"/>
      <c r="D15" s="17"/>
      <c r="E15" s="17"/>
      <c r="F15" s="17"/>
    </row>
  </sheetData>
  <mergeCells count="2">
    <mergeCell ref="A2:F2"/>
    <mergeCell ref="A1:F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S31"/>
  <sheetViews>
    <sheetView showGridLines="0" workbookViewId="0"/>
  </sheetViews>
  <sheetFormatPr baseColWidth="10" defaultColWidth="8.83203125" defaultRowHeight="14"/>
  <cols>
    <col min="1" max="1" width="34" customWidth="1"/>
    <col min="2" max="15" width="15" customWidth="1"/>
    <col min="16" max="19" width="20" customWidth="1"/>
    <col min="20" max="20" width="36" customWidth="1"/>
    <col min="21" max="26" width="28" customWidth="1"/>
    <col min="27" max="45" width="15" customWidth="1"/>
  </cols>
  <sheetData>
    <row r="1" spans="1:45" ht="28" customHeight="1">
      <c r="A1" s="1" t="s">
        <v>1132</v>
      </c>
      <c r="B1" s="2" t="s">
        <v>1133</v>
      </c>
      <c r="C1" s="2" t="s">
        <v>1134</v>
      </c>
      <c r="D1" s="2" t="s">
        <v>1135</v>
      </c>
      <c r="E1" s="2" t="s">
        <v>1136</v>
      </c>
      <c r="F1" s="2" t="s">
        <v>1137</v>
      </c>
      <c r="G1" s="2" t="s">
        <v>1138</v>
      </c>
      <c r="H1" s="2" t="s">
        <v>1139</v>
      </c>
      <c r="I1" s="2" t="s">
        <v>1140</v>
      </c>
      <c r="J1" s="2" t="s">
        <v>1141</v>
      </c>
      <c r="K1" s="2" t="s">
        <v>298</v>
      </c>
      <c r="L1" s="2" t="s">
        <v>1142</v>
      </c>
      <c r="M1" s="2" t="s">
        <v>1143</v>
      </c>
      <c r="N1" s="2" t="s">
        <v>1144</v>
      </c>
      <c r="O1" s="2" t="s">
        <v>1145</v>
      </c>
      <c r="P1" s="2" t="s">
        <v>297</v>
      </c>
      <c r="Q1" s="2" t="s">
        <v>1146</v>
      </c>
      <c r="R1" s="2" t="s">
        <v>1147</v>
      </c>
      <c r="S1" s="2" t="s">
        <v>1148</v>
      </c>
      <c r="T1" s="2" t="s">
        <v>1149</v>
      </c>
      <c r="U1" s="2" t="s">
        <v>603</v>
      </c>
      <c r="V1" s="2" t="s">
        <v>1150</v>
      </c>
      <c r="W1" s="2" t="s">
        <v>1151</v>
      </c>
      <c r="X1" s="2" t="s">
        <v>1152</v>
      </c>
      <c r="Y1" s="2" t="s">
        <v>1153</v>
      </c>
      <c r="Z1" s="2" t="s">
        <v>1154</v>
      </c>
      <c r="AA1" s="2" t="s">
        <v>1155</v>
      </c>
      <c r="AB1" s="2" t="s">
        <v>1156</v>
      </c>
      <c r="AC1" s="2" t="s">
        <v>1157</v>
      </c>
      <c r="AD1" s="2" t="s">
        <v>1158</v>
      </c>
      <c r="AE1" s="2" t="s">
        <v>1159</v>
      </c>
      <c r="AF1" s="2" t="s">
        <v>1160</v>
      </c>
      <c r="AG1" s="2" t="s">
        <v>1161</v>
      </c>
      <c r="AH1" s="2" t="s">
        <v>1162</v>
      </c>
      <c r="AI1" s="2" t="s">
        <v>1163</v>
      </c>
      <c r="AJ1" s="2" t="s">
        <v>1164</v>
      </c>
      <c r="AK1" s="2" t="s">
        <v>1165</v>
      </c>
      <c r="AL1" s="2" t="s">
        <v>1166</v>
      </c>
      <c r="AM1" s="2" t="s">
        <v>1167</v>
      </c>
      <c r="AN1" s="2" t="s">
        <v>1168</v>
      </c>
      <c r="AO1" s="2" t="s">
        <v>1169</v>
      </c>
      <c r="AP1" s="2" t="s">
        <v>1170</v>
      </c>
      <c r="AQ1" s="2" t="s">
        <v>1171</v>
      </c>
      <c r="AR1" s="2" t="s">
        <v>1172</v>
      </c>
      <c r="AS1" s="3" t="s">
        <v>1173</v>
      </c>
    </row>
    <row r="2" spans="1:45">
      <c r="A2" s="4" t="s">
        <v>541</v>
      </c>
      <c r="B2" s="5"/>
      <c r="C2" s="5"/>
      <c r="D2" s="5"/>
      <c r="E2" s="5"/>
      <c r="F2" s="5" t="s">
        <v>1174</v>
      </c>
      <c r="G2" s="5" t="s">
        <v>1175</v>
      </c>
      <c r="H2" s="5" t="s">
        <v>1176</v>
      </c>
      <c r="I2" s="27"/>
      <c r="J2" s="27">
        <v>398196</v>
      </c>
      <c r="K2" s="5" t="s">
        <v>329</v>
      </c>
      <c r="L2" s="5"/>
      <c r="M2" s="13"/>
      <c r="N2" s="13"/>
      <c r="O2" s="5" t="s">
        <v>226</v>
      </c>
      <c r="P2" s="5" t="s">
        <v>350</v>
      </c>
      <c r="Q2" s="5" t="s">
        <v>1177</v>
      </c>
      <c r="R2" s="5"/>
      <c r="S2" s="5"/>
      <c r="T2" s="5"/>
      <c r="U2" s="5" t="s">
        <v>544</v>
      </c>
      <c r="V2" s="5"/>
      <c r="W2" s="5"/>
      <c r="X2" s="5"/>
      <c r="Y2" s="5" t="s">
        <v>64</v>
      </c>
      <c r="Z2" s="5" t="s">
        <v>226</v>
      </c>
      <c r="AA2" s="5"/>
      <c r="AB2" s="5"/>
      <c r="AC2" s="5"/>
      <c r="AD2" s="5"/>
      <c r="AE2" s="5"/>
      <c r="AF2" s="5"/>
      <c r="AG2" s="5"/>
      <c r="AH2" s="5"/>
      <c r="AI2" s="5"/>
      <c r="AJ2" s="5"/>
      <c r="AK2" s="5"/>
      <c r="AL2" s="5"/>
      <c r="AM2" s="5"/>
      <c r="AN2" s="5"/>
      <c r="AO2" s="5"/>
      <c r="AP2" s="5"/>
      <c r="AQ2" s="5"/>
      <c r="AR2" s="5"/>
      <c r="AS2" s="6"/>
    </row>
    <row r="3" spans="1:45" ht="26" customHeight="1">
      <c r="A3" s="7" t="s">
        <v>509</v>
      </c>
      <c r="B3" s="8" t="s">
        <v>1178</v>
      </c>
      <c r="C3" s="8" t="s">
        <v>1179</v>
      </c>
      <c r="D3" s="8" t="s">
        <v>1180</v>
      </c>
      <c r="E3" s="8"/>
      <c r="F3" s="8" t="s">
        <v>1174</v>
      </c>
      <c r="G3" s="8" t="s">
        <v>1175</v>
      </c>
      <c r="H3" s="8" t="s">
        <v>1176</v>
      </c>
      <c r="I3" s="28">
        <v>249980.0417493</v>
      </c>
      <c r="J3" s="28">
        <v>333306.72233239998</v>
      </c>
      <c r="K3" s="8" t="s">
        <v>329</v>
      </c>
      <c r="L3" s="8">
        <v>217</v>
      </c>
      <c r="M3" s="14">
        <v>0.6</v>
      </c>
      <c r="N3" s="14">
        <v>0.4</v>
      </c>
      <c r="O3" s="8">
        <v>0</v>
      </c>
      <c r="P3" s="8" t="s">
        <v>339</v>
      </c>
      <c r="Q3" s="8" t="s">
        <v>1181</v>
      </c>
      <c r="R3" s="8" t="s">
        <v>1182</v>
      </c>
      <c r="S3" s="8" t="s">
        <v>1183</v>
      </c>
      <c r="T3" s="8" t="s">
        <v>1184</v>
      </c>
      <c r="U3" s="8" t="s">
        <v>727</v>
      </c>
      <c r="V3" s="8" t="s">
        <v>728</v>
      </c>
      <c r="W3" s="8" t="s">
        <v>728</v>
      </c>
      <c r="X3" s="8"/>
      <c r="Y3" s="8" t="s">
        <v>697</v>
      </c>
      <c r="Z3" s="8"/>
      <c r="AA3" s="8"/>
      <c r="AB3" s="8"/>
      <c r="AC3" s="8"/>
      <c r="AD3" s="8"/>
      <c r="AE3" s="8"/>
      <c r="AF3" s="8"/>
      <c r="AG3" s="8"/>
      <c r="AH3" s="8"/>
      <c r="AI3" s="8"/>
      <c r="AJ3" s="8"/>
      <c r="AK3" s="8"/>
      <c r="AL3" s="8"/>
      <c r="AM3" s="8"/>
      <c r="AN3" s="8"/>
      <c r="AO3" s="8"/>
      <c r="AP3" s="8"/>
      <c r="AQ3" s="8"/>
      <c r="AR3" s="8"/>
      <c r="AS3" s="9"/>
    </row>
    <row r="4" spans="1:45">
      <c r="A4" s="7" t="s">
        <v>481</v>
      </c>
      <c r="B4" s="8"/>
      <c r="C4" s="8" t="s">
        <v>1185</v>
      </c>
      <c r="D4" s="8"/>
      <c r="E4" s="8"/>
      <c r="F4" s="8" t="s">
        <v>1174</v>
      </c>
      <c r="G4" s="8" t="s">
        <v>1175</v>
      </c>
      <c r="H4" s="8" t="s">
        <v>1176</v>
      </c>
      <c r="I4" s="28">
        <v>310354.07056999992</v>
      </c>
      <c r="J4" s="28">
        <v>413805.42742666649</v>
      </c>
      <c r="K4" s="8" t="s">
        <v>329</v>
      </c>
      <c r="L4" s="8">
        <v>450</v>
      </c>
      <c r="M4" s="14">
        <v>1</v>
      </c>
      <c r="N4" s="14">
        <v>0</v>
      </c>
      <c r="O4" s="8" t="s">
        <v>226</v>
      </c>
      <c r="P4" s="8" t="s">
        <v>350</v>
      </c>
      <c r="Q4" s="8" t="s">
        <v>1177</v>
      </c>
      <c r="R4" s="8" t="s">
        <v>1182</v>
      </c>
      <c r="S4" s="8"/>
      <c r="T4" s="8"/>
      <c r="U4" s="8" t="s">
        <v>708</v>
      </c>
      <c r="V4" s="8" t="s">
        <v>625</v>
      </c>
      <c r="W4" s="8"/>
      <c r="X4" s="8"/>
      <c r="Y4" s="8" t="s">
        <v>64</v>
      </c>
      <c r="Z4" s="8" t="s">
        <v>226</v>
      </c>
      <c r="AA4" s="8"/>
      <c r="AB4" s="8"/>
      <c r="AC4" s="8"/>
      <c r="AD4" s="8"/>
      <c r="AE4" s="8"/>
      <c r="AF4" s="8"/>
      <c r="AG4" s="8"/>
      <c r="AH4" s="8"/>
      <c r="AI4" s="8"/>
      <c r="AJ4" s="8"/>
      <c r="AK4" s="8"/>
      <c r="AL4" s="8"/>
      <c r="AM4" s="8"/>
      <c r="AN4" s="8"/>
      <c r="AO4" s="8"/>
      <c r="AP4" s="8"/>
      <c r="AQ4" s="8"/>
      <c r="AR4" s="8"/>
      <c r="AS4" s="9"/>
    </row>
    <row r="5" spans="1:45" ht="26" customHeight="1">
      <c r="A5" s="7" t="s">
        <v>526</v>
      </c>
      <c r="B5" s="8" t="s">
        <v>1186</v>
      </c>
      <c r="C5" s="8" t="s">
        <v>1187</v>
      </c>
      <c r="D5" s="8"/>
      <c r="E5" s="8"/>
      <c r="F5" s="8" t="s">
        <v>1174</v>
      </c>
      <c r="G5" s="8" t="s">
        <v>1175</v>
      </c>
      <c r="H5" s="8" t="s">
        <v>1176</v>
      </c>
      <c r="I5" s="28">
        <v>252196.40049000009</v>
      </c>
      <c r="J5" s="28">
        <v>336261.86732000019</v>
      </c>
      <c r="K5" s="8" t="s">
        <v>329</v>
      </c>
      <c r="L5" s="8">
        <v>17</v>
      </c>
      <c r="M5" s="14">
        <v>1</v>
      </c>
      <c r="N5" s="14">
        <v>0</v>
      </c>
      <c r="O5" s="8">
        <v>0.05</v>
      </c>
      <c r="P5" s="8" t="s">
        <v>339</v>
      </c>
      <c r="Q5" s="8" t="s">
        <v>1181</v>
      </c>
      <c r="R5" s="8" t="s">
        <v>1182</v>
      </c>
      <c r="S5" s="8"/>
      <c r="T5" s="8" t="s">
        <v>1188</v>
      </c>
      <c r="U5" s="8" t="s">
        <v>642</v>
      </c>
      <c r="V5" s="8" t="s">
        <v>732</v>
      </c>
      <c r="W5" s="8" t="s">
        <v>734</v>
      </c>
      <c r="X5" s="8" t="s">
        <v>716</v>
      </c>
      <c r="Y5" s="8" t="s">
        <v>733</v>
      </c>
      <c r="Z5" s="8"/>
      <c r="AA5" s="8"/>
      <c r="AB5" s="8"/>
      <c r="AC5" s="8"/>
      <c r="AD5" s="8"/>
      <c r="AE5" s="8"/>
      <c r="AF5" s="8" t="s">
        <v>1189</v>
      </c>
      <c r="AG5" s="8"/>
      <c r="AH5" s="8"/>
      <c r="AI5" s="8"/>
      <c r="AJ5" s="8"/>
      <c r="AK5" s="8"/>
      <c r="AL5" s="8"/>
      <c r="AM5" s="8"/>
      <c r="AN5" s="8"/>
      <c r="AO5" s="8"/>
      <c r="AP5" s="8"/>
      <c r="AQ5" s="8"/>
      <c r="AR5" s="8"/>
      <c r="AS5" s="9"/>
    </row>
    <row r="6" spans="1:45">
      <c r="A6" s="7" t="s">
        <v>379</v>
      </c>
      <c r="B6" s="8"/>
      <c r="C6" s="8"/>
      <c r="D6" s="8" t="s">
        <v>1190</v>
      </c>
      <c r="E6" s="8"/>
      <c r="F6" s="8" t="s">
        <v>1174</v>
      </c>
      <c r="G6" s="8" t="s">
        <v>1175</v>
      </c>
      <c r="H6" s="8" t="s">
        <v>1176</v>
      </c>
      <c r="I6" s="28">
        <v>1422373.6117999989</v>
      </c>
      <c r="J6" s="28">
        <v>1896498.1490666659</v>
      </c>
      <c r="K6" s="8" t="s">
        <v>329</v>
      </c>
      <c r="L6" s="8"/>
      <c r="M6" s="14">
        <v>0</v>
      </c>
      <c r="N6" s="14">
        <v>1</v>
      </c>
      <c r="O6" s="8" t="s">
        <v>226</v>
      </c>
      <c r="P6" s="8" t="s">
        <v>350</v>
      </c>
      <c r="Q6" s="8" t="s">
        <v>1181</v>
      </c>
      <c r="R6" s="8"/>
      <c r="S6" s="8"/>
      <c r="T6" s="8" t="s">
        <v>381</v>
      </c>
      <c r="U6" s="8" t="s">
        <v>385</v>
      </c>
      <c r="V6" s="8"/>
      <c r="W6" s="8"/>
      <c r="X6" s="8"/>
      <c r="Y6" s="8" t="s">
        <v>64</v>
      </c>
      <c r="Z6" s="8" t="s">
        <v>226</v>
      </c>
      <c r="AA6" s="8"/>
      <c r="AB6" s="8"/>
      <c r="AC6" s="8"/>
      <c r="AD6" s="8"/>
      <c r="AE6" s="8"/>
      <c r="AF6" s="8"/>
      <c r="AG6" s="8"/>
      <c r="AH6" s="8"/>
      <c r="AI6" s="8"/>
      <c r="AJ6" s="8"/>
      <c r="AK6" s="8"/>
      <c r="AL6" s="8"/>
      <c r="AM6" s="8"/>
      <c r="AN6" s="8"/>
      <c r="AO6" s="8"/>
      <c r="AP6" s="8"/>
      <c r="AQ6" s="8"/>
      <c r="AR6" s="8"/>
      <c r="AS6" s="9"/>
    </row>
    <row r="7" spans="1:45" ht="39" customHeight="1">
      <c r="A7" s="7" t="s">
        <v>457</v>
      </c>
      <c r="B7" s="8" t="s">
        <v>1191</v>
      </c>
      <c r="C7" s="8" t="s">
        <v>1192</v>
      </c>
      <c r="D7" s="8" t="s">
        <v>1193</v>
      </c>
      <c r="E7" s="8" t="s">
        <v>1194</v>
      </c>
      <c r="F7" s="8" t="s">
        <v>1174</v>
      </c>
      <c r="G7" s="8" t="s">
        <v>1175</v>
      </c>
      <c r="H7" s="8" t="s">
        <v>1176</v>
      </c>
      <c r="I7" s="28">
        <v>658127.70825000003</v>
      </c>
      <c r="J7" s="28">
        <v>877503.61100000003</v>
      </c>
      <c r="K7" s="8" t="s">
        <v>329</v>
      </c>
      <c r="L7" s="8">
        <v>832</v>
      </c>
      <c r="M7" s="14">
        <v>0.2</v>
      </c>
      <c r="N7" s="14">
        <v>0.8</v>
      </c>
      <c r="O7" s="8"/>
      <c r="P7" s="8" t="s">
        <v>328</v>
      </c>
      <c r="Q7" s="8" t="s">
        <v>1181</v>
      </c>
      <c r="R7" s="8" t="s">
        <v>1182</v>
      </c>
      <c r="S7" s="8" t="s">
        <v>1183</v>
      </c>
      <c r="T7" s="8"/>
      <c r="U7" s="8" t="s">
        <v>703</v>
      </c>
      <c r="V7" s="8" t="s">
        <v>696</v>
      </c>
      <c r="W7" s="8" t="s">
        <v>700</v>
      </c>
      <c r="X7" s="8" t="s">
        <v>698</v>
      </c>
      <c r="Y7" s="8" t="s">
        <v>697</v>
      </c>
      <c r="Z7" s="8"/>
      <c r="AA7" s="8"/>
      <c r="AB7" s="8"/>
      <c r="AC7" s="8"/>
      <c r="AD7" s="8"/>
      <c r="AE7" s="8"/>
      <c r="AF7" s="8"/>
      <c r="AG7" s="8"/>
      <c r="AH7" s="8"/>
      <c r="AI7" s="8"/>
      <c r="AJ7" s="8"/>
      <c r="AK7" s="8"/>
      <c r="AL7" s="8"/>
      <c r="AM7" s="8"/>
      <c r="AN7" s="8"/>
      <c r="AO7" s="8"/>
      <c r="AP7" s="8"/>
      <c r="AQ7" s="8"/>
      <c r="AR7" s="8"/>
      <c r="AS7" s="9"/>
    </row>
    <row r="8" spans="1:45" ht="39" customHeight="1">
      <c r="A8" s="7" t="s">
        <v>437</v>
      </c>
      <c r="B8" s="8"/>
      <c r="C8" s="8" t="s">
        <v>1195</v>
      </c>
      <c r="D8" s="8"/>
      <c r="E8" s="8"/>
      <c r="F8" s="8" t="s">
        <v>1174</v>
      </c>
      <c r="G8" s="8" t="s">
        <v>1175</v>
      </c>
      <c r="H8" s="8" t="s">
        <v>1176</v>
      </c>
      <c r="I8" s="28">
        <v>775765.35310000123</v>
      </c>
      <c r="J8" s="28">
        <v>1034353.804133335</v>
      </c>
      <c r="K8" s="8" t="s">
        <v>329</v>
      </c>
      <c r="L8" s="8">
        <v>600</v>
      </c>
      <c r="M8" s="14">
        <v>1</v>
      </c>
      <c r="N8" s="14">
        <v>0</v>
      </c>
      <c r="O8" s="8" t="s">
        <v>226</v>
      </c>
      <c r="P8" s="8" t="s">
        <v>350</v>
      </c>
      <c r="Q8" s="8" t="s">
        <v>1181</v>
      </c>
      <c r="R8" s="8" t="s">
        <v>1182</v>
      </c>
      <c r="S8" s="8"/>
      <c r="T8" s="8" t="s">
        <v>1196</v>
      </c>
      <c r="U8" s="8" t="s">
        <v>686</v>
      </c>
      <c r="V8" s="8" t="s">
        <v>642</v>
      </c>
      <c r="W8" s="8"/>
      <c r="X8" s="8"/>
      <c r="Y8" s="8" t="s">
        <v>64</v>
      </c>
      <c r="Z8" s="8" t="s">
        <v>226</v>
      </c>
      <c r="AA8" s="8"/>
      <c r="AB8" s="8"/>
      <c r="AC8" s="8"/>
      <c r="AD8" s="8"/>
      <c r="AE8" s="8"/>
      <c r="AF8" s="8"/>
      <c r="AG8" s="8"/>
      <c r="AH8" s="8"/>
      <c r="AI8" s="8"/>
      <c r="AJ8" s="8"/>
      <c r="AK8" s="8"/>
      <c r="AL8" s="8"/>
      <c r="AM8" s="8"/>
      <c r="AN8" s="8"/>
      <c r="AO8" s="8"/>
      <c r="AP8" s="8"/>
      <c r="AQ8" s="8"/>
      <c r="AR8" s="8"/>
      <c r="AS8" s="9"/>
    </row>
    <row r="9" spans="1:45" ht="26" customHeight="1">
      <c r="A9" s="7" t="s">
        <v>327</v>
      </c>
      <c r="B9" s="8" t="s">
        <v>1197</v>
      </c>
      <c r="C9" s="8" t="s">
        <v>1198</v>
      </c>
      <c r="D9" s="8" t="s">
        <v>1199</v>
      </c>
      <c r="E9" s="8"/>
      <c r="F9" s="8" t="s">
        <v>1174</v>
      </c>
      <c r="G9" s="8" t="s">
        <v>1175</v>
      </c>
      <c r="H9" s="8" t="s">
        <v>1176</v>
      </c>
      <c r="I9" s="28">
        <v>559666.27870000037</v>
      </c>
      <c r="J9" s="28">
        <v>746221.70493333379</v>
      </c>
      <c r="K9" s="8" t="s">
        <v>329</v>
      </c>
      <c r="L9" s="8">
        <v>537</v>
      </c>
      <c r="M9" s="14">
        <v>0.3</v>
      </c>
      <c r="N9" s="14">
        <v>0.7</v>
      </c>
      <c r="O9" s="8"/>
      <c r="P9" s="8" t="s">
        <v>328</v>
      </c>
      <c r="Q9" s="8" t="s">
        <v>1181</v>
      </c>
      <c r="R9" s="8" t="s">
        <v>1182</v>
      </c>
      <c r="S9" s="8" t="s">
        <v>1183</v>
      </c>
      <c r="T9" s="8"/>
      <c r="U9" s="8" t="s">
        <v>624</v>
      </c>
      <c r="V9" s="8" t="s">
        <v>625</v>
      </c>
      <c r="W9" s="8"/>
      <c r="X9" s="8" t="s">
        <v>627</v>
      </c>
      <c r="Y9" s="8" t="s">
        <v>626</v>
      </c>
      <c r="Z9" s="8" t="s">
        <v>1200</v>
      </c>
      <c r="AA9" s="8"/>
      <c r="AB9" s="8"/>
      <c r="AC9" s="8"/>
      <c r="AD9" s="8"/>
      <c r="AE9" s="8"/>
      <c r="AF9" s="8"/>
      <c r="AG9" s="8"/>
      <c r="AH9" s="8"/>
      <c r="AI9" s="8"/>
      <c r="AJ9" s="8"/>
      <c r="AK9" s="8"/>
      <c r="AL9" s="8"/>
      <c r="AM9" s="8"/>
      <c r="AN9" s="8"/>
      <c r="AO9" s="8"/>
      <c r="AP9" s="8"/>
      <c r="AQ9" s="8"/>
      <c r="AR9" s="8"/>
      <c r="AS9" s="9"/>
    </row>
    <row r="10" spans="1:45" ht="26" customHeight="1">
      <c r="A10" s="7" t="s">
        <v>515</v>
      </c>
      <c r="B10" s="8" t="s">
        <v>1201</v>
      </c>
      <c r="C10" s="8" t="s">
        <v>1202</v>
      </c>
      <c r="D10" s="8"/>
      <c r="E10" s="8" t="s">
        <v>1203</v>
      </c>
      <c r="F10" s="8" t="s">
        <v>1174</v>
      </c>
      <c r="G10" s="8" t="s">
        <v>1175</v>
      </c>
      <c r="H10" s="8" t="s">
        <v>1176</v>
      </c>
      <c r="I10" s="28">
        <v>6034262.6019999981</v>
      </c>
      <c r="J10" s="28">
        <v>8045683.4693333302</v>
      </c>
      <c r="K10" s="8" t="s">
        <v>340</v>
      </c>
      <c r="L10" s="8">
        <v>7000</v>
      </c>
      <c r="M10" s="14">
        <v>0.05</v>
      </c>
      <c r="N10" s="14">
        <v>0.95</v>
      </c>
      <c r="O10" s="8" t="s">
        <v>64</v>
      </c>
      <c r="P10" s="8" t="s">
        <v>360</v>
      </c>
      <c r="Q10" s="8" t="s">
        <v>1204</v>
      </c>
      <c r="R10" s="8" t="s">
        <v>1182</v>
      </c>
      <c r="S10" s="8" t="s">
        <v>1183</v>
      </c>
      <c r="T10" s="8"/>
      <c r="U10" s="8" t="s">
        <v>729</v>
      </c>
      <c r="V10" s="8" t="s">
        <v>730</v>
      </c>
      <c r="W10" s="8" t="s">
        <v>620</v>
      </c>
      <c r="X10" s="8" t="s">
        <v>64</v>
      </c>
      <c r="Y10" s="8" t="s">
        <v>64</v>
      </c>
      <c r="Z10" s="8"/>
      <c r="AA10" s="8"/>
      <c r="AB10" s="8"/>
      <c r="AC10" s="8"/>
      <c r="AD10" s="8"/>
      <c r="AE10" s="8"/>
      <c r="AF10" s="8"/>
      <c r="AG10" s="8"/>
      <c r="AH10" s="8"/>
      <c r="AI10" s="8"/>
      <c r="AJ10" s="8"/>
      <c r="AK10" s="8"/>
      <c r="AL10" s="8"/>
      <c r="AM10" s="8"/>
      <c r="AN10" s="8"/>
      <c r="AO10" s="8"/>
      <c r="AP10" s="8"/>
      <c r="AQ10" s="8"/>
      <c r="AR10" s="8"/>
      <c r="AS10" s="9"/>
    </row>
    <row r="11" spans="1:45" ht="26" customHeight="1">
      <c r="A11" s="7" t="s">
        <v>631</v>
      </c>
      <c r="B11" s="8" t="s">
        <v>1205</v>
      </c>
      <c r="C11" s="8" t="s">
        <v>1206</v>
      </c>
      <c r="D11" s="8" t="s">
        <v>1207</v>
      </c>
      <c r="E11" s="8" t="s">
        <v>1208</v>
      </c>
      <c r="F11" s="8" t="s">
        <v>1174</v>
      </c>
      <c r="G11" s="8" t="s">
        <v>1175</v>
      </c>
      <c r="H11" s="8" t="s">
        <v>1176</v>
      </c>
      <c r="I11" s="28"/>
      <c r="J11" s="28">
        <v>1400000</v>
      </c>
      <c r="K11" s="8" t="s">
        <v>340</v>
      </c>
      <c r="L11" s="8">
        <v>1316</v>
      </c>
      <c r="M11" s="14">
        <v>0.72</v>
      </c>
      <c r="N11" s="14">
        <v>0.28000000000000003</v>
      </c>
      <c r="O11" s="8"/>
      <c r="P11" s="8" t="s">
        <v>328</v>
      </c>
      <c r="Q11" s="8" t="s">
        <v>1181</v>
      </c>
      <c r="R11" s="8" t="s">
        <v>1182</v>
      </c>
      <c r="S11" s="8" t="s">
        <v>1183</v>
      </c>
      <c r="T11" s="8"/>
      <c r="U11" s="8" t="s">
        <v>1209</v>
      </c>
      <c r="V11" s="8" t="s">
        <v>633</v>
      </c>
      <c r="W11" s="8" t="s">
        <v>637</v>
      </c>
      <c r="X11" s="8"/>
      <c r="Y11" s="8"/>
      <c r="Z11" s="8" t="s">
        <v>1210</v>
      </c>
      <c r="AA11" s="8"/>
      <c r="AB11" s="8"/>
      <c r="AC11" s="8"/>
      <c r="AD11" s="8"/>
      <c r="AE11" s="8"/>
      <c r="AF11" s="8"/>
      <c r="AG11" s="8"/>
      <c r="AH11" s="8"/>
      <c r="AI11" s="8"/>
      <c r="AJ11" s="8"/>
      <c r="AK11" s="8"/>
      <c r="AL11" s="8"/>
      <c r="AM11" s="8"/>
      <c r="AN11" s="8"/>
      <c r="AO11" s="8"/>
      <c r="AP11" s="8"/>
      <c r="AQ11" s="8"/>
      <c r="AR11" s="8"/>
      <c r="AS11" s="9"/>
    </row>
    <row r="12" spans="1:45" ht="39" customHeight="1">
      <c r="A12" s="7" t="s">
        <v>411</v>
      </c>
      <c r="B12" s="8" t="s">
        <v>1211</v>
      </c>
      <c r="C12" s="8">
        <v>72452</v>
      </c>
      <c r="D12" s="8"/>
      <c r="E12" s="8"/>
      <c r="F12" s="8" t="s">
        <v>1174</v>
      </c>
      <c r="G12" s="8" t="s">
        <v>1175</v>
      </c>
      <c r="H12" s="8" t="s">
        <v>1176</v>
      </c>
      <c r="I12" s="28">
        <v>235629.40641</v>
      </c>
      <c r="J12" s="28">
        <v>314172.54187999998</v>
      </c>
      <c r="K12" s="8" t="s">
        <v>329</v>
      </c>
      <c r="L12" s="8">
        <v>137</v>
      </c>
      <c r="M12" s="14">
        <v>1</v>
      </c>
      <c r="N12" s="14">
        <v>0</v>
      </c>
      <c r="O12" s="8">
        <v>0</v>
      </c>
      <c r="P12" s="8" t="s">
        <v>339</v>
      </c>
      <c r="Q12" s="8" t="s">
        <v>1177</v>
      </c>
      <c r="R12" s="8" t="s">
        <v>1182</v>
      </c>
      <c r="S12" s="8"/>
      <c r="T12" s="8" t="s">
        <v>1212</v>
      </c>
      <c r="U12" s="8" t="s">
        <v>682</v>
      </c>
      <c r="V12" s="8" t="s">
        <v>683</v>
      </c>
      <c r="W12" s="8" t="s">
        <v>685</v>
      </c>
      <c r="X12" s="8"/>
      <c r="Y12" s="8" t="s">
        <v>684</v>
      </c>
      <c r="Z12" s="8"/>
      <c r="AA12" s="8"/>
      <c r="AB12" s="8"/>
      <c r="AC12" s="8"/>
      <c r="AD12" s="8"/>
      <c r="AE12" s="8"/>
      <c r="AF12" s="8"/>
      <c r="AG12" s="8"/>
      <c r="AH12" s="8"/>
      <c r="AI12" s="8"/>
      <c r="AJ12" s="8"/>
      <c r="AK12" s="8"/>
      <c r="AL12" s="8"/>
      <c r="AM12" s="8"/>
      <c r="AN12" s="8"/>
      <c r="AO12" s="8"/>
      <c r="AP12" s="8"/>
      <c r="AQ12" s="8"/>
      <c r="AR12" s="8"/>
      <c r="AS12" s="9"/>
    </row>
    <row r="13" spans="1:45">
      <c r="A13" s="7" t="s">
        <v>554</v>
      </c>
      <c r="B13" s="8"/>
      <c r="C13" s="8" t="s">
        <v>1213</v>
      </c>
      <c r="D13" s="8"/>
      <c r="E13" s="8"/>
      <c r="F13" s="8" t="s">
        <v>1174</v>
      </c>
      <c r="G13" s="8" t="s">
        <v>1175</v>
      </c>
      <c r="H13" s="8" t="s">
        <v>1176</v>
      </c>
      <c r="I13" s="28">
        <v>383181.43403300003</v>
      </c>
      <c r="J13" s="28">
        <v>510908.57871066668</v>
      </c>
      <c r="K13" s="8" t="s">
        <v>329</v>
      </c>
      <c r="L13" s="8"/>
      <c r="M13" s="14"/>
      <c r="N13" s="14"/>
      <c r="O13" s="8" t="s">
        <v>226</v>
      </c>
      <c r="P13" s="8" t="s">
        <v>350</v>
      </c>
      <c r="Q13" s="8" t="s">
        <v>1181</v>
      </c>
      <c r="R13" s="8"/>
      <c r="S13" s="8"/>
      <c r="T13" s="8" t="s">
        <v>1214</v>
      </c>
      <c r="U13" s="8" t="s">
        <v>745</v>
      </c>
      <c r="V13" s="8" t="s">
        <v>745</v>
      </c>
      <c r="W13" s="8"/>
      <c r="X13" s="8"/>
      <c r="Y13" s="8" t="s">
        <v>64</v>
      </c>
      <c r="Z13" s="8" t="s">
        <v>226</v>
      </c>
      <c r="AA13" s="8"/>
      <c r="AB13" s="8"/>
      <c r="AC13" s="8"/>
      <c r="AD13" s="8"/>
      <c r="AE13" s="8"/>
      <c r="AF13" s="8"/>
      <c r="AG13" s="8"/>
      <c r="AH13" s="8"/>
      <c r="AI13" s="8"/>
      <c r="AJ13" s="8"/>
      <c r="AK13" s="8"/>
      <c r="AL13" s="8"/>
      <c r="AM13" s="8"/>
      <c r="AN13" s="8"/>
      <c r="AO13" s="8"/>
      <c r="AP13" s="8"/>
      <c r="AQ13" s="8"/>
      <c r="AR13" s="8"/>
      <c r="AS13" s="9"/>
    </row>
    <row r="14" spans="1:45">
      <c r="A14" s="7" t="s">
        <v>520</v>
      </c>
      <c r="B14" s="8"/>
      <c r="C14" s="8" t="s">
        <v>1215</v>
      </c>
      <c r="D14" s="8" t="s">
        <v>1216</v>
      </c>
      <c r="E14" s="8" t="s">
        <v>1217</v>
      </c>
      <c r="F14" s="8" t="s">
        <v>1174</v>
      </c>
      <c r="G14" s="8" t="s">
        <v>1175</v>
      </c>
      <c r="H14" s="8" t="s">
        <v>1176</v>
      </c>
      <c r="I14" s="28">
        <v>646798.59819999966</v>
      </c>
      <c r="J14" s="28">
        <v>862398.13093333296</v>
      </c>
      <c r="K14" s="8" t="s">
        <v>329</v>
      </c>
      <c r="L14" s="8">
        <v>1200</v>
      </c>
      <c r="M14" s="14">
        <v>0.1</v>
      </c>
      <c r="N14" s="14">
        <v>0.9</v>
      </c>
      <c r="O14" s="8" t="s">
        <v>226</v>
      </c>
      <c r="P14" s="8" t="s">
        <v>350</v>
      </c>
      <c r="Q14" s="8" t="s">
        <v>1204</v>
      </c>
      <c r="R14" s="8" t="s">
        <v>1182</v>
      </c>
      <c r="S14" s="8" t="s">
        <v>1183</v>
      </c>
      <c r="T14" s="8" t="s">
        <v>1218</v>
      </c>
      <c r="U14" s="8" t="s">
        <v>728</v>
      </c>
      <c r="V14" s="8" t="s">
        <v>728</v>
      </c>
      <c r="W14" s="8"/>
      <c r="X14" s="8"/>
      <c r="Y14" s="8" t="s">
        <v>731</v>
      </c>
      <c r="Z14" s="8" t="s">
        <v>226</v>
      </c>
      <c r="AA14" s="8"/>
      <c r="AB14" s="8"/>
      <c r="AC14" s="8"/>
      <c r="AD14" s="8"/>
      <c r="AE14" s="8"/>
      <c r="AF14" s="8"/>
      <c r="AG14" s="8"/>
      <c r="AH14" s="8"/>
      <c r="AI14" s="8"/>
      <c r="AJ14" s="8"/>
      <c r="AK14" s="8"/>
      <c r="AL14" s="8"/>
      <c r="AM14" s="8"/>
      <c r="AN14" s="8"/>
      <c r="AO14" s="8"/>
      <c r="AP14" s="8"/>
      <c r="AQ14" s="8"/>
      <c r="AR14" s="8"/>
      <c r="AS14" s="9"/>
    </row>
    <row r="15" spans="1:45" ht="26" customHeight="1">
      <c r="A15" s="7" t="s">
        <v>338</v>
      </c>
      <c r="B15" s="8" t="s">
        <v>1219</v>
      </c>
      <c r="C15" s="8" t="s">
        <v>1220</v>
      </c>
      <c r="D15" s="8" t="s">
        <v>1221</v>
      </c>
      <c r="E15" s="8" t="s">
        <v>1222</v>
      </c>
      <c r="F15" s="8" t="s">
        <v>1174</v>
      </c>
      <c r="G15" s="8" t="s">
        <v>1175</v>
      </c>
      <c r="H15" s="8" t="s">
        <v>1176</v>
      </c>
      <c r="I15" s="28">
        <v>1965606.73958453</v>
      </c>
      <c r="J15" s="28">
        <v>2620808.9861127059</v>
      </c>
      <c r="K15" s="8" t="s">
        <v>340</v>
      </c>
      <c r="L15" s="8">
        <v>1500</v>
      </c>
      <c r="M15" s="14">
        <v>0.4</v>
      </c>
      <c r="N15" s="14">
        <v>0.6</v>
      </c>
      <c r="O15" s="8">
        <v>0</v>
      </c>
      <c r="P15" s="8" t="s">
        <v>339</v>
      </c>
      <c r="Q15" s="8" t="s">
        <v>1177</v>
      </c>
      <c r="R15" s="8" t="s">
        <v>1182</v>
      </c>
      <c r="S15" s="8" t="s">
        <v>1223</v>
      </c>
      <c r="T15" s="8" t="s">
        <v>1224</v>
      </c>
      <c r="U15" s="8" t="s">
        <v>1225</v>
      </c>
      <c r="V15" s="8" t="s">
        <v>1226</v>
      </c>
      <c r="W15" s="8" t="s">
        <v>1227</v>
      </c>
      <c r="X15" s="8" t="s">
        <v>660</v>
      </c>
      <c r="Y15" s="8" t="s">
        <v>697</v>
      </c>
      <c r="Z15" s="8"/>
      <c r="AA15" s="8"/>
      <c r="AB15" s="8"/>
      <c r="AC15" s="8"/>
      <c r="AD15" s="8"/>
      <c r="AE15" s="8"/>
      <c r="AF15" s="8"/>
      <c r="AG15" s="8"/>
      <c r="AH15" s="8"/>
      <c r="AI15" s="8"/>
      <c r="AJ15" s="8"/>
      <c r="AK15" s="8"/>
      <c r="AL15" s="8"/>
      <c r="AM15" s="8"/>
      <c r="AN15" s="8"/>
      <c r="AO15" s="8"/>
      <c r="AP15" s="8"/>
      <c r="AQ15" s="8"/>
      <c r="AR15" s="8"/>
      <c r="AS15" s="9"/>
    </row>
    <row r="16" spans="1:45" ht="169" customHeight="1">
      <c r="A16" s="7" t="s">
        <v>349</v>
      </c>
      <c r="B16" s="8"/>
      <c r="C16" s="8"/>
      <c r="D16" s="8" t="s">
        <v>1228</v>
      </c>
      <c r="E16" s="8" t="s">
        <v>1229</v>
      </c>
      <c r="F16" s="8" t="s">
        <v>1174</v>
      </c>
      <c r="G16" s="8" t="s">
        <v>1175</v>
      </c>
      <c r="H16" s="8" t="s">
        <v>1176</v>
      </c>
      <c r="I16" s="28">
        <v>493273.21811294812</v>
      </c>
      <c r="J16" s="28">
        <v>657697.62415059749</v>
      </c>
      <c r="K16" s="8" t="s">
        <v>329</v>
      </c>
      <c r="L16" s="8">
        <v>2600</v>
      </c>
      <c r="M16" s="14"/>
      <c r="N16" s="14" t="s">
        <v>1230</v>
      </c>
      <c r="O16" s="8" t="s">
        <v>226</v>
      </c>
      <c r="P16" s="8" t="s">
        <v>350</v>
      </c>
      <c r="Q16" s="8" t="s">
        <v>1177</v>
      </c>
      <c r="R16" s="8" t="s">
        <v>1182</v>
      </c>
      <c r="S16" s="8" t="s">
        <v>1223</v>
      </c>
      <c r="T16" s="8" t="s">
        <v>642</v>
      </c>
      <c r="U16" s="8" t="s">
        <v>1231</v>
      </c>
      <c r="V16" s="8" t="s">
        <v>642</v>
      </c>
      <c r="W16" s="8"/>
      <c r="X16" s="8" t="s">
        <v>1232</v>
      </c>
      <c r="Y16" s="8" t="s">
        <v>64</v>
      </c>
      <c r="Z16" s="8" t="s">
        <v>226</v>
      </c>
      <c r="AA16" s="8"/>
      <c r="AB16" s="8"/>
      <c r="AC16" s="8"/>
      <c r="AD16" s="8"/>
      <c r="AE16" s="8"/>
      <c r="AF16" s="8"/>
      <c r="AG16" s="8"/>
      <c r="AH16" s="8"/>
      <c r="AI16" s="8"/>
      <c r="AJ16" s="8"/>
      <c r="AK16" s="8"/>
      <c r="AL16" s="8"/>
      <c r="AM16" s="8"/>
      <c r="AN16" s="8"/>
      <c r="AO16" s="8"/>
      <c r="AP16" s="8"/>
      <c r="AQ16" s="8"/>
      <c r="AR16" s="8"/>
      <c r="AS16" s="9">
        <v>110000000</v>
      </c>
    </row>
    <row r="17" spans="1:45" ht="26" customHeight="1">
      <c r="A17" s="7" t="s">
        <v>419</v>
      </c>
      <c r="B17" s="8" t="s">
        <v>1233</v>
      </c>
      <c r="C17" s="8" t="s">
        <v>1234</v>
      </c>
      <c r="D17" s="8" t="s">
        <v>1235</v>
      </c>
      <c r="E17" s="8" t="s">
        <v>1236</v>
      </c>
      <c r="F17" s="8" t="s">
        <v>1174</v>
      </c>
      <c r="G17" s="8" t="s">
        <v>1175</v>
      </c>
      <c r="H17" s="8" t="s">
        <v>1176</v>
      </c>
      <c r="I17" s="28">
        <v>261286.77439999959</v>
      </c>
      <c r="J17" s="28">
        <v>348382.36586666619</v>
      </c>
      <c r="K17" s="8" t="s">
        <v>329</v>
      </c>
      <c r="L17" s="8">
        <v>500</v>
      </c>
      <c r="M17" s="14">
        <v>0.1</v>
      </c>
      <c r="N17" s="14">
        <v>0.9</v>
      </c>
      <c r="O17" s="8">
        <v>0</v>
      </c>
      <c r="P17" s="8" t="s">
        <v>339</v>
      </c>
      <c r="Q17" s="8" t="s">
        <v>1237</v>
      </c>
      <c r="R17" s="8" t="s">
        <v>1182</v>
      </c>
      <c r="S17" s="8"/>
      <c r="T17" s="8" t="s">
        <v>1238</v>
      </c>
      <c r="U17" s="8" t="s">
        <v>1239</v>
      </c>
      <c r="V17" s="8" t="s">
        <v>675</v>
      </c>
      <c r="W17" s="8" t="s">
        <v>1240</v>
      </c>
      <c r="X17" s="8"/>
      <c r="Y17" s="8"/>
      <c r="Z17" s="8" t="s">
        <v>689</v>
      </c>
      <c r="AA17" s="8"/>
      <c r="AB17" s="8"/>
      <c r="AC17" s="8"/>
      <c r="AD17" s="8"/>
      <c r="AE17" s="8"/>
      <c r="AF17" s="8"/>
      <c r="AG17" s="8"/>
      <c r="AH17" s="8"/>
      <c r="AI17" s="8"/>
      <c r="AJ17" s="8"/>
      <c r="AK17" s="8"/>
      <c r="AL17" s="8"/>
      <c r="AM17" s="8"/>
      <c r="AN17" s="8"/>
      <c r="AO17" s="8"/>
      <c r="AP17" s="8"/>
      <c r="AQ17" s="8"/>
      <c r="AR17" s="8"/>
      <c r="AS17" s="9"/>
    </row>
    <row r="18" spans="1:45" ht="39" customHeight="1">
      <c r="A18" s="7" t="s">
        <v>466</v>
      </c>
      <c r="B18" s="8" t="s">
        <v>1191</v>
      </c>
      <c r="C18" s="8" t="s">
        <v>1241</v>
      </c>
      <c r="D18" s="8" t="s">
        <v>1242</v>
      </c>
      <c r="E18" s="8" t="s">
        <v>1243</v>
      </c>
      <c r="F18" s="8" t="s">
        <v>1174</v>
      </c>
      <c r="G18" s="8" t="s">
        <v>1175</v>
      </c>
      <c r="H18" s="8" t="s">
        <v>1176</v>
      </c>
      <c r="I18" s="28">
        <v>752621.4497</v>
      </c>
      <c r="J18" s="28">
        <v>1003495.2662666671</v>
      </c>
      <c r="K18" s="8" t="s">
        <v>329</v>
      </c>
      <c r="L18" s="8">
        <v>640</v>
      </c>
      <c r="M18" s="14">
        <v>0.01</v>
      </c>
      <c r="N18" s="14">
        <v>0.99</v>
      </c>
      <c r="O18" s="8"/>
      <c r="P18" s="8" t="s">
        <v>328</v>
      </c>
      <c r="Q18" s="8" t="s">
        <v>1181</v>
      </c>
      <c r="R18" s="8" t="s">
        <v>1182</v>
      </c>
      <c r="S18" s="8" t="s">
        <v>1183</v>
      </c>
      <c r="T18" s="8"/>
      <c r="U18" s="8" t="s">
        <v>703</v>
      </c>
      <c r="V18" s="8" t="s">
        <v>696</v>
      </c>
      <c r="W18" s="8"/>
      <c r="X18" s="8"/>
      <c r="Y18" s="8" t="s">
        <v>697</v>
      </c>
      <c r="Z18" s="8"/>
      <c r="AA18" s="8"/>
      <c r="AB18" s="8"/>
      <c r="AC18" s="8"/>
      <c r="AD18" s="8"/>
      <c r="AE18" s="8"/>
      <c r="AF18" s="8"/>
      <c r="AG18" s="8"/>
      <c r="AH18" s="8"/>
      <c r="AI18" s="8"/>
      <c r="AJ18" s="8"/>
      <c r="AK18" s="8"/>
      <c r="AL18" s="8"/>
      <c r="AM18" s="8"/>
      <c r="AN18" s="8"/>
      <c r="AO18" s="8"/>
      <c r="AP18" s="8"/>
      <c r="AQ18" s="8"/>
      <c r="AR18" s="8"/>
      <c r="AS18" s="9"/>
    </row>
    <row r="19" spans="1:45" ht="26" customHeight="1">
      <c r="A19" s="7" t="s">
        <v>487</v>
      </c>
      <c r="B19" s="8" t="s">
        <v>1244</v>
      </c>
      <c r="C19" s="8" t="s">
        <v>1245</v>
      </c>
      <c r="D19" s="8"/>
      <c r="E19" s="8"/>
      <c r="F19" s="8" t="s">
        <v>1174</v>
      </c>
      <c r="G19" s="8" t="s">
        <v>1175</v>
      </c>
      <c r="H19" s="8" t="s">
        <v>1176</v>
      </c>
      <c r="I19" s="28">
        <v>283860.71379800001</v>
      </c>
      <c r="J19" s="28">
        <v>378480.95173066662</v>
      </c>
      <c r="K19" s="8" t="s">
        <v>329</v>
      </c>
      <c r="L19" s="8">
        <v>67</v>
      </c>
      <c r="M19" s="14">
        <v>1</v>
      </c>
      <c r="N19" s="14">
        <v>0</v>
      </c>
      <c r="O19" s="8"/>
      <c r="P19" s="8" t="s">
        <v>328</v>
      </c>
      <c r="Q19" s="8" t="s">
        <v>1177</v>
      </c>
      <c r="R19" s="8" t="s">
        <v>1182</v>
      </c>
      <c r="S19" s="8"/>
      <c r="T19" s="8"/>
      <c r="U19" s="8" t="s">
        <v>1246</v>
      </c>
      <c r="V19" s="8" t="s">
        <v>710</v>
      </c>
      <c r="W19" s="8"/>
      <c r="X19" s="8"/>
      <c r="Y19" s="8" t="s">
        <v>697</v>
      </c>
      <c r="Z19" s="8"/>
      <c r="AA19" s="8"/>
      <c r="AB19" s="8"/>
      <c r="AC19" s="8"/>
      <c r="AD19" s="8"/>
      <c r="AE19" s="8"/>
      <c r="AF19" s="8"/>
      <c r="AG19" s="8"/>
      <c r="AH19" s="8"/>
      <c r="AI19" s="8"/>
      <c r="AJ19" s="8"/>
      <c r="AK19" s="8"/>
      <c r="AL19" s="8"/>
      <c r="AM19" s="8"/>
      <c r="AN19" s="8"/>
      <c r="AO19" s="8"/>
      <c r="AP19" s="8"/>
      <c r="AQ19" s="8"/>
      <c r="AR19" s="8"/>
      <c r="AS19" s="9"/>
    </row>
    <row r="20" spans="1:45" ht="26" customHeight="1">
      <c r="A20" s="7" t="s">
        <v>451</v>
      </c>
      <c r="B20" s="8" t="s">
        <v>1247</v>
      </c>
      <c r="C20" s="8" t="s">
        <v>1248</v>
      </c>
      <c r="D20" s="8"/>
      <c r="E20" s="8"/>
      <c r="F20" s="8" t="s">
        <v>1174</v>
      </c>
      <c r="G20" s="8" t="s">
        <v>1175</v>
      </c>
      <c r="H20" s="8" t="s">
        <v>1176</v>
      </c>
      <c r="I20" s="28">
        <v>364928.69472999987</v>
      </c>
      <c r="J20" s="28">
        <v>486571.5929733332</v>
      </c>
      <c r="K20" s="8" t="s">
        <v>329</v>
      </c>
      <c r="L20" s="8">
        <v>76</v>
      </c>
      <c r="M20" s="14">
        <v>0.26</v>
      </c>
      <c r="N20" s="14">
        <v>0.74</v>
      </c>
      <c r="O20" s="8"/>
      <c r="P20" s="8" t="s">
        <v>328</v>
      </c>
      <c r="Q20" s="8" t="s">
        <v>1177</v>
      </c>
      <c r="R20" s="8" t="s">
        <v>1182</v>
      </c>
      <c r="S20" s="8"/>
      <c r="T20" s="8"/>
      <c r="U20" s="8" t="s">
        <v>691</v>
      </c>
      <c r="V20" s="8" t="s">
        <v>692</v>
      </c>
      <c r="W20" s="8" t="s">
        <v>694</v>
      </c>
      <c r="X20" s="8"/>
      <c r="Y20" s="8" t="s">
        <v>693</v>
      </c>
      <c r="Z20" s="8"/>
      <c r="AA20" s="8"/>
      <c r="AB20" s="8"/>
      <c r="AC20" s="8"/>
      <c r="AD20" s="8"/>
      <c r="AE20" s="8"/>
      <c r="AF20" s="8"/>
      <c r="AG20" s="8"/>
      <c r="AH20" s="8"/>
      <c r="AI20" s="8"/>
      <c r="AJ20" s="8"/>
      <c r="AK20" s="8"/>
      <c r="AL20" s="8"/>
      <c r="AM20" s="8"/>
      <c r="AN20" s="8"/>
      <c r="AO20" s="8"/>
      <c r="AP20" s="8"/>
      <c r="AQ20" s="8"/>
      <c r="AR20" s="8"/>
      <c r="AS20" s="9"/>
    </row>
    <row r="21" spans="1:45" ht="26" customHeight="1">
      <c r="A21" s="7" t="s">
        <v>550</v>
      </c>
      <c r="B21" s="8" t="s">
        <v>1249</v>
      </c>
      <c r="C21" s="8" t="s">
        <v>1250</v>
      </c>
      <c r="D21" s="8"/>
      <c r="E21" s="8"/>
      <c r="F21" s="8" t="s">
        <v>1174</v>
      </c>
      <c r="G21" s="8" t="s">
        <v>1175</v>
      </c>
      <c r="H21" s="8" t="s">
        <v>1176</v>
      </c>
      <c r="I21" s="28">
        <v>241138.56908799999</v>
      </c>
      <c r="J21" s="28">
        <v>321518.09211733332</v>
      </c>
      <c r="K21" s="8" t="s">
        <v>329</v>
      </c>
      <c r="L21" s="8">
        <v>35</v>
      </c>
      <c r="M21" s="14">
        <v>1</v>
      </c>
      <c r="N21" s="14">
        <v>0</v>
      </c>
      <c r="O21" s="8">
        <v>0</v>
      </c>
      <c r="P21" s="8" t="s">
        <v>339</v>
      </c>
      <c r="Q21" s="8" t="s">
        <v>1181</v>
      </c>
      <c r="R21" s="8" t="s">
        <v>1182</v>
      </c>
      <c r="S21" s="8"/>
      <c r="T21" s="8"/>
      <c r="U21" s="8" t="s">
        <v>708</v>
      </c>
      <c r="V21" s="8" t="s">
        <v>618</v>
      </c>
      <c r="W21" s="8"/>
      <c r="X21" s="8"/>
      <c r="Y21" s="8"/>
      <c r="Z21" s="8"/>
      <c r="AA21" s="8"/>
      <c r="AB21" s="8"/>
      <c r="AC21" s="8"/>
      <c r="AD21" s="8"/>
      <c r="AE21" s="8"/>
      <c r="AF21" s="8"/>
      <c r="AG21" s="8"/>
      <c r="AH21" s="8"/>
      <c r="AI21" s="8"/>
      <c r="AJ21" s="8"/>
      <c r="AK21" s="8"/>
      <c r="AL21" s="8"/>
      <c r="AM21" s="8"/>
      <c r="AN21" s="8"/>
      <c r="AO21" s="8"/>
      <c r="AP21" s="8"/>
      <c r="AQ21" s="8"/>
      <c r="AR21" s="8"/>
      <c r="AS21" s="9"/>
    </row>
    <row r="22" spans="1:45" ht="26" customHeight="1">
      <c r="A22" s="7" t="s">
        <v>501</v>
      </c>
      <c r="B22" s="8" t="s">
        <v>1251</v>
      </c>
      <c r="C22" s="8" t="s">
        <v>1252</v>
      </c>
      <c r="D22" s="8" t="s">
        <v>1253</v>
      </c>
      <c r="E22" s="8" t="s">
        <v>1254</v>
      </c>
      <c r="F22" s="8" t="s">
        <v>1174</v>
      </c>
      <c r="G22" s="8" t="s">
        <v>1175</v>
      </c>
      <c r="H22" s="8" t="s">
        <v>1176</v>
      </c>
      <c r="I22" s="28">
        <v>4946098.4756999984</v>
      </c>
      <c r="J22" s="28">
        <v>6594797.9675999973</v>
      </c>
      <c r="K22" s="8" t="s">
        <v>340</v>
      </c>
      <c r="L22" s="8">
        <v>4200</v>
      </c>
      <c r="M22" s="14">
        <v>0.1</v>
      </c>
      <c r="N22" s="14">
        <v>0.9</v>
      </c>
      <c r="O22" s="8">
        <v>0</v>
      </c>
      <c r="P22" s="8" t="s">
        <v>339</v>
      </c>
      <c r="Q22" s="8" t="s">
        <v>1177</v>
      </c>
      <c r="R22" s="8" t="s">
        <v>1255</v>
      </c>
      <c r="S22" s="8" t="s">
        <v>1223</v>
      </c>
      <c r="T22" s="8" t="s">
        <v>1224</v>
      </c>
      <c r="U22" s="8" t="s">
        <v>713</v>
      </c>
      <c r="V22" s="8" t="s">
        <v>714</v>
      </c>
      <c r="W22" s="8" t="s">
        <v>717</v>
      </c>
      <c r="X22" s="8" t="s">
        <v>716</v>
      </c>
      <c r="Y22" s="8" t="s">
        <v>715</v>
      </c>
      <c r="Z22" s="8"/>
      <c r="AA22" s="8"/>
      <c r="AB22" s="8"/>
      <c r="AC22" s="8"/>
      <c r="AD22" s="8"/>
      <c r="AE22" s="8"/>
      <c r="AF22" s="8"/>
      <c r="AG22" s="8"/>
      <c r="AH22" s="8"/>
      <c r="AI22" s="8"/>
      <c r="AJ22" s="8"/>
      <c r="AK22" s="8"/>
      <c r="AL22" s="8"/>
      <c r="AM22" s="8"/>
      <c r="AN22" s="8"/>
      <c r="AO22" s="8"/>
      <c r="AP22" s="8"/>
      <c r="AQ22" s="8"/>
      <c r="AR22" s="8"/>
      <c r="AS22" s="9"/>
    </row>
    <row r="23" spans="1:45">
      <c r="A23" s="7" t="s">
        <v>445</v>
      </c>
      <c r="B23" s="8" t="s">
        <v>1256</v>
      </c>
      <c r="C23" s="8" t="s">
        <v>1257</v>
      </c>
      <c r="D23" s="8"/>
      <c r="E23" s="8"/>
      <c r="F23" s="8" t="s">
        <v>1174</v>
      </c>
      <c r="G23" s="8" t="s">
        <v>1175</v>
      </c>
      <c r="H23" s="8" t="s">
        <v>1176</v>
      </c>
      <c r="I23" s="28">
        <v>182432</v>
      </c>
      <c r="J23" s="28">
        <v>243243</v>
      </c>
      <c r="K23" s="8" t="s">
        <v>329</v>
      </c>
      <c r="L23" s="8">
        <v>112</v>
      </c>
      <c r="M23" s="14">
        <v>1</v>
      </c>
      <c r="N23" s="14">
        <v>0</v>
      </c>
      <c r="O23" s="8">
        <v>0</v>
      </c>
      <c r="P23" s="8" t="s">
        <v>339</v>
      </c>
      <c r="Q23" s="8" t="s">
        <v>1181</v>
      </c>
      <c r="R23" s="8" t="s">
        <v>1182</v>
      </c>
      <c r="S23" s="8"/>
      <c r="T23" s="8" t="s">
        <v>1258</v>
      </c>
      <c r="U23" s="8" t="s">
        <v>687</v>
      </c>
      <c r="V23" s="8" t="s">
        <v>688</v>
      </c>
      <c r="W23" s="8" t="s">
        <v>690</v>
      </c>
      <c r="X23" s="8"/>
      <c r="Y23" s="8"/>
      <c r="Z23" s="8" t="s">
        <v>689</v>
      </c>
      <c r="AA23" s="8"/>
      <c r="AB23" s="8"/>
      <c r="AC23" s="8"/>
      <c r="AD23" s="8"/>
      <c r="AE23" s="8"/>
      <c r="AF23" s="8"/>
      <c r="AG23" s="8"/>
      <c r="AH23" s="8"/>
      <c r="AI23" s="8"/>
      <c r="AJ23" s="8"/>
      <c r="AK23" s="8"/>
      <c r="AL23" s="8"/>
      <c r="AM23" s="8"/>
      <c r="AN23" s="8"/>
      <c r="AO23" s="8"/>
      <c r="AP23" s="8"/>
      <c r="AQ23" s="8"/>
      <c r="AR23" s="8"/>
      <c r="AS23" s="9"/>
    </row>
    <row r="24" spans="1:45" ht="26" customHeight="1">
      <c r="A24" s="7" t="s">
        <v>428</v>
      </c>
      <c r="B24" s="8"/>
      <c r="C24" s="8" t="s">
        <v>1259</v>
      </c>
      <c r="D24" s="8" t="s">
        <v>1260</v>
      </c>
      <c r="E24" s="8" t="s">
        <v>1261</v>
      </c>
      <c r="F24" s="8" t="s">
        <v>1174</v>
      </c>
      <c r="G24" s="8" t="s">
        <v>1175</v>
      </c>
      <c r="H24" s="8" t="s">
        <v>1176</v>
      </c>
      <c r="I24" s="28">
        <v>2382458.3240000028</v>
      </c>
      <c r="J24" s="28">
        <v>3176611.0986666712</v>
      </c>
      <c r="K24" s="8" t="s">
        <v>340</v>
      </c>
      <c r="L24" s="8">
        <v>3300</v>
      </c>
      <c r="M24" s="14">
        <v>0.15</v>
      </c>
      <c r="N24" s="14">
        <v>0.85</v>
      </c>
      <c r="O24" s="8" t="s">
        <v>64</v>
      </c>
      <c r="P24" s="8" t="s">
        <v>350</v>
      </c>
      <c r="Q24" s="8" t="s">
        <v>1177</v>
      </c>
      <c r="R24" s="8" t="s">
        <v>1182</v>
      </c>
      <c r="S24" s="8" t="s">
        <v>1223</v>
      </c>
      <c r="T24" s="8" t="s">
        <v>1262</v>
      </c>
      <c r="U24" s="8" t="s">
        <v>720</v>
      </c>
      <c r="V24" s="8" t="s">
        <v>720</v>
      </c>
      <c r="W24" s="8" t="s">
        <v>1263</v>
      </c>
      <c r="X24" s="8"/>
      <c r="Y24" s="8" t="s">
        <v>64</v>
      </c>
      <c r="Z24" s="8" t="s">
        <v>226</v>
      </c>
      <c r="AA24" s="8"/>
      <c r="AB24" s="8"/>
      <c r="AC24" s="8"/>
      <c r="AD24" s="8"/>
      <c r="AE24" s="8"/>
      <c r="AF24" s="8"/>
      <c r="AG24" s="8"/>
      <c r="AH24" s="8"/>
      <c r="AI24" s="8"/>
      <c r="AJ24" s="8"/>
      <c r="AK24" s="8"/>
      <c r="AL24" s="8"/>
      <c r="AM24" s="8"/>
      <c r="AN24" s="8"/>
      <c r="AO24" s="8"/>
      <c r="AP24" s="8"/>
      <c r="AQ24" s="8"/>
      <c r="AR24" s="8"/>
      <c r="AS24" s="9"/>
    </row>
    <row r="25" spans="1:45" ht="52" customHeight="1">
      <c r="A25" s="7" t="s">
        <v>472</v>
      </c>
      <c r="B25" s="8" t="s">
        <v>1264</v>
      </c>
      <c r="C25" s="8" t="s">
        <v>1265</v>
      </c>
      <c r="D25" s="8" t="s">
        <v>1266</v>
      </c>
      <c r="E25" s="8"/>
      <c r="F25" s="8" t="s">
        <v>1174</v>
      </c>
      <c r="G25" s="8" t="s">
        <v>1175</v>
      </c>
      <c r="H25" s="8" t="s">
        <v>1176</v>
      </c>
      <c r="I25" s="28"/>
      <c r="J25" s="28">
        <v>315000</v>
      </c>
      <c r="K25" s="8" t="s">
        <v>329</v>
      </c>
      <c r="L25" s="8">
        <v>500</v>
      </c>
      <c r="M25" s="14">
        <v>0.9</v>
      </c>
      <c r="N25" s="14">
        <v>0.1</v>
      </c>
      <c r="O25" s="8">
        <v>0</v>
      </c>
      <c r="P25" s="8" t="s">
        <v>339</v>
      </c>
      <c r="Q25" s="8" t="s">
        <v>1177</v>
      </c>
      <c r="R25" s="8" t="s">
        <v>1182</v>
      </c>
      <c r="S25" s="8"/>
      <c r="T25" s="8"/>
      <c r="U25" s="8" t="s">
        <v>704</v>
      </c>
      <c r="V25" s="8" t="s">
        <v>688</v>
      </c>
      <c r="W25" s="8"/>
      <c r="X25" s="8"/>
      <c r="Y25" s="8" t="s">
        <v>705</v>
      </c>
      <c r="Z25" s="8"/>
      <c r="AA25" s="8"/>
      <c r="AB25" s="8"/>
      <c r="AC25" s="8"/>
      <c r="AD25" s="8"/>
      <c r="AE25" s="8"/>
      <c r="AF25" s="8"/>
      <c r="AG25" s="8"/>
      <c r="AH25" s="8"/>
      <c r="AI25" s="8"/>
      <c r="AJ25" s="8"/>
      <c r="AK25" s="8"/>
      <c r="AL25" s="8"/>
      <c r="AM25" s="8"/>
      <c r="AN25" s="8"/>
      <c r="AO25" s="8"/>
      <c r="AP25" s="8"/>
      <c r="AQ25" s="8"/>
      <c r="AR25" s="8"/>
      <c r="AS25" s="9"/>
    </row>
    <row r="26" spans="1:45" ht="26" customHeight="1">
      <c r="A26" s="7" t="s">
        <v>532</v>
      </c>
      <c r="B26" s="8" t="s">
        <v>1267</v>
      </c>
      <c r="C26" s="8" t="s">
        <v>1268</v>
      </c>
      <c r="D26" s="8" t="s">
        <v>1269</v>
      </c>
      <c r="E26" s="8" t="s">
        <v>1270</v>
      </c>
      <c r="F26" s="8" t="s">
        <v>1174</v>
      </c>
      <c r="G26" s="8" t="s">
        <v>1175</v>
      </c>
      <c r="H26" s="8" t="s">
        <v>1176</v>
      </c>
      <c r="I26" s="28"/>
      <c r="J26" s="28"/>
      <c r="K26" s="8" t="s">
        <v>329</v>
      </c>
      <c r="L26" s="8">
        <v>250</v>
      </c>
      <c r="M26" s="14">
        <v>0.8</v>
      </c>
      <c r="N26" s="14">
        <v>0.2</v>
      </c>
      <c r="O26" s="8">
        <v>0</v>
      </c>
      <c r="P26" s="8" t="s">
        <v>339</v>
      </c>
      <c r="Q26" s="8" t="s">
        <v>1237</v>
      </c>
      <c r="R26" s="8" t="s">
        <v>1182</v>
      </c>
      <c r="S26" s="8"/>
      <c r="T26" s="8"/>
      <c r="U26" s="8" t="s">
        <v>735</v>
      </c>
      <c r="V26" s="8" t="s">
        <v>675</v>
      </c>
      <c r="W26" s="8" t="s">
        <v>1271</v>
      </c>
      <c r="X26" s="8" t="s">
        <v>737</v>
      </c>
      <c r="Y26" s="8" t="s">
        <v>697</v>
      </c>
      <c r="Z26" s="8"/>
      <c r="AA26" s="8"/>
      <c r="AB26" s="8"/>
      <c r="AC26" s="8"/>
      <c r="AD26" s="8"/>
      <c r="AE26" s="8"/>
      <c r="AF26" s="8"/>
      <c r="AG26" s="8"/>
      <c r="AH26" s="8"/>
      <c r="AI26" s="8"/>
      <c r="AJ26" s="8"/>
      <c r="AK26" s="8"/>
      <c r="AL26" s="8"/>
      <c r="AM26" s="8"/>
      <c r="AN26" s="8"/>
      <c r="AO26" s="8"/>
      <c r="AP26" s="8"/>
      <c r="AQ26" s="8"/>
      <c r="AR26" s="8"/>
      <c r="AS26" s="9"/>
    </row>
    <row r="27" spans="1:45">
      <c r="A27" s="7" t="s">
        <v>495</v>
      </c>
      <c r="B27" s="8" t="s">
        <v>1272</v>
      </c>
      <c r="C27" s="8" t="s">
        <v>1273</v>
      </c>
      <c r="D27" s="8"/>
      <c r="E27" s="8" t="s">
        <v>1273</v>
      </c>
      <c r="F27" s="8" t="s">
        <v>1174</v>
      </c>
      <c r="G27" s="8" t="s">
        <v>1175</v>
      </c>
      <c r="H27" s="8" t="s">
        <v>1176</v>
      </c>
      <c r="I27" s="28">
        <v>28197.934688966059</v>
      </c>
      <c r="J27" s="28">
        <v>4000000</v>
      </c>
      <c r="K27" s="8" t="s">
        <v>340</v>
      </c>
      <c r="L27" s="8">
        <v>10000</v>
      </c>
      <c r="M27" s="14">
        <v>1</v>
      </c>
      <c r="N27" s="14" t="s">
        <v>1274</v>
      </c>
      <c r="O27" s="8" t="s">
        <v>1275</v>
      </c>
      <c r="P27" s="8" t="s">
        <v>360</v>
      </c>
      <c r="Q27" s="8" t="s">
        <v>1204</v>
      </c>
      <c r="R27" s="8" t="s">
        <v>1182</v>
      </c>
      <c r="S27" s="8"/>
      <c r="T27" s="8" t="s">
        <v>1276</v>
      </c>
      <c r="U27" s="8" t="s">
        <v>711</v>
      </c>
      <c r="V27" s="8"/>
      <c r="W27" s="8" t="s">
        <v>712</v>
      </c>
      <c r="X27" s="8" t="s">
        <v>64</v>
      </c>
      <c r="Y27" s="8" t="s">
        <v>64</v>
      </c>
      <c r="Z27" s="8"/>
      <c r="AA27" s="8"/>
      <c r="AB27" s="8"/>
      <c r="AC27" s="8"/>
      <c r="AD27" s="8"/>
      <c r="AE27" s="8"/>
      <c r="AF27" s="8"/>
      <c r="AG27" s="8"/>
      <c r="AH27" s="8"/>
      <c r="AI27" s="8"/>
      <c r="AJ27" s="8"/>
      <c r="AK27" s="8"/>
      <c r="AL27" s="8"/>
      <c r="AM27" s="8"/>
      <c r="AN27" s="8"/>
      <c r="AO27" s="8"/>
      <c r="AP27" s="8"/>
      <c r="AQ27" s="8"/>
      <c r="AR27" s="8"/>
      <c r="AS27" s="9"/>
    </row>
    <row r="28" spans="1:45" ht="26" customHeight="1">
      <c r="A28" s="7" t="s">
        <v>545</v>
      </c>
      <c r="B28" s="8" t="s">
        <v>1277</v>
      </c>
      <c r="C28" s="8" t="s">
        <v>1278</v>
      </c>
      <c r="D28" s="8"/>
      <c r="E28" s="8"/>
      <c r="F28" s="8" t="s">
        <v>1174</v>
      </c>
      <c r="G28" s="8" t="s">
        <v>1175</v>
      </c>
      <c r="H28" s="8" t="s">
        <v>1176</v>
      </c>
      <c r="I28" s="28"/>
      <c r="J28" s="28"/>
      <c r="K28" s="8" t="s">
        <v>329</v>
      </c>
      <c r="L28" s="8">
        <v>18</v>
      </c>
      <c r="M28" s="14">
        <v>1</v>
      </c>
      <c r="N28" s="14">
        <v>0</v>
      </c>
      <c r="O28" s="8">
        <v>0</v>
      </c>
      <c r="P28" s="8" t="s">
        <v>339</v>
      </c>
      <c r="Q28" s="8" t="s">
        <v>1279</v>
      </c>
      <c r="R28" s="8" t="s">
        <v>1182</v>
      </c>
      <c r="S28" s="8"/>
      <c r="T28" s="8"/>
      <c r="U28" s="8" t="s">
        <v>642</v>
      </c>
      <c r="V28" s="8" t="s">
        <v>742</v>
      </c>
      <c r="W28" s="8" t="s">
        <v>744</v>
      </c>
      <c r="X28" s="8"/>
      <c r="Y28" s="8" t="s">
        <v>743</v>
      </c>
      <c r="Z28" s="8"/>
      <c r="AA28" s="8"/>
      <c r="AB28" s="8"/>
      <c r="AC28" s="8"/>
      <c r="AD28" s="8"/>
      <c r="AE28" s="8"/>
      <c r="AF28" s="8"/>
      <c r="AG28" s="8"/>
      <c r="AH28" s="8"/>
      <c r="AI28" s="8"/>
      <c r="AJ28" s="8"/>
      <c r="AK28" s="8"/>
      <c r="AL28" s="8"/>
      <c r="AM28" s="8"/>
      <c r="AN28" s="8"/>
      <c r="AO28" s="8"/>
      <c r="AP28" s="8"/>
      <c r="AQ28" s="8"/>
      <c r="AR28" s="8"/>
      <c r="AS28" s="9"/>
    </row>
    <row r="29" spans="1:45" ht="26" customHeight="1">
      <c r="A29" s="7" t="s">
        <v>359</v>
      </c>
      <c r="B29" s="8"/>
      <c r="C29" s="8" t="s">
        <v>1280</v>
      </c>
      <c r="D29" s="8" t="s">
        <v>1281</v>
      </c>
      <c r="E29" s="8" t="s">
        <v>1282</v>
      </c>
      <c r="F29" s="8" t="s">
        <v>1174</v>
      </c>
      <c r="G29" s="8"/>
      <c r="H29" s="8" t="s">
        <v>1176</v>
      </c>
      <c r="I29" s="28"/>
      <c r="J29" s="28"/>
      <c r="K29" s="8" t="s">
        <v>340</v>
      </c>
      <c r="L29" s="8">
        <v>20000</v>
      </c>
      <c r="M29" s="14">
        <v>0</v>
      </c>
      <c r="N29" s="14">
        <v>1</v>
      </c>
      <c r="O29" s="8" t="s">
        <v>64</v>
      </c>
      <c r="P29" s="8" t="s">
        <v>360</v>
      </c>
      <c r="Q29" s="8" t="s">
        <v>1204</v>
      </c>
      <c r="R29" s="8" t="s">
        <v>1283</v>
      </c>
      <c r="S29" s="8" t="s">
        <v>1183</v>
      </c>
      <c r="T29" s="8" t="s">
        <v>1284</v>
      </c>
      <c r="U29" s="8" t="s">
        <v>729</v>
      </c>
      <c r="V29" s="8" t="s">
        <v>642</v>
      </c>
      <c r="W29" s="8" t="s">
        <v>1285</v>
      </c>
      <c r="X29" s="8" t="s">
        <v>64</v>
      </c>
      <c r="Y29" s="8" t="s">
        <v>64</v>
      </c>
      <c r="Z29" s="8"/>
      <c r="AA29" s="8"/>
      <c r="AB29" s="8"/>
      <c r="AC29" s="8"/>
      <c r="AD29" s="8"/>
      <c r="AE29" s="8"/>
      <c r="AF29" s="8"/>
      <c r="AG29" s="8"/>
      <c r="AH29" s="8"/>
      <c r="AI29" s="8"/>
      <c r="AJ29" s="8"/>
      <c r="AK29" s="8"/>
      <c r="AL29" s="8"/>
      <c r="AM29" s="8"/>
      <c r="AN29" s="8"/>
      <c r="AO29" s="8"/>
      <c r="AP29" s="8"/>
      <c r="AQ29" s="8"/>
      <c r="AR29" s="8"/>
      <c r="AS29" s="9"/>
    </row>
    <row r="30" spans="1:45" ht="26" customHeight="1">
      <c r="A30" s="7" t="s">
        <v>370</v>
      </c>
      <c r="B30" s="8" t="s">
        <v>1286</v>
      </c>
      <c r="C30" s="8" t="s">
        <v>1287</v>
      </c>
      <c r="D30" s="8" t="s">
        <v>1288</v>
      </c>
      <c r="E30" s="8" t="s">
        <v>1289</v>
      </c>
      <c r="F30" s="8" t="s">
        <v>1174</v>
      </c>
      <c r="G30" s="8" t="s">
        <v>1175</v>
      </c>
      <c r="H30" s="8" t="s">
        <v>1176</v>
      </c>
      <c r="I30" s="28">
        <v>514334.9602400001</v>
      </c>
      <c r="J30" s="28">
        <v>685779.94698666688</v>
      </c>
      <c r="K30" s="8" t="s">
        <v>329</v>
      </c>
      <c r="L30" s="8">
        <v>550</v>
      </c>
      <c r="M30" s="14">
        <v>0.83</v>
      </c>
      <c r="N30" s="14">
        <v>0.17</v>
      </c>
      <c r="O30" s="8"/>
      <c r="P30" s="8" t="s">
        <v>328</v>
      </c>
      <c r="Q30" s="8" t="s">
        <v>1181</v>
      </c>
      <c r="R30" s="8" t="s">
        <v>1182</v>
      </c>
      <c r="S30" s="8" t="s">
        <v>1183</v>
      </c>
      <c r="T30" s="8"/>
      <c r="U30" s="8" t="s">
        <v>624</v>
      </c>
      <c r="V30" s="8" t="s">
        <v>625</v>
      </c>
      <c r="W30" s="8"/>
      <c r="X30" s="8" t="s">
        <v>1290</v>
      </c>
      <c r="Y30" s="8" t="s">
        <v>669</v>
      </c>
      <c r="Z30" s="8" t="s">
        <v>1291</v>
      </c>
      <c r="AA30" s="8"/>
      <c r="AB30" s="8"/>
      <c r="AC30" s="8"/>
      <c r="AD30" s="8"/>
      <c r="AE30" s="8"/>
      <c r="AF30" s="8"/>
      <c r="AG30" s="8"/>
      <c r="AH30" s="8"/>
      <c r="AI30" s="8"/>
      <c r="AJ30" s="8"/>
      <c r="AK30" s="8"/>
      <c r="AL30" s="8"/>
      <c r="AM30" s="8"/>
      <c r="AN30" s="8"/>
      <c r="AO30" s="8"/>
      <c r="AP30" s="8"/>
      <c r="AQ30" s="8"/>
      <c r="AR30" s="8"/>
      <c r="AS30" s="9"/>
    </row>
    <row r="31" spans="1:45" ht="26" customHeight="1">
      <c r="A31" s="10" t="s">
        <v>617</v>
      </c>
      <c r="B31" s="11" t="s">
        <v>1292</v>
      </c>
      <c r="C31" s="11" t="s">
        <v>1293</v>
      </c>
      <c r="D31" s="11" t="s">
        <v>1294</v>
      </c>
      <c r="E31" s="11" t="s">
        <v>1293</v>
      </c>
      <c r="F31" s="11" t="s">
        <v>1174</v>
      </c>
      <c r="G31" s="11" t="s">
        <v>1175</v>
      </c>
      <c r="H31" s="11" t="s">
        <v>1176</v>
      </c>
      <c r="I31" s="29">
        <v>3462603.6880000029</v>
      </c>
      <c r="J31" s="29">
        <v>4616804.9173333365</v>
      </c>
      <c r="K31" s="11" t="s">
        <v>340</v>
      </c>
      <c r="L31" s="11">
        <v>6000</v>
      </c>
      <c r="M31" s="15">
        <v>0.05</v>
      </c>
      <c r="N31" s="15">
        <v>0.95</v>
      </c>
      <c r="O31" s="11" t="s">
        <v>64</v>
      </c>
      <c r="P31" s="11" t="s">
        <v>360</v>
      </c>
      <c r="Q31" s="11" t="s">
        <v>1204</v>
      </c>
      <c r="R31" s="11" t="s">
        <v>1295</v>
      </c>
      <c r="S31" s="11" t="s">
        <v>1183</v>
      </c>
      <c r="T31" s="11" t="s">
        <v>1296</v>
      </c>
      <c r="U31" s="11" t="s">
        <v>618</v>
      </c>
      <c r="V31" s="11" t="s">
        <v>619</v>
      </c>
      <c r="W31" s="11" t="s">
        <v>620</v>
      </c>
      <c r="X31" s="11" t="s">
        <v>64</v>
      </c>
      <c r="Y31" s="11" t="s">
        <v>64</v>
      </c>
      <c r="Z31" s="11"/>
      <c r="AA31" s="11"/>
      <c r="AB31" s="11"/>
      <c r="AC31" s="11"/>
      <c r="AD31" s="11"/>
      <c r="AE31" s="11"/>
      <c r="AF31" s="11"/>
      <c r="AG31" s="11"/>
      <c r="AH31" s="11"/>
      <c r="AI31" s="11"/>
      <c r="AJ31" s="11"/>
      <c r="AK31" s="11"/>
      <c r="AL31" s="11"/>
      <c r="AM31" s="11"/>
      <c r="AN31" s="11"/>
      <c r="AO31" s="11"/>
      <c r="AP31" s="11"/>
      <c r="AQ31" s="11"/>
      <c r="AR31" s="11"/>
      <c r="AS31" s="12"/>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9"/>
  <sheetViews>
    <sheetView workbookViewId="0"/>
  </sheetViews>
  <sheetFormatPr baseColWidth="10" defaultColWidth="8.83203125" defaultRowHeight="14"/>
  <cols>
    <col min="1" max="1" width="12" customWidth="1"/>
    <col min="2" max="2" width="24" customWidth="1"/>
    <col min="3" max="3" width="42" customWidth="1"/>
    <col min="4" max="4" width="26" customWidth="1"/>
    <col min="5" max="5" width="25" customWidth="1"/>
    <col min="6" max="6" width="48" customWidth="1"/>
    <col min="7" max="7" width="22" customWidth="1"/>
    <col min="8" max="8" width="14" customWidth="1"/>
  </cols>
  <sheetData>
    <row r="1" spans="1:8" ht="37.25" customHeight="1">
      <c r="A1" s="94" t="s">
        <v>1297</v>
      </c>
      <c r="B1" s="77"/>
      <c r="C1" s="77"/>
      <c r="D1" s="77"/>
      <c r="E1" s="77"/>
      <c r="F1" s="77"/>
      <c r="G1" s="77"/>
      <c r="H1" s="77"/>
    </row>
    <row r="2" spans="1:8" ht="40" customHeight="1">
      <c r="A2" s="93" t="s">
        <v>1298</v>
      </c>
      <c r="B2" s="77"/>
      <c r="C2" s="77"/>
      <c r="D2" s="77"/>
      <c r="E2" s="77"/>
      <c r="F2" s="77"/>
      <c r="G2" s="77"/>
      <c r="H2" s="77"/>
    </row>
    <row r="3" spans="1:8">
      <c r="A3" s="40"/>
      <c r="B3" s="40"/>
      <c r="C3" s="40"/>
      <c r="D3" s="40"/>
      <c r="E3" s="40"/>
      <c r="F3" s="40"/>
      <c r="G3" s="40"/>
      <c r="H3" s="40"/>
    </row>
    <row r="4" spans="1:8" ht="40" customHeight="1">
      <c r="A4" s="45" t="s">
        <v>296</v>
      </c>
      <c r="B4" s="45" t="s">
        <v>1299</v>
      </c>
      <c r="C4" s="45" t="s">
        <v>1300</v>
      </c>
      <c r="D4" s="45" t="s">
        <v>1301</v>
      </c>
      <c r="E4" s="45" t="s">
        <v>771</v>
      </c>
      <c r="F4" s="45" t="s">
        <v>312</v>
      </c>
      <c r="G4" s="45" t="s">
        <v>1302</v>
      </c>
      <c r="H4" s="45" t="s">
        <v>1303</v>
      </c>
    </row>
    <row r="5" spans="1:8" ht="69.25" customHeight="1">
      <c r="A5" s="35" t="s">
        <v>326</v>
      </c>
      <c r="B5" s="35" t="s">
        <v>1304</v>
      </c>
      <c r="C5" s="35" t="s">
        <v>1305</v>
      </c>
      <c r="D5" s="35" t="s">
        <v>1306</v>
      </c>
      <c r="E5" s="35" t="s">
        <v>1307</v>
      </c>
      <c r="F5" s="35" t="s">
        <v>1308</v>
      </c>
      <c r="G5" s="35" t="s">
        <v>328</v>
      </c>
      <c r="H5" s="36">
        <v>46255</v>
      </c>
    </row>
    <row r="6" spans="1:8" ht="69.25" customHeight="1">
      <c r="A6" s="31" t="s">
        <v>326</v>
      </c>
      <c r="B6" s="31" t="s">
        <v>1309</v>
      </c>
      <c r="C6" s="31" t="s">
        <v>1310</v>
      </c>
      <c r="D6" s="31" t="s">
        <v>1311</v>
      </c>
      <c r="E6" s="31" t="s">
        <v>1312</v>
      </c>
      <c r="F6" s="31" t="s">
        <v>1313</v>
      </c>
      <c r="G6" s="31" t="s">
        <v>339</v>
      </c>
      <c r="H6" s="32">
        <v>46255</v>
      </c>
    </row>
    <row r="7" spans="1:8" ht="69.25" customHeight="1">
      <c r="A7" s="37" t="s">
        <v>326</v>
      </c>
      <c r="B7" s="37" t="s">
        <v>1314</v>
      </c>
      <c r="C7" s="37" t="s">
        <v>1315</v>
      </c>
      <c r="D7" s="37" t="s">
        <v>1316</v>
      </c>
      <c r="E7" s="37" t="s">
        <v>898</v>
      </c>
      <c r="F7" s="37" t="s">
        <v>654</v>
      </c>
      <c r="G7" s="37" t="s">
        <v>360</v>
      </c>
      <c r="H7" s="38">
        <v>46252</v>
      </c>
    </row>
    <row r="8" spans="1:8" ht="69.25" customHeight="1">
      <c r="A8" s="31" t="s">
        <v>369</v>
      </c>
      <c r="B8" s="31" t="s">
        <v>1317</v>
      </c>
      <c r="C8" s="31" t="s">
        <v>1318</v>
      </c>
      <c r="D8" s="31" t="s">
        <v>1319</v>
      </c>
      <c r="E8" s="31" t="s">
        <v>1320</v>
      </c>
      <c r="F8" s="31" t="s">
        <v>1321</v>
      </c>
      <c r="G8" s="31" t="s">
        <v>389</v>
      </c>
      <c r="H8" s="32">
        <v>46255</v>
      </c>
    </row>
    <row r="9" spans="1:8" ht="69.25" customHeight="1">
      <c r="A9" s="37" t="s">
        <v>369</v>
      </c>
      <c r="B9" s="37" t="s">
        <v>1322</v>
      </c>
      <c r="C9" s="37" t="s">
        <v>1323</v>
      </c>
      <c r="D9" s="37" t="s">
        <v>1324</v>
      </c>
      <c r="E9" s="37" t="s">
        <v>950</v>
      </c>
      <c r="F9" s="37" t="s">
        <v>1325</v>
      </c>
      <c r="G9" s="37" t="s">
        <v>400</v>
      </c>
      <c r="H9" s="38">
        <v>46255</v>
      </c>
    </row>
    <row r="10" spans="1:8" ht="69.25" customHeight="1">
      <c r="A10" s="31" t="s">
        <v>410</v>
      </c>
      <c r="B10" s="31" t="s">
        <v>1326</v>
      </c>
      <c r="C10" s="31" t="s">
        <v>1327</v>
      </c>
      <c r="D10" s="31" t="s">
        <v>1328</v>
      </c>
      <c r="E10" s="31" t="s">
        <v>932</v>
      </c>
      <c r="F10" s="31" t="s">
        <v>1329</v>
      </c>
      <c r="G10" s="31" t="s">
        <v>1330</v>
      </c>
      <c r="H10" s="32">
        <v>46269</v>
      </c>
    </row>
    <row r="11" spans="1:8" ht="69.25" customHeight="1">
      <c r="A11" s="37" t="s">
        <v>410</v>
      </c>
      <c r="B11" s="37" t="s">
        <v>1331</v>
      </c>
      <c r="C11" s="37" t="s">
        <v>1332</v>
      </c>
      <c r="D11" s="37" t="s">
        <v>1333</v>
      </c>
      <c r="E11" s="37" t="s">
        <v>1334</v>
      </c>
      <c r="F11" s="37" t="s">
        <v>1335</v>
      </c>
      <c r="G11" s="37" t="s">
        <v>350</v>
      </c>
      <c r="H11" s="38">
        <v>46262</v>
      </c>
    </row>
    <row r="12" spans="1:8" ht="69.25" customHeight="1">
      <c r="A12" s="31" t="s">
        <v>410</v>
      </c>
      <c r="B12" s="31" t="s">
        <v>1336</v>
      </c>
      <c r="C12" s="31" t="s">
        <v>1337</v>
      </c>
      <c r="D12" s="31" t="s">
        <v>1338</v>
      </c>
      <c r="E12" s="31" t="s">
        <v>932</v>
      </c>
      <c r="F12" s="31" t="s">
        <v>1339</v>
      </c>
      <c r="G12" s="31" t="s">
        <v>1340</v>
      </c>
      <c r="H12" s="32">
        <v>46269</v>
      </c>
    </row>
    <row r="13" spans="1:8" ht="69.25" customHeight="1">
      <c r="A13" s="37" t="s">
        <v>882</v>
      </c>
      <c r="B13" s="37" t="s">
        <v>1341</v>
      </c>
      <c r="C13" s="37" t="s">
        <v>1342</v>
      </c>
      <c r="D13" s="37" t="s">
        <v>1343</v>
      </c>
      <c r="E13" s="37" t="s">
        <v>943</v>
      </c>
      <c r="F13" s="37" t="s">
        <v>1344</v>
      </c>
      <c r="G13" s="37" t="s">
        <v>1345</v>
      </c>
      <c r="H13" s="38">
        <v>46262</v>
      </c>
    </row>
    <row r="14" spans="1:8" ht="69.25" customHeight="1">
      <c r="A14" s="33" t="s">
        <v>1346</v>
      </c>
      <c r="B14" s="33" t="s">
        <v>1347</v>
      </c>
      <c r="C14" s="33" t="s">
        <v>1348</v>
      </c>
      <c r="D14" s="33" t="s">
        <v>1349</v>
      </c>
      <c r="E14" s="33" t="s">
        <v>1350</v>
      </c>
      <c r="F14" s="33" t="s">
        <v>1351</v>
      </c>
      <c r="G14" s="33" t="s">
        <v>1352</v>
      </c>
      <c r="H14" s="34">
        <v>46248</v>
      </c>
    </row>
    <row r="15" spans="1:8" ht="30" customHeight="1">
      <c r="A15" s="40" t="s">
        <v>326</v>
      </c>
      <c r="B15" s="40" t="s">
        <v>1309</v>
      </c>
      <c r="C15" s="40" t="s">
        <v>1353</v>
      </c>
      <c r="D15" s="40" t="s">
        <v>1354</v>
      </c>
      <c r="E15" s="40" t="s">
        <v>1355</v>
      </c>
      <c r="F15" s="40" t="s">
        <v>1356</v>
      </c>
      <c r="G15" s="40" t="s">
        <v>1357</v>
      </c>
      <c r="H15" s="44">
        <v>46276.5</v>
      </c>
    </row>
    <row r="16" spans="1:8" ht="30" customHeight="1">
      <c r="A16" s="40" t="s">
        <v>410</v>
      </c>
      <c r="B16" s="40" t="s">
        <v>1336</v>
      </c>
      <c r="C16" s="40" t="s">
        <v>1358</v>
      </c>
      <c r="D16" s="40" t="s">
        <v>1359</v>
      </c>
      <c r="E16" s="40" t="s">
        <v>1360</v>
      </c>
      <c r="F16" s="40" t="s">
        <v>1361</v>
      </c>
      <c r="G16" s="40" t="s">
        <v>1362</v>
      </c>
      <c r="H16" s="44">
        <v>46276.5</v>
      </c>
    </row>
    <row r="17" spans="1:8" ht="30" customHeight="1">
      <c r="A17" s="40" t="s">
        <v>410</v>
      </c>
      <c r="B17" s="40" t="s">
        <v>1326</v>
      </c>
      <c r="C17" s="40" t="s">
        <v>1363</v>
      </c>
      <c r="D17" s="40" t="s">
        <v>1364</v>
      </c>
      <c r="E17" s="40" t="s">
        <v>1365</v>
      </c>
      <c r="F17" s="40" t="s">
        <v>1366</v>
      </c>
      <c r="G17" s="40" t="s">
        <v>1362</v>
      </c>
      <c r="H17" s="44">
        <v>46276.5</v>
      </c>
    </row>
    <row r="18" spans="1:8" ht="15" customHeight="1">
      <c r="A18" s="40" t="s">
        <v>410</v>
      </c>
      <c r="B18" s="40" t="s">
        <v>472</v>
      </c>
      <c r="C18" s="40" t="s">
        <v>1367</v>
      </c>
      <c r="D18" s="40" t="s">
        <v>1368</v>
      </c>
      <c r="E18" s="40" t="s">
        <v>1369</v>
      </c>
      <c r="F18" s="40" t="s">
        <v>1370</v>
      </c>
      <c r="G18" s="40" t="s">
        <v>339</v>
      </c>
      <c r="H18" s="44">
        <v>46276.5</v>
      </c>
    </row>
    <row r="19" spans="1:8" ht="30" customHeight="1">
      <c r="A19" s="40" t="s">
        <v>410</v>
      </c>
      <c r="B19" s="40" t="s">
        <v>1371</v>
      </c>
      <c r="C19" s="40" t="s">
        <v>1372</v>
      </c>
      <c r="D19" s="40" t="s">
        <v>1373</v>
      </c>
      <c r="E19" s="40" t="s">
        <v>1374</v>
      </c>
      <c r="F19" s="40" t="s">
        <v>1375</v>
      </c>
      <c r="G19" s="40" t="s">
        <v>339</v>
      </c>
      <c r="H19" s="44">
        <v>46276.5</v>
      </c>
    </row>
  </sheetData>
  <mergeCells count="2">
    <mergeCell ref="A2:H2"/>
    <mergeCell ref="A1:H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Executive Summary</vt:lpstr>
      <vt:lpstr>Dashboard</vt:lpstr>
      <vt:lpstr>Added Accounts Overview</vt:lpstr>
      <vt:lpstr>Ranked Portfolio</vt:lpstr>
      <vt:lpstr>Stack Intelligence</vt:lpstr>
      <vt:lpstr>Evidence Ledger</vt:lpstr>
      <vt:lpstr>Conflict Register</vt:lpstr>
      <vt:lpstr>RM Portfolio</vt:lpstr>
      <vt:lpstr>Scoring Model</vt:lpstr>
      <vt:lpstr>Worldpay Source Snapshot</vt:lpstr>
      <vt:lpstr>2026-08-14 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Vahlsing, Todd</cp:lastModifiedBy>
  <dcterms:created xsi:type="dcterms:W3CDTF">2026-09-04T19:35:55Z</dcterms:created>
  <dcterms:modified xsi:type="dcterms:W3CDTF">2026-09-30T15:05:20Z</dcterms:modified>
</cp:coreProperties>
</file>