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257a33304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0e0ba4b8bb4048"/>
    <x:sheet xmlns:r="http://schemas.openxmlformats.org/officeDocument/2006/relationships" name="Assumptions" sheetId="2" r:id="R5f8a6a1d3e754861"/>
    <x:sheet xmlns:r="http://schemas.openxmlformats.org/officeDocument/2006/relationships" name="Annual Summary" sheetId="3" r:id="R019f0db00fcb4cac"/>
    <x:sheet xmlns:r="http://schemas.openxmlformats.org/officeDocument/2006/relationships" name="Monthly Model" sheetId="4" r:id="R281734b56faf40b2"/>
    <x:sheet xmlns:r="http://schemas.openxmlformats.org/officeDocument/2006/relationships" name="Site Detail" sheetId="5" r:id="R2817f7c8412942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0%"/>
    <x:numFmt numFmtId="202" formatCode="0.0%"/>
    <x:numFmt numFmtId="203" formatCode="0.0"/>
  </x:numFmts>
  <x:fonts count="5">
    <x:font>
      <x:sz val="11"/>
      <x:name val="Carlito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1"/>
      <x:color rgb="FF17365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1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17365D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201" fontId="3" fillId="3" borderId="0" xfId="0" applyNumberFormat="1" applyFont="1" applyFill="1" applyBorder="1"/>
    <x:xf numFmtId="202" fontId="3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4" fillId="6" borderId="1" xfId="0" applyNumberFormat="1" applyFont="1" applyFill="1" applyBorder="1"/>
    <x:xf numFmtId="200" fontId="4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44be82ddb49f6" /><Relationship Type="http://schemas.openxmlformats.org/officeDocument/2006/relationships/theme" Target="/xl/theme/theme1.xml" Id="R7494f86a90f44885" /><Relationship Type="http://schemas.openxmlformats.org/officeDocument/2006/relationships/sharedStrings" Target="/xl/sharedStrings.xml" Id="R800f5d522af1487c" /><Relationship Type="http://schemas.openxmlformats.org/officeDocument/2006/relationships/worksheet" Target="/xl/worksheets/sheet1.xml" Id="R080e0ba4b8bb4048" /><Relationship Type="http://schemas.openxmlformats.org/officeDocument/2006/relationships/worksheet" Target="/xl/worksheets/sheet2.xml" Id="R5f8a6a1d3e754861" /><Relationship Type="http://schemas.openxmlformats.org/officeDocument/2006/relationships/worksheet" Target="/xl/worksheets/sheet3.xml" Id="R019f0db00fcb4cac" /><Relationship Type="http://schemas.openxmlformats.org/officeDocument/2006/relationships/worksheet" Target="/xl/worksheets/sheet4.xml" Id="R281734b56faf40b2" /><Relationship Type="http://schemas.openxmlformats.org/officeDocument/2006/relationships/worksheet" Target="/xl/worksheets/sheet5.xml" Id="R2817f7c8412942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e32469a6a14b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One-time and recurring cost by year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Initial rollout one-time</c:v>
          </c:tx>
          <c:cat>
            <c:strRef>
              <c:f>'Annual Summary'!$A$5:$A$9</c:f>
              <c:strCache>
                <c:ptCount val="0"/>
              </c:strCache>
            </c:strRef>
          </c:cat>
          <c:val>
            <c:numRef>
              <c:f>'Annual Summary'!$C$5:$C$9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New-store installations</c:v>
          </c:tx>
          <c:cat>
            <c:strRef>
              <c:f>'Annual Summary'!$A$5:$A$9</c:f>
              <c:strCache>
                <c:ptCount val="0"/>
              </c:strCache>
            </c:strRef>
          </c:cat>
          <c:val>
            <c:numRef>
              <c:f>'Annual Summary'!$D$5:$D$9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Total recurring</c:v>
          </c:tx>
          <c:cat>
            <c:strRef>
              <c:f>'Annual Summary'!$A$5:$A$9</c:f>
              <c:strCache>
                <c:ptCount val="0"/>
              </c:strCache>
            </c:strRef>
          </c:cat>
          <c:val>
            <c:numRef>
              <c:f>'Annual Summary'!$G$5:$G$9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e32469a6a14b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8b9e08beab84f6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30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1" t="str">
        <x:v>Pollo Campero five-year deployment economics</x:v>
      </x:c>
      <x:c r="B2" s="1"/>
      <x:c r="C2" s="1"/>
      <x:c r="D2" s="1"/>
      <x:c r="E2" s="1"/>
      <x:c r="F2" s="1"/>
      <x:c r="G2" s="1"/>
      <x:c r="H2" s="1"/>
    </x:row>
    <x:row r="4">
      <x:c r="A4" s="6" t="str">
        <x:v>Key metric</x:v>
      </x:c>
      <x:c r="B4" s="6" t="str">
        <x:v>Projected value</x:v>
      </x:c>
      <x:c r="D4" s="6" t="str">
        <x:v>Five-year result</x:v>
      </x:c>
      <x:c r="E4" s="6" t="str">
        <x:v>Projected value</x:v>
      </x:c>
    </x:row>
    <x:row r="5">
      <x:c r="A5" t="str">
        <x:v>Existing locations</x:v>
      </x:c>
      <x:c r="B5" t="n">
        <x:f>Assumptions!B5</x:f>
        <x:v>125</x:v>
      </x:c>
      <x:c r="D5" t="str">
        <x:v>Total one-time costs</x:v>
      </x:c>
      <x:c r="E5" s="12" t="n">
        <x:f>'Annual Summary'!C10+'Annual Summary'!D10</x:f>
        <x:v>3851609</x:v>
      </x:c>
    </x:row>
    <x:row r="6">
      <x:c r="A6" t="str">
        <x:v>Locations added over five years</x:v>
      </x:c>
      <x:c r="B6" t="n">
        <x:f>Assumptions!B7*12*Assumptions!B8</x:f>
        <x:v>60</x:v>
      </x:c>
      <x:c r="D6" t="str">
        <x:v>CMS SaaS</x:v>
      </x:c>
      <x:c r="E6" s="12" t="n">
        <x:f>'Annual Summary'!E10</x:f>
        <x:v>862980</x:v>
      </x:c>
    </x:row>
    <x:row r="7">
      <x:c r="A7" t="str">
        <x:v>Ending location count</x:v>
      </x:c>
      <x:c r="B7" t="n">
        <x:f>B5+B6</x:f>
        <x:v>185</x:v>
      </x:c>
      <x:c r="D7" t="str">
        <x:v>Optional managed menu</x:v>
      </x:c>
      <x:c r="E7" s="12" t="n">
        <x:f>'Annual Summary'!F10</x:f>
        <x:v>0</x:v>
      </x:c>
    </x:row>
    <x:row r="8">
      <x:c r="A8" t="str">
        <x:v>Existing deployment one-time</x:v>
      </x:c>
      <x:c r="B8" s="12" t="n">
        <x:f>'Site Detail'!K130</x:f>
        <x:v>626519</x:v>
      </x:c>
      <x:c r="D8" t="str">
        <x:v>Total recurring</x:v>
      </x:c>
      <x:c r="E8" s="12" t="n">
        <x:f>'Annual Summary'!G10</x:f>
        <x:v>862980</x:v>
      </x:c>
    </x:row>
    <x:row r="9">
      <x:c r="A9" t="str">
        <x:v>New-store one-time over five years</x:v>
      </x:c>
      <x:c r="B9" s="12" t="n">
        <x:f>'Annual Summary'!D10</x:f>
        <x:v>3225090</x:v>
      </x:c>
      <x:c r="D9" s="25" t="str">
        <x:v>Total five-year cash cost</x:v>
      </x:c>
      <x:c r="E9" s="26" t="n">
        <x:f>'Annual Summary'!H10</x:f>
        <x:v>4714589</x:v>
      </x:c>
    </x:row>
    <x:row r="12">
      <x:c r="A12" s="14" t="str">
        <x:v>Interpretation</x:v>
      </x:c>
      <x:c r="B12"/>
      <x:c r="C12"/>
      <x:c r="D12"/>
      <x:c r="E12"/>
      <x:c r="F12"/>
      <x:c r="G12"/>
      <x:c r="H12"/>
    </x:row>
    <x:row r="13" ht="28" customHeight="1">
      <x:c r="A13" s="15" t="str">
        <x:v>The initial 125-location estate is deployed evenly over the first three months. Its one-time installation and survey costs occur only in Year 1.</x:v>
      </x:c>
      <x:c r="B13"/>
      <x:c r="C13"/>
      <x:c r="D13"/>
      <x:c r="E13"/>
      <x:c r="F13"/>
      <x:c r="G13"/>
      <x:c r="H13"/>
    </x:row>
    <x:row r="14" ht="28" customHeight="1">
      <x:c r="A14" s="15" t="str">
        <x:v>CMS SaaS and any selected optional managed menu services continue across the five-year projection as locations activate.</x:v>
      </x:c>
      <x:c r="B14"/>
      <x:c r="C14"/>
      <x:c r="D14"/>
      <x:c r="E14"/>
      <x:c r="F14"/>
      <x:c r="G14"/>
      <x:c r="H14"/>
    </x:row>
    <x:row r="15" ht="28" customHeight="1">
      <x:c r="A15" s="15" t="str">
        <x:v>One-time costs for the existing estate are based on current active inventory and remain subject to site survey and display validation.</x:v>
      </x:c>
      <x:c r="B15"/>
      <x:c r="C15"/>
      <x:c r="D15"/>
      <x:c r="E15"/>
      <x:c r="F15"/>
      <x:c r="G15"/>
      <x:c r="H15"/>
    </x:row>
    <x:row r="16" ht="28" customHeight="1">
      <x:c r="A16" s="15" t="str">
        <x:v>New stores are modeled at one opening per month using full-replacement pricing less deinstallation, no survey, and a 50/50 single-/dual-lane mix.</x:v>
      </x:c>
      <x:c r="B16"/>
      <x:c r="C16"/>
      <x:c r="D16"/>
      <x:c r="E16"/>
      <x:c r="F16"/>
      <x:c r="G16"/>
      <x:c r="H16"/>
    </x:row>
    <x:row r="17" ht="28" customHeight="1">
      <x:c r="A17" s="15" t="str">
        <x:v>Locations without identified drive-thru inventory use the standard $90 monthly CMS tier because no indoor-only rate appears in the pricing response.</x:v>
      </x:c>
      <x:c r="B17"/>
      <x:c r="C17"/>
      <x:c r="D17"/>
      <x:c r="E17"/>
      <x:c r="F17"/>
      <x:c r="G17"/>
      <x:c r="H17"/>
    </x:row>
  </x:sheetData>
  <x:mergeCells>
    <x:mergeCell ref="A2:H2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3" hidden="0" customWidth="1"/>
    <x:col min="4" max="4" width="22" hidden="0" customWidth="1"/>
    <x:col min="5" max="5" width="13" hidden="0" customWidth="1"/>
    <x:col min="6" max="6" width="13" hidden="0" customWidth="1"/>
    <x:col min="7" max="7" width="25" hidden="0" customWidth="1"/>
    <x:col min="8" max="8" width="13" hidden="0" customWidth="1"/>
    <x:col min="9" max="9" width="13" hidden="0" customWidth="1"/>
    <x:col min="10" max="10" width="23" hidden="0" customWidth="1"/>
    <x:col min="11" max="11" width="13" hidden="0" customWidth="1"/>
  </x:cols>
  <x:sheetData>
    <x:row r="2">
      <x:c r="A2" s="1" t="str">
        <x:v>Pollo Campero five-year cost model assumptions</x:v>
      </x:c>
      <x:c r="B2" s="1"/>
      <x:c r="C2" s="1"/>
      <x:c r="D2" s="1"/>
      <x:c r="E2" s="1"/>
    </x:row>
    <x:row r="4">
      <x:c r="A4" s="6" t="str">
        <x:v>Input</x:v>
      </x:c>
      <x:c r="B4" s="6" t="str">
        <x:v>Value</x:v>
      </x:c>
      <x:c r="D4" s="6" t="str">
        <x:v>Indoor controllers</x:v>
      </x:c>
      <x:c r="E4" s="6" t="str">
        <x:v>Installed cost</x:v>
      </x:c>
      <x:c r="G4" s="6" t="str">
        <x:v>Single-lane DT controllers</x:v>
      </x:c>
      <x:c r="H4" s="6" t="str">
        <x:v>Installed cost</x:v>
      </x:c>
      <x:c r="J4" s="6" t="str">
        <x:v>Dual-lane DT controllers</x:v>
      </x:c>
      <x:c r="K4" s="6" t="str">
        <x:v>Installed cost</x:v>
      </x:c>
    </x:row>
    <x:row r="5">
      <x:c r="A5" t="str">
        <x:v>Initial restaurant count</x:v>
      </x:c>
      <x:c r="B5" s="8" t="n">
        <x:v>125</x:v>
      </x:c>
      <x:c r="D5" t="n">
        <x:v>0</x:v>
      </x:c>
      <x:c r="E5" s="12" t="n">
        <x:v>1328</x:v>
      </x:c>
      <x:c r="G5" t="n">
        <x:v>0</x:v>
      </x:c>
      <x:c r="H5" s="12" t="n">
        <x:v>1071</x:v>
      </x:c>
      <x:c r="J5" t="n">
        <x:v>0</x:v>
      </x:c>
      <x:c r="K5" s="12" t="n">
        <x:v>1328</x:v>
      </x:c>
    </x:row>
    <x:row r="6">
      <x:c r="A6" t="str">
        <x:v>Site survey per location</x:v>
      </x:c>
      <x:c r="B6" s="9" t="n">
        <x:v>525</x:v>
      </x:c>
      <x:c r="D6" t="n">
        <x:v>1</x:v>
      </x:c>
      <x:c r="E6" s="12" t="n">
        <x:v>2980</x:v>
      </x:c>
      <x:c r="G6" t="n">
        <x:v>1</x:v>
      </x:c>
      <x:c r="H6" s="12" t="n">
        <x:v>1901</x:v>
      </x:c>
      <x:c r="J6" t="n">
        <x:v>1</x:v>
      </x:c>
      <x:c r="K6" s="12" t="n">
        <x:v>2441</x:v>
      </x:c>
    </x:row>
    <x:row r="7">
      <x:c r="A7" t="str">
        <x:v>New stores added per month</x:v>
      </x:c>
      <x:c r="B7" s="8" t="n">
        <x:v>1</x:v>
      </x:c>
      <x:c r="D7" t="n">
        <x:v>2</x:v>
      </x:c>
      <x:c r="E7" s="12" t="n">
        <x:v>3650</x:v>
      </x:c>
      <x:c r="G7" t="n">
        <x:v>2</x:v>
      </x:c>
      <x:c r="H7" s="12" t="n">
        <x:v>2733</x:v>
      </x:c>
      <x:c r="J7" t="n">
        <x:v>2</x:v>
      </x:c>
      <x:c r="K7" s="12" t="n">
        <x:v>3271</x:v>
      </x:c>
    </x:row>
    <x:row r="8">
      <x:c r="A8" t="str">
        <x:v>Projection years</x:v>
      </x:c>
      <x:c r="B8" s="8" t="n">
        <x:v>5</x:v>
      </x:c>
      <x:c r="D8" t="n">
        <x:v>3</x:v>
      </x:c>
      <x:c r="E8" s="12" t="n">
        <x:v>4320</x:v>
      </x:c>
      <x:c r="G8" t="n">
        <x:v>3</x:v>
      </x:c>
      <x:c r="H8" s="12" t="n">
        <x:v>3565</x:v>
      </x:c>
      <x:c r="J8" t="n">
        <x:v>3</x:v>
      </x:c>
      <x:c r="K8" s="12" t="n">
        <x:v>4101</x:v>
      </x:c>
    </x:row>
    <x:row r="9">
      <x:c r="A9" t="str">
        <x:v>Standard / single-lane CMS per month</x:v>
      </x:c>
      <x:c r="B9" s="9" t="n">
        <x:v>90</x:v>
      </x:c>
      <x:c r="G9" t="n">
        <x:v>4</x:v>
      </x:c>
      <x:c r="H9" s="12" t="n">
        <x:v>4397</x:v>
      </x:c>
      <x:c r="J9" t="n">
        <x:v>4</x:v>
      </x:c>
      <x:c r="K9" s="12" t="n">
        <x:v>4931</x:v>
      </x:c>
    </x:row>
    <x:row r="10">
      <x:c r="A10" t="str">
        <x:v>Dual-lane CMS per month</x:v>
      </x:c>
      <x:c r="B10" s="9" t="n">
        <x:v>120</x:v>
      </x:c>
      <x:c r="J10" t="n">
        <x:v>5</x:v>
      </x:c>
      <x:c r="K10" s="12" t="n">
        <x:v>5761</x:v>
      </x:c>
    </x:row>
    <x:row r="11">
      <x:c r="A11" t="str">
        <x:v>Optional managed menu base per month</x:v>
      </x:c>
      <x:c r="B11" s="9" t="n">
        <x:v>100</x:v>
      </x:c>
      <x:c r="J11" t="n">
        <x:v>6</x:v>
      </x:c>
      <x:c r="K11" s="12" t="n">
        <x:v>6591</x:v>
      </x:c>
    </x:row>
    <x:row r="12">
      <x:c r="A12" t="str">
        <x:v>Managed menu adoption</x:v>
      </x:c>
      <x:c r="B12" s="10" t="n">
        <x:v>0</x:v>
      </x:c>
      <x:c r="J12" t="n">
        <x:v>7</x:v>
      </x:c>
      <x:c r="K12" s="12" t="n">
        <x:v>7421</x:v>
      </x:c>
    </x:row>
    <x:row r="13">
      <x:c r="A13" t="str">
        <x:v>Existing standard-rate locations</x:v>
      </x:c>
      <x:c r="B13" s="8" t="n">
        <x:v>121</x:v>
      </x:c>
      <x:c r="J13" t="n">
        <x:v>8</x:v>
      </x:c>
      <x:c r="K13" s="12" t="n">
        <x:v>8251</x:v>
      </x:c>
    </x:row>
    <x:row r="14">
      <x:c r="A14" t="str">
        <x:v>Existing dual-rate locations</x:v>
      </x:c>
      <x:c r="B14" s="8" t="n">
        <x:v>4</x:v>
      </x:c>
    </x:row>
    <x:row r="15">
      <x:c r="A15" t="str">
        <x:v>New-store dual-lane mix</x:v>
      </x:c>
      <x:c r="B15" s="11" t="n">
        <x:v>0.5</x:v>
      </x:c>
    </x:row>
    <x:row r="16">
      <x:c r="A16" t="str">
        <x:v>New-store indoor full replacement</x:v>
      </x:c>
      <x:c r="B16" s="9" t="n">
        <x:v>8642</x:v>
      </x:c>
    </x:row>
    <x:row r="17">
      <x:c r="A17" t="str">
        <x:v>New-store single-lane outdoor replacement</x:v>
      </x:c>
      <x:c r="B17" s="9" t="n">
        <x:v>32921</x:v>
      </x:c>
    </x:row>
    <x:row r="18">
      <x:c r="A18" t="str">
        <x:v>New-store dual-lane outdoor replacement</x:v>
      </x:c>
      <x:c r="B18" s="9" t="n">
        <x:v>64048</x:v>
      </x:c>
    </x:row>
    <x:row r="19">
      <x:c r="A19" t="str">
        <x:v>Existing rollout deployment months</x:v>
      </x:c>
      <x:c r="B19" s="8" t="n">
        <x:v>3</x:v>
      </x:c>
    </x:row>
    <x:row r="20">
      <x:c r="A20" t="str">
        <x:v>New-store indoor deinstallation removed</x:v>
      </x:c>
      <x:c r="B20" s="9" t="n">
        <x:v>1125</x:v>
      </x:c>
    </x:row>
    <x:row r="21">
      <x:c r="A21" t="str">
        <x:v>New-store single-lane DT deinstallation removed</x:v>
      </x:c>
      <x:c r="B21" s="9" t="n">
        <x:v>1500</x:v>
      </x:c>
    </x:row>
    <x:row r="22">
      <x:c r="A22" t="str">
        <x:v>New-store dual-lane DT deinstallation removed</x:v>
      </x:c>
      <x:c r="B22" s="9" t="n">
        <x:v>3000</x:v>
      </x:c>
    </x:row>
    <x:row r="24">
      <x:c r="A24" s="14" t="str">
        <x:v>Model notes</x:v>
      </x:c>
      <x:c r="B24"/>
      <x:c r="C24"/>
      <x:c r="D24"/>
      <x:c r="E24"/>
      <x:c r="F24"/>
      <x:c r="G24"/>
      <x:c r="H24"/>
      <x:c r="I24"/>
      <x:c r="J24"/>
      <x:c r="K24"/>
    </x:row>
    <x:row r="25" ht="34" customHeight="1">
      <x:c r="A25" t="str">
        <x:v>Existing locations</x:v>
      </x:c>
      <x:c r="B25" s="15" t="str">
        <x:v>One-time costs use active inventory, one indoor controller per two incompatible indoor boards and one controller per incompatible drive-thru board.</x:v>
      </x:c>
      <x:c r="C25"/>
      <x:c r="D25"/>
      <x:c r="E25"/>
      <x:c r="F25"/>
      <x:c r="G25"/>
      <x:c r="H25"/>
      <x:c r="I25"/>
      <x:c r="J25"/>
      <x:c r="K25"/>
    </x:row>
    <x:row r="26" ht="34" customHeight="1">
      <x:c r="A26" t="str">
        <x:v>New locations</x:v>
      </x:c>
      <x:c r="B26" s="15" t="str">
        <x:v>New stores use full-replacement pricing net of deinstallation, carry no site survey, and use a 50/50 single-lane and dual-lane mix. Dual-lane deinstallation is assumed at twice the listed single-lane charge and remains editable.</x:v>
      </x:c>
      <x:c r="C26"/>
      <x:c r="D26"/>
      <x:c r="E26"/>
      <x:c r="F26"/>
      <x:c r="G26"/>
      <x:c r="H26"/>
      <x:c r="I26"/>
      <x:c r="J26"/>
      <x:c r="K26"/>
    </x:row>
    <x:row r="27" ht="34" customHeight="1">
      <x:c r="A27" t="str">
        <x:v>Recurring services</x:v>
      </x:c>
      <x:c r="B27" s="15" t="str">
        <x:v>CMS is included in the SaaS projection. Optional managed menu services are shown separately and default to 0% adoption.</x:v>
      </x:c>
      <x:c r="C27"/>
      <x:c r="D27"/>
      <x:c r="E27"/>
      <x:c r="F27"/>
      <x:c r="G27"/>
      <x:c r="H27"/>
      <x:c r="I27"/>
      <x:c r="J27"/>
      <x:c r="K27"/>
    </x:row>
  </x:sheetData>
  <x:mergeCells>
    <x:mergeCell ref="A2:E2"/>
    <x:mergeCell ref="A24:K24"/>
    <x:mergeCell ref="B25:K25"/>
    <x:mergeCell ref="B26:K26"/>
    <x:mergeCell ref="B27:K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2">
      <x:c r="A2" s="1" t="str">
        <x:v>Five-year cost projection</x:v>
      </x:c>
      <x:c r="B2" s="1"/>
      <x:c r="C2" s="1"/>
      <x:c r="D2" s="1"/>
      <x:c r="E2" s="1"/>
      <x:c r="F2" s="1"/>
      <x:c r="G2" s="1"/>
      <x:c r="H2" s="1"/>
    </x:row>
    <x:row r="4">
      <x:c r="A4" s="6" t="str">
        <x:v>Year</x:v>
      </x:c>
      <x:c r="B4" s="6" t="str">
        <x:v>Ending locations</x:v>
      </x:c>
      <x:c r="C4" s="6" t="str">
        <x:v>Initial rollout one-time</x:v>
      </x:c>
      <x:c r="D4" s="6" t="str">
        <x:v>New-store installations</x:v>
      </x:c>
      <x:c r="E4" s="6" t="str">
        <x:v>CMS SaaS</x:v>
      </x:c>
      <x:c r="F4" s="6" t="str">
        <x:v>Optional managed menu</x:v>
      </x:c>
      <x:c r="G4" s="6" t="str">
        <x:v>Total recurring</x:v>
      </x:c>
      <x:c r="H4" s="6" t="str">
        <x:v>Total cash cost</x:v>
      </x:c>
    </x:row>
    <x:row r="5">
      <x:c r="A5" t="n">
        <x:v>1</x:v>
      </x:c>
      <x:c r="B5" t="n">
        <x:f>'Monthly Model'!G16</x:f>
        <x:v>137</x:v>
      </x:c>
      <x:c r="C5" s="12" t="n">
        <x:f>SUMIFS('Monthly Model'!$H$5:$H$64,'Monthly Model'!$B$5:$B$64,A5)</x:f>
        <x:v>626519</x:v>
      </x:c>
      <x:c r="D5" s="12" t="n">
        <x:f>SUMIFS('Monthly Model'!$I$5:$I$64,'Monthly Model'!$B$5:$B$64,A5)</x:f>
        <x:v>645018</x:v>
      </x:c>
      <x:c r="E5" s="12" t="n">
        <x:f>SUMIFS('Monthly Model'!$J$5:$J$64,'Monthly Model'!$B$5:$B$64,A5)</x:f>
        <x:v>133260</x:v>
      </x:c>
      <x:c r="F5" s="12" t="n">
        <x:f>SUMIFS('Monthly Model'!$K$5:$K$64,'Monthly Model'!$B$5:$B$64,A5)</x:f>
        <x:v>0</x:v>
      </x:c>
      <x:c r="G5" s="12" t="n">
        <x:f>E5+F5</x:f>
        <x:v>133260</x:v>
      </x:c>
      <x:c r="H5" s="12" t="n">
        <x:f>C5+D5+G5</x:f>
        <x:v>1404797</x:v>
      </x:c>
    </x:row>
    <x:row r="6">
      <x:c r="A6" t="n">
        <x:v>2</x:v>
      </x:c>
      <x:c r="B6" t="n">
        <x:f>'Monthly Model'!G28</x:f>
        <x:v>149</x:v>
      </x:c>
      <x:c r="C6" s="12" t="n">
        <x:f>SUMIFS('Monthly Model'!$H$5:$H$64,'Monthly Model'!$B$5:$B$64,A6)</x:f>
        <x:v>0</x:v>
      </x:c>
      <x:c r="D6" s="12" t="n">
        <x:f>SUMIFS('Monthly Model'!$I$5:$I$64,'Monthly Model'!$B$5:$B$64,A6)</x:f>
        <x:v>645018</x:v>
      </x:c>
      <x:c r="E6" s="12" t="n">
        <x:f>SUMIFS('Monthly Model'!$J$5:$J$64,'Monthly Model'!$B$5:$B$64,A6)</x:f>
        <x:v>159750</x:v>
      </x:c>
      <x:c r="F6" s="12" t="n">
        <x:f>SUMIFS('Monthly Model'!$K$5:$K$64,'Monthly Model'!$B$5:$B$64,A6)</x:f>
        <x:v>0</x:v>
      </x:c>
      <x:c r="G6" s="12" t="n">
        <x:f>E6+F6</x:f>
        <x:v>159750</x:v>
      </x:c>
      <x:c r="H6" s="12" t="n">
        <x:f>C6+D6+G6</x:f>
        <x:v>804768</x:v>
      </x:c>
    </x:row>
    <x:row r="7">
      <x:c r="A7" t="n">
        <x:v>3</x:v>
      </x:c>
      <x:c r="B7" t="n">
        <x:f>'Monthly Model'!G40</x:f>
        <x:v>161</x:v>
      </x:c>
      <x:c r="C7" s="12" t="n">
        <x:f>SUMIFS('Monthly Model'!$H$5:$H$64,'Monthly Model'!$B$5:$B$64,A7)</x:f>
        <x:v>0</x:v>
      </x:c>
      <x:c r="D7" s="12" t="n">
        <x:f>SUMIFS('Monthly Model'!$I$5:$I$64,'Monthly Model'!$B$5:$B$64,A7)</x:f>
        <x:v>645018</x:v>
      </x:c>
      <x:c r="E7" s="12" t="n">
        <x:f>SUMIFS('Monthly Model'!$J$5:$J$64,'Monthly Model'!$B$5:$B$64,A7)</x:f>
        <x:v>174870</x:v>
      </x:c>
      <x:c r="F7" s="12" t="n">
        <x:f>SUMIFS('Monthly Model'!$K$5:$K$64,'Monthly Model'!$B$5:$B$64,A7)</x:f>
        <x:v>0</x:v>
      </x:c>
      <x:c r="G7" s="12" t="n">
        <x:f>E7+F7</x:f>
        <x:v>174870</x:v>
      </x:c>
      <x:c r="H7" s="12" t="n">
        <x:f>C7+D7+G7</x:f>
        <x:v>819888</x:v>
      </x:c>
    </x:row>
    <x:row r="8">
      <x:c r="A8" t="n">
        <x:v>4</x:v>
      </x:c>
      <x:c r="B8" t="n">
        <x:f>'Monthly Model'!G52</x:f>
        <x:v>173</x:v>
      </x:c>
      <x:c r="C8" s="12" t="n">
        <x:f>SUMIFS('Monthly Model'!$H$5:$H$64,'Monthly Model'!$B$5:$B$64,A8)</x:f>
        <x:v>0</x:v>
      </x:c>
      <x:c r="D8" s="12" t="n">
        <x:f>SUMIFS('Monthly Model'!$I$5:$I$64,'Monthly Model'!$B$5:$B$64,A8)</x:f>
        <x:v>645018</x:v>
      </x:c>
      <x:c r="E8" s="12" t="n">
        <x:f>SUMIFS('Monthly Model'!$J$5:$J$64,'Monthly Model'!$B$5:$B$64,A8)</x:f>
        <x:v>189990</x:v>
      </x:c>
      <x:c r="F8" s="12" t="n">
        <x:f>SUMIFS('Monthly Model'!$K$5:$K$64,'Monthly Model'!$B$5:$B$64,A8)</x:f>
        <x:v>0</x:v>
      </x:c>
      <x:c r="G8" s="12" t="n">
        <x:f>E8+F8</x:f>
        <x:v>189990</x:v>
      </x:c>
      <x:c r="H8" s="12" t="n">
        <x:f>C8+D8+G8</x:f>
        <x:v>835008</x:v>
      </x:c>
    </x:row>
    <x:row r="9">
      <x:c r="A9" t="n">
        <x:v>5</x:v>
      </x:c>
      <x:c r="B9" t="n">
        <x:f>'Monthly Model'!G64</x:f>
        <x:v>185</x:v>
      </x:c>
      <x:c r="C9" s="12" t="n">
        <x:f>SUMIFS('Monthly Model'!$H$5:$H$64,'Monthly Model'!$B$5:$B$64,A9)</x:f>
        <x:v>0</x:v>
      </x:c>
      <x:c r="D9" s="12" t="n">
        <x:f>SUMIFS('Monthly Model'!$I$5:$I$64,'Monthly Model'!$B$5:$B$64,A9)</x:f>
        <x:v>645018</x:v>
      </x:c>
      <x:c r="E9" s="12" t="n">
        <x:f>SUMIFS('Monthly Model'!$J$5:$J$64,'Monthly Model'!$B$5:$B$64,A9)</x:f>
        <x:v>205110</x:v>
      </x:c>
      <x:c r="F9" s="12" t="n">
        <x:f>SUMIFS('Monthly Model'!$K$5:$K$64,'Monthly Model'!$B$5:$B$64,A9)</x:f>
        <x:v>0</x:v>
      </x:c>
      <x:c r="G9" s="12" t="n">
        <x:f>E9+F9</x:f>
        <x:v>205110</x:v>
      </x:c>
      <x:c r="H9" s="12" t="n">
        <x:f>C9+D9+G9</x:f>
        <x:v>850128</x:v>
      </x:c>
    </x:row>
    <x:row r="10">
      <x:c r="A10" s="18" t="str">
        <x:v>5-YEAR TOTAL</x:v>
      </x:c>
      <x:c r="B10" s="18" t="n">
        <x:f>B9</x:f>
        <x:v>185</x:v>
      </x:c>
      <x:c r="C10" s="19" t="n">
        <x:f>SUM(C5:C9)</x:f>
        <x:v>626519</x:v>
      </x:c>
      <x:c r="D10" s="19" t="n">
        <x:f>SUM(D5:D9)</x:f>
        <x:v>3225090</x:v>
      </x:c>
      <x:c r="E10" s="19" t="n">
        <x:f>SUM(E5:E9)</x:f>
        <x:v>862980</x:v>
      </x:c>
      <x:c r="F10" s="19" t="n">
        <x:f>SUM(F5:F9)</x:f>
        <x:v>0</x:v>
      </x:c>
      <x:c r="G10" s="19" t="n">
        <x:f>SUM(G5:G9)</x:f>
        <x:v>862980</x:v>
      </x:c>
      <x:c r="H10" s="19" t="n">
        <x:f>SUM(H5:H9)</x:f>
        <x:v>4714589</x:v>
      </x:c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d8b9e08beab84f6d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2">
      <x:c r="A2" s="1" t="str">
        <x:v>Monthly five-year projection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4">
      <x:c r="A4" s="6" t="str">
        <x:v>Month</x:v>
      </x:c>
      <x:c r="B4" s="6" t="str">
        <x:v>Year</x:v>
      </x:c>
      <x:c r="C4" s="6" t="str">
        <x:v>New stores</x:v>
      </x:c>
      <x:c r="D4" s="6" t="str">
        <x:v>Cumulative new stores</x:v>
      </x:c>
      <x:c r="E4" s="6" t="str">
        <x:v>Active standard locations</x:v>
      </x:c>
      <x:c r="F4" s="6" t="str">
        <x:v>Active dual locations</x:v>
      </x:c>
      <x:c r="G4" s="6" t="str">
        <x:v>Active locations</x:v>
      </x:c>
      <x:c r="H4" s="6" t="str">
        <x:v>Existing rollout one-time</x:v>
      </x:c>
      <x:c r="I4" s="6" t="str">
        <x:v>New-store one-time</x:v>
      </x:c>
      <x:c r="J4" s="6" t="str">
        <x:v>CMS SaaS</x:v>
      </x:c>
      <x:c r="K4" s="6" t="str">
        <x:v>Optional managed menu</x:v>
      </x:c>
      <x:c r="L4" s="6" t="str">
        <x:v>Total recurring</x:v>
      </x:c>
      <x:c r="M4" s="6" t="str">
        <x:v>Total cash cost</x:v>
      </x:c>
    </x:row>
    <x:row r="5">
      <x:c r="A5" t="n">
        <x:v>1</x:v>
      </x:c>
      <x:c r="B5" t="n">
        <x:v>1</x:v>
      </x:c>
      <x:c r="C5" t="n">
        <x:v>1</x:v>
      </x:c>
      <x:c r="D5" t="n">
        <x:f>SUM($C$5:C5)</x:f>
        <x:v>1</x:v>
      </x:c>
      <x:c r="E5" s="20" t="n">
        <x:f>Assumptions!$B$13*MIN(A5/Assumptions!$B$19,1)+D5*(1-Assumptions!$B$15)</x:f>
        <x:v>40.83333333333333</x:v>
      </x:c>
      <x:c r="F5" s="20" t="n">
        <x:f>Assumptions!$B$14*MIN(A5/Assumptions!$B$19,1)+D5*Assumptions!$B$15</x:f>
        <x:v>1.8333333333333333</x:v>
      </x:c>
      <x:c r="G5" s="20" t="n">
        <x:f>E5+F5</x:f>
        <x:v>42.666666666666664</x:v>
      </x:c>
      <x:c r="H5" s="12" t="n">
        <x:f>IF(A5&lt;=Assumptions!$B$19,'Site Detail'!K130/Assumptions!$B$19,0)</x:f>
        <x:v>208839.66666666666</x:v>
      </x:c>
      <x:c r="I5" s="12" t="n">
        <x:f>C5*((Assumptions!$B$16-Assumptions!$B$20)+(1-Assumptions!$B$15)*(Assumptions!$B$17-Assumptions!$B$21)+Assumptions!$B$15*(Assumptions!$B$18-Assumptions!$B$22))</x:f>
        <x:v>53751.5</x:v>
      </x:c>
      <x:c r="J5" s="12" t="n">
        <x:f>E5*Assumptions!$B$9+F5*Assumptions!$B$10</x:f>
        <x:v>3894.9999999999995</x:v>
      </x:c>
      <x:c r="K5" s="12" t="n">
        <x:f>G5*Assumptions!$B$11*Assumptions!$B$12</x:f>
        <x:v>0</x:v>
      </x:c>
      <x:c r="L5" s="12" t="n">
        <x:f>J5+K5</x:f>
        <x:v>3894.9999999999995</x:v>
      </x:c>
      <x:c r="M5" s="12" t="n">
        <x:f>H5+I5+L5</x:f>
        <x:v>266486.1666666666</x:v>
      </x:c>
    </x:row>
    <x:row r="6">
      <x:c r="A6" t="n">
        <x:v>2</x:v>
      </x:c>
      <x:c r="B6" t="n">
        <x:v>1</x:v>
      </x:c>
      <x:c r="C6" t="n">
        <x:v>1</x:v>
      </x:c>
      <x:c r="D6" t="n">
        <x:f>SUM($C$5:C6)</x:f>
        <x:v>2</x:v>
      </x:c>
      <x:c r="E6" s="20" t="n">
        <x:f>Assumptions!$B$13*MIN(A6/Assumptions!$B$19,1)+D6*(1-Assumptions!$B$15)</x:f>
        <x:v>81.66666666666666</x:v>
      </x:c>
      <x:c r="F6" s="20" t="n">
        <x:f>Assumptions!$B$14*MIN(A6/Assumptions!$B$19,1)+D6*Assumptions!$B$15</x:f>
        <x:v>3.6666666666666665</x:v>
      </x:c>
      <x:c r="G6" s="20" t="n">
        <x:f>E6+F6</x:f>
        <x:v>85.33333333333333</x:v>
      </x:c>
      <x:c r="H6" s="12" t="n">
        <x:f>IF(A6&lt;=Assumptions!$B$19,'Site Detail'!K130/Assumptions!$B$19,0)</x:f>
        <x:v>208839.66666666666</x:v>
      </x:c>
      <x:c r="I6" s="12" t="n">
        <x:f>C6*((Assumptions!$B$16-Assumptions!$B$20)+(1-Assumptions!$B$15)*(Assumptions!$B$17-Assumptions!$B$21)+Assumptions!$B$15*(Assumptions!$B$18-Assumptions!$B$22))</x:f>
        <x:v>53751.5</x:v>
      </x:c>
      <x:c r="J6" s="12" t="n">
        <x:f>E6*Assumptions!$B$9+F6*Assumptions!$B$10</x:f>
        <x:v>7789.999999999999</x:v>
      </x:c>
      <x:c r="K6" s="12" t="n">
        <x:f>G6*Assumptions!$B$11*Assumptions!$B$12</x:f>
        <x:v>0</x:v>
      </x:c>
      <x:c r="L6" s="12" t="n">
        <x:f>J6+K6</x:f>
        <x:v>7789.999999999999</x:v>
      </x:c>
      <x:c r="M6" s="12" t="n">
        <x:f>H6+I6+L6</x:f>
        <x:v>270381.1666666666</x:v>
      </x:c>
    </x:row>
    <x:row r="7">
      <x:c r="A7" t="n">
        <x:v>3</x:v>
      </x:c>
      <x:c r="B7" t="n">
        <x:v>1</x:v>
      </x:c>
      <x:c r="C7" t="n">
        <x:v>1</x:v>
      </x:c>
      <x:c r="D7" t="n">
        <x:f>SUM($C$5:C7)</x:f>
        <x:v>3</x:v>
      </x:c>
      <x:c r="E7" s="20" t="n">
        <x:f>Assumptions!$B$13*MIN(A7/Assumptions!$B$19,1)+D7*(1-Assumptions!$B$15)</x:f>
        <x:v>122.5</x:v>
      </x:c>
      <x:c r="F7" s="20" t="n">
        <x:f>Assumptions!$B$14*MIN(A7/Assumptions!$B$19,1)+D7*Assumptions!$B$15</x:f>
        <x:v>5.5</x:v>
      </x:c>
      <x:c r="G7" s="20" t="n">
        <x:f>E7+F7</x:f>
        <x:v>128</x:v>
      </x:c>
      <x:c r="H7" s="12" t="n">
        <x:f>IF(A7&lt;=Assumptions!$B$19,'Site Detail'!K130/Assumptions!$B$19,0)</x:f>
        <x:v>208839.66666666666</x:v>
      </x:c>
      <x:c r="I7" s="12" t="n">
        <x:f>C7*((Assumptions!$B$16-Assumptions!$B$20)+(1-Assumptions!$B$15)*(Assumptions!$B$17-Assumptions!$B$21)+Assumptions!$B$15*(Assumptions!$B$18-Assumptions!$B$22))</x:f>
        <x:v>53751.5</x:v>
      </x:c>
      <x:c r="J7" s="12" t="n">
        <x:f>E7*Assumptions!$B$9+F7*Assumptions!$B$10</x:f>
        <x:v>11685</x:v>
      </x:c>
      <x:c r="K7" s="12" t="n">
        <x:f>G7*Assumptions!$B$11*Assumptions!$B$12</x:f>
        <x:v>0</x:v>
      </x:c>
      <x:c r="L7" s="12" t="n">
        <x:f>J7+K7</x:f>
        <x:v>11685</x:v>
      </x:c>
      <x:c r="M7" s="12" t="n">
        <x:f>H7+I7+L7</x:f>
        <x:v>274276.1666666666</x:v>
      </x:c>
    </x:row>
    <x:row r="8">
      <x:c r="A8" t="n">
        <x:v>4</x:v>
      </x:c>
      <x:c r="B8" t="n">
        <x:v>1</x:v>
      </x:c>
      <x:c r="C8" t="n">
        <x:v>1</x:v>
      </x:c>
      <x:c r="D8" t="n">
        <x:f>SUM($C$5:C8)</x:f>
        <x:v>4</x:v>
      </x:c>
      <x:c r="E8" s="20" t="n">
        <x:f>Assumptions!$B$13*MIN(A8/Assumptions!$B$19,1)+D8*(1-Assumptions!$B$15)</x:f>
        <x:v>123</x:v>
      </x:c>
      <x:c r="F8" s="20" t="n">
        <x:f>Assumptions!$B$14*MIN(A8/Assumptions!$B$19,1)+D8*Assumptions!$B$15</x:f>
        <x:v>6</x:v>
      </x:c>
      <x:c r="G8" s="20" t="n">
        <x:f>E8+F8</x:f>
        <x:v>129</x:v>
      </x:c>
      <x:c r="H8" s="12" t="n">
        <x:f>IF(A8&lt;=Assumptions!$B$19,'Site Detail'!K130/Assumptions!$B$19,0)</x:f>
        <x:v>0</x:v>
      </x:c>
      <x:c r="I8" s="12" t="n">
        <x:f>C8*((Assumptions!$B$16-Assumptions!$B$20)+(1-Assumptions!$B$15)*(Assumptions!$B$17-Assumptions!$B$21)+Assumptions!$B$15*(Assumptions!$B$18-Assumptions!$B$22))</x:f>
        <x:v>53751.5</x:v>
      </x:c>
      <x:c r="J8" s="12" t="n">
        <x:f>E8*Assumptions!$B$9+F8*Assumptions!$B$10</x:f>
        <x:v>11790</x:v>
      </x:c>
      <x:c r="K8" s="12" t="n">
        <x:f>G8*Assumptions!$B$11*Assumptions!$B$12</x:f>
        <x:v>0</x:v>
      </x:c>
      <x:c r="L8" s="12" t="n">
        <x:f>J8+K8</x:f>
        <x:v>11790</x:v>
      </x:c>
      <x:c r="M8" s="12" t="n">
        <x:f>H8+I8+L8</x:f>
        <x:v>65541.5</x:v>
      </x:c>
    </x:row>
    <x:row r="9">
      <x:c r="A9" t="n">
        <x:v>5</x:v>
      </x:c>
      <x:c r="B9" t="n">
        <x:v>1</x:v>
      </x:c>
      <x:c r="C9" t="n">
        <x:v>1</x:v>
      </x:c>
      <x:c r="D9" t="n">
        <x:f>SUM($C$5:C9)</x:f>
        <x:v>5</x:v>
      </x:c>
      <x:c r="E9" s="20" t="n">
        <x:f>Assumptions!$B$13*MIN(A9/Assumptions!$B$19,1)+D9*(1-Assumptions!$B$15)</x:f>
        <x:v>123.5</x:v>
      </x:c>
      <x:c r="F9" s="20" t="n">
        <x:f>Assumptions!$B$14*MIN(A9/Assumptions!$B$19,1)+D9*Assumptions!$B$15</x:f>
        <x:v>6.5</x:v>
      </x:c>
      <x:c r="G9" s="20" t="n">
        <x:f>E9+F9</x:f>
        <x:v>130</x:v>
      </x:c>
      <x:c r="H9" s="12" t="n">
        <x:f>IF(A9&lt;=Assumptions!$B$19,'Site Detail'!K130/Assumptions!$B$19,0)</x:f>
        <x:v>0</x:v>
      </x:c>
      <x:c r="I9" s="12" t="n">
        <x:f>C9*((Assumptions!$B$16-Assumptions!$B$20)+(1-Assumptions!$B$15)*(Assumptions!$B$17-Assumptions!$B$21)+Assumptions!$B$15*(Assumptions!$B$18-Assumptions!$B$22))</x:f>
        <x:v>53751.5</x:v>
      </x:c>
      <x:c r="J9" s="12" t="n">
        <x:f>E9*Assumptions!$B$9+F9*Assumptions!$B$10</x:f>
        <x:v>11895</x:v>
      </x:c>
      <x:c r="K9" s="12" t="n">
        <x:f>G9*Assumptions!$B$11*Assumptions!$B$12</x:f>
        <x:v>0</x:v>
      </x:c>
      <x:c r="L9" s="12" t="n">
        <x:f>J9+K9</x:f>
        <x:v>11895</x:v>
      </x:c>
      <x:c r="M9" s="12" t="n">
        <x:f>H9+I9+L9</x:f>
        <x:v>65646.5</x:v>
      </x:c>
    </x:row>
    <x:row r="10">
      <x:c r="A10" t="n">
        <x:v>6</x:v>
      </x:c>
      <x:c r="B10" t="n">
        <x:v>1</x:v>
      </x:c>
      <x:c r="C10" t="n">
        <x:v>1</x:v>
      </x:c>
      <x:c r="D10" t="n">
        <x:f>SUM($C$5:C10)</x:f>
        <x:v>6</x:v>
      </x:c>
      <x:c r="E10" s="20" t="n">
        <x:f>Assumptions!$B$13*MIN(A10/Assumptions!$B$19,1)+D10*(1-Assumptions!$B$15)</x:f>
        <x:v>124</x:v>
      </x:c>
      <x:c r="F10" s="20" t="n">
        <x:f>Assumptions!$B$14*MIN(A10/Assumptions!$B$19,1)+D10*Assumptions!$B$15</x:f>
        <x:v>7</x:v>
      </x:c>
      <x:c r="G10" s="20" t="n">
        <x:f>E10+F10</x:f>
        <x:v>131</x:v>
      </x:c>
      <x:c r="H10" s="12" t="n">
        <x:f>IF(A10&lt;=Assumptions!$B$19,'Site Detail'!K130/Assumptions!$B$19,0)</x:f>
        <x:v>0</x:v>
      </x:c>
      <x:c r="I10" s="12" t="n">
        <x:f>C10*((Assumptions!$B$16-Assumptions!$B$20)+(1-Assumptions!$B$15)*(Assumptions!$B$17-Assumptions!$B$21)+Assumptions!$B$15*(Assumptions!$B$18-Assumptions!$B$22))</x:f>
        <x:v>53751.5</x:v>
      </x:c>
      <x:c r="J10" s="12" t="n">
        <x:f>E10*Assumptions!$B$9+F10*Assumptions!$B$10</x:f>
        <x:v>12000</x:v>
      </x:c>
      <x:c r="K10" s="12" t="n">
        <x:f>G10*Assumptions!$B$11*Assumptions!$B$12</x:f>
        <x:v>0</x:v>
      </x:c>
      <x:c r="L10" s="12" t="n">
        <x:f>J10+K10</x:f>
        <x:v>12000</x:v>
      </x:c>
      <x:c r="M10" s="12" t="n">
        <x:f>H10+I10+L10</x:f>
        <x:v>65751.5</x:v>
      </x:c>
    </x:row>
    <x:row r="11">
      <x:c r="A11" t="n">
        <x:v>7</x:v>
      </x:c>
      <x:c r="B11" t="n">
        <x:v>1</x:v>
      </x:c>
      <x:c r="C11" t="n">
        <x:v>1</x:v>
      </x:c>
      <x:c r="D11" t="n">
        <x:f>SUM($C$5:C11)</x:f>
        <x:v>7</x:v>
      </x:c>
      <x:c r="E11" s="20" t="n">
        <x:f>Assumptions!$B$13*MIN(A11/Assumptions!$B$19,1)+D11*(1-Assumptions!$B$15)</x:f>
        <x:v>124.5</x:v>
      </x:c>
      <x:c r="F11" s="20" t="n">
        <x:f>Assumptions!$B$14*MIN(A11/Assumptions!$B$19,1)+D11*Assumptions!$B$15</x:f>
        <x:v>7.5</x:v>
      </x:c>
      <x:c r="G11" s="20" t="n">
        <x:f>E11+F11</x:f>
        <x:v>132</x:v>
      </x:c>
      <x:c r="H11" s="12" t="n">
        <x:f>IF(A11&lt;=Assumptions!$B$19,'Site Detail'!K130/Assumptions!$B$19,0)</x:f>
        <x:v>0</x:v>
      </x:c>
      <x:c r="I11" s="12" t="n">
        <x:f>C11*((Assumptions!$B$16-Assumptions!$B$20)+(1-Assumptions!$B$15)*(Assumptions!$B$17-Assumptions!$B$21)+Assumptions!$B$15*(Assumptions!$B$18-Assumptions!$B$22))</x:f>
        <x:v>53751.5</x:v>
      </x:c>
      <x:c r="J11" s="12" t="n">
        <x:f>E11*Assumptions!$B$9+F11*Assumptions!$B$10</x:f>
        <x:v>12105</x:v>
      </x:c>
      <x:c r="K11" s="12" t="n">
        <x:f>G11*Assumptions!$B$11*Assumptions!$B$12</x:f>
        <x:v>0</x:v>
      </x:c>
      <x:c r="L11" s="12" t="n">
        <x:f>J11+K11</x:f>
        <x:v>12105</x:v>
      </x:c>
      <x:c r="M11" s="12" t="n">
        <x:f>H11+I11+L11</x:f>
        <x:v>65856.5</x:v>
      </x:c>
    </x:row>
    <x:row r="12">
      <x:c r="A12" t="n">
        <x:v>8</x:v>
      </x:c>
      <x:c r="B12" t="n">
        <x:v>1</x:v>
      </x:c>
      <x:c r="C12" t="n">
        <x:v>1</x:v>
      </x:c>
      <x:c r="D12" t="n">
        <x:f>SUM($C$5:C12)</x:f>
        <x:v>8</x:v>
      </x:c>
      <x:c r="E12" s="20" t="n">
        <x:f>Assumptions!$B$13*MIN(A12/Assumptions!$B$19,1)+D12*(1-Assumptions!$B$15)</x:f>
        <x:v>125</x:v>
      </x:c>
      <x:c r="F12" s="20" t="n">
        <x:f>Assumptions!$B$14*MIN(A12/Assumptions!$B$19,1)+D12*Assumptions!$B$15</x:f>
        <x:v>8</x:v>
      </x:c>
      <x:c r="G12" s="20" t="n">
        <x:f>E12+F12</x:f>
        <x:v>133</x:v>
      </x:c>
      <x:c r="H12" s="12" t="n">
        <x:f>IF(A12&lt;=Assumptions!$B$19,'Site Detail'!K130/Assumptions!$B$19,0)</x:f>
        <x:v>0</x:v>
      </x:c>
      <x:c r="I12" s="12" t="n">
        <x:f>C12*((Assumptions!$B$16-Assumptions!$B$20)+(1-Assumptions!$B$15)*(Assumptions!$B$17-Assumptions!$B$21)+Assumptions!$B$15*(Assumptions!$B$18-Assumptions!$B$22))</x:f>
        <x:v>53751.5</x:v>
      </x:c>
      <x:c r="J12" s="12" t="n">
        <x:f>E12*Assumptions!$B$9+F12*Assumptions!$B$10</x:f>
        <x:v>12210</x:v>
      </x:c>
      <x:c r="K12" s="12" t="n">
        <x:f>G12*Assumptions!$B$11*Assumptions!$B$12</x:f>
        <x:v>0</x:v>
      </x:c>
      <x:c r="L12" s="12" t="n">
        <x:f>J12+K12</x:f>
        <x:v>12210</x:v>
      </x:c>
      <x:c r="M12" s="12" t="n">
        <x:f>H12+I12+L12</x:f>
        <x:v>65961.5</x:v>
      </x:c>
    </x:row>
    <x:row r="13">
      <x:c r="A13" t="n">
        <x:v>9</x:v>
      </x:c>
      <x:c r="B13" t="n">
        <x:v>1</x:v>
      </x:c>
      <x:c r="C13" t="n">
        <x:v>1</x:v>
      </x:c>
      <x:c r="D13" t="n">
        <x:f>SUM($C$5:C13)</x:f>
        <x:v>9</x:v>
      </x:c>
      <x:c r="E13" s="20" t="n">
        <x:f>Assumptions!$B$13*MIN(A13/Assumptions!$B$19,1)+D13*(1-Assumptions!$B$15)</x:f>
        <x:v>125.5</x:v>
      </x:c>
      <x:c r="F13" s="20" t="n">
        <x:f>Assumptions!$B$14*MIN(A13/Assumptions!$B$19,1)+D13*Assumptions!$B$15</x:f>
        <x:v>8.5</x:v>
      </x:c>
      <x:c r="G13" s="20" t="n">
        <x:f>E13+F13</x:f>
        <x:v>134</x:v>
      </x:c>
      <x:c r="H13" s="12" t="n">
        <x:f>IF(A13&lt;=Assumptions!$B$19,'Site Detail'!K130/Assumptions!$B$19,0)</x:f>
        <x:v>0</x:v>
      </x:c>
      <x:c r="I13" s="12" t="n">
        <x:f>C13*((Assumptions!$B$16-Assumptions!$B$20)+(1-Assumptions!$B$15)*(Assumptions!$B$17-Assumptions!$B$21)+Assumptions!$B$15*(Assumptions!$B$18-Assumptions!$B$22))</x:f>
        <x:v>53751.5</x:v>
      </x:c>
      <x:c r="J13" s="12" t="n">
        <x:f>E13*Assumptions!$B$9+F13*Assumptions!$B$10</x:f>
        <x:v>12315</x:v>
      </x:c>
      <x:c r="K13" s="12" t="n">
        <x:f>G13*Assumptions!$B$11*Assumptions!$B$12</x:f>
        <x:v>0</x:v>
      </x:c>
      <x:c r="L13" s="12" t="n">
        <x:f>J13+K13</x:f>
        <x:v>12315</x:v>
      </x:c>
      <x:c r="M13" s="12" t="n">
        <x:f>H13+I13+L13</x:f>
        <x:v>66066.5</x:v>
      </x:c>
    </x:row>
    <x:row r="14">
      <x:c r="A14" t="n">
        <x:v>10</x:v>
      </x:c>
      <x:c r="B14" t="n">
        <x:v>1</x:v>
      </x:c>
      <x:c r="C14" t="n">
        <x:v>1</x:v>
      </x:c>
      <x:c r="D14" t="n">
        <x:f>SUM($C$5:C14)</x:f>
        <x:v>10</x:v>
      </x:c>
      <x:c r="E14" s="20" t="n">
        <x:f>Assumptions!$B$13*MIN(A14/Assumptions!$B$19,1)+D14*(1-Assumptions!$B$15)</x:f>
        <x:v>126</x:v>
      </x:c>
      <x:c r="F14" s="20" t="n">
        <x:f>Assumptions!$B$14*MIN(A14/Assumptions!$B$19,1)+D14*Assumptions!$B$15</x:f>
        <x:v>9</x:v>
      </x:c>
      <x:c r="G14" s="20" t="n">
        <x:f>E14+F14</x:f>
        <x:v>135</x:v>
      </x:c>
      <x:c r="H14" s="12" t="n">
        <x:f>IF(A14&lt;=Assumptions!$B$19,'Site Detail'!K130/Assumptions!$B$19,0)</x:f>
        <x:v>0</x:v>
      </x:c>
      <x:c r="I14" s="12" t="n">
        <x:f>C14*((Assumptions!$B$16-Assumptions!$B$20)+(1-Assumptions!$B$15)*(Assumptions!$B$17-Assumptions!$B$21)+Assumptions!$B$15*(Assumptions!$B$18-Assumptions!$B$22))</x:f>
        <x:v>53751.5</x:v>
      </x:c>
      <x:c r="J14" s="12" t="n">
        <x:f>E14*Assumptions!$B$9+F14*Assumptions!$B$10</x:f>
        <x:v>12420</x:v>
      </x:c>
      <x:c r="K14" s="12" t="n">
        <x:f>G14*Assumptions!$B$11*Assumptions!$B$12</x:f>
        <x:v>0</x:v>
      </x:c>
      <x:c r="L14" s="12" t="n">
        <x:f>J14+K14</x:f>
        <x:v>12420</x:v>
      </x:c>
      <x:c r="M14" s="12" t="n">
        <x:f>H14+I14+L14</x:f>
        <x:v>66171.5</x:v>
      </x:c>
    </x:row>
    <x:row r="15">
      <x:c r="A15" t="n">
        <x:v>11</x:v>
      </x:c>
      <x:c r="B15" t="n">
        <x:v>1</x:v>
      </x:c>
      <x:c r="C15" t="n">
        <x:v>1</x:v>
      </x:c>
      <x:c r="D15" t="n">
        <x:f>SUM($C$5:C15)</x:f>
        <x:v>11</x:v>
      </x:c>
      <x:c r="E15" s="20" t="n">
        <x:f>Assumptions!$B$13*MIN(A15/Assumptions!$B$19,1)+D15*(1-Assumptions!$B$15)</x:f>
        <x:v>126.5</x:v>
      </x:c>
      <x:c r="F15" s="20" t="n">
        <x:f>Assumptions!$B$14*MIN(A15/Assumptions!$B$19,1)+D15*Assumptions!$B$15</x:f>
        <x:v>9.5</x:v>
      </x:c>
      <x:c r="G15" s="20" t="n">
        <x:f>E15+F15</x:f>
        <x:v>136</x:v>
      </x:c>
      <x:c r="H15" s="12" t="n">
        <x:f>IF(A15&lt;=Assumptions!$B$19,'Site Detail'!K130/Assumptions!$B$19,0)</x:f>
        <x:v>0</x:v>
      </x:c>
      <x:c r="I15" s="12" t="n">
        <x:f>C15*((Assumptions!$B$16-Assumptions!$B$20)+(1-Assumptions!$B$15)*(Assumptions!$B$17-Assumptions!$B$21)+Assumptions!$B$15*(Assumptions!$B$18-Assumptions!$B$22))</x:f>
        <x:v>53751.5</x:v>
      </x:c>
      <x:c r="J15" s="12" t="n">
        <x:f>E15*Assumptions!$B$9+F15*Assumptions!$B$10</x:f>
        <x:v>12525</x:v>
      </x:c>
      <x:c r="K15" s="12" t="n">
        <x:f>G15*Assumptions!$B$11*Assumptions!$B$12</x:f>
        <x:v>0</x:v>
      </x:c>
      <x:c r="L15" s="12" t="n">
        <x:f>J15+K15</x:f>
        <x:v>12525</x:v>
      </x:c>
      <x:c r="M15" s="12" t="n">
        <x:f>H15+I15+L15</x:f>
        <x:v>66276.5</x:v>
      </x:c>
    </x:row>
    <x:row r="16">
      <x:c r="A16" t="n">
        <x:v>12</x:v>
      </x:c>
      <x:c r="B16" t="n">
        <x:v>1</x:v>
      </x:c>
      <x:c r="C16" t="n">
        <x:v>1</x:v>
      </x:c>
      <x:c r="D16" t="n">
        <x:f>SUM($C$5:C16)</x:f>
        <x:v>12</x:v>
      </x:c>
      <x:c r="E16" s="20" t="n">
        <x:f>Assumptions!$B$13*MIN(A16/Assumptions!$B$19,1)+D16*(1-Assumptions!$B$15)</x:f>
        <x:v>127</x:v>
      </x:c>
      <x:c r="F16" s="20" t="n">
        <x:f>Assumptions!$B$14*MIN(A16/Assumptions!$B$19,1)+D16*Assumptions!$B$15</x:f>
        <x:v>10</x:v>
      </x:c>
      <x:c r="G16" s="20" t="n">
        <x:f>E16+F16</x:f>
        <x:v>137</x:v>
      </x:c>
      <x:c r="H16" s="12" t="n">
        <x:f>IF(A16&lt;=Assumptions!$B$19,'Site Detail'!K130/Assumptions!$B$19,0)</x:f>
        <x:v>0</x:v>
      </x:c>
      <x:c r="I16" s="12" t="n">
        <x:f>C16*((Assumptions!$B$16-Assumptions!$B$20)+(1-Assumptions!$B$15)*(Assumptions!$B$17-Assumptions!$B$21)+Assumptions!$B$15*(Assumptions!$B$18-Assumptions!$B$22))</x:f>
        <x:v>53751.5</x:v>
      </x:c>
      <x:c r="J16" s="12" t="n">
        <x:f>E16*Assumptions!$B$9+F16*Assumptions!$B$10</x:f>
        <x:v>12630</x:v>
      </x:c>
      <x:c r="K16" s="12" t="n">
        <x:f>G16*Assumptions!$B$11*Assumptions!$B$12</x:f>
        <x:v>0</x:v>
      </x:c>
      <x:c r="L16" s="12" t="n">
        <x:f>J16+K16</x:f>
        <x:v>12630</x:v>
      </x:c>
      <x:c r="M16" s="12" t="n">
        <x:f>H16+I16+L16</x:f>
        <x:v>66381.5</x:v>
      </x:c>
    </x:row>
    <x:row r="17">
      <x:c r="A17" t="n">
        <x:v>13</x:v>
      </x:c>
      <x:c r="B17" t="n">
        <x:v>2</x:v>
      </x:c>
      <x:c r="C17" t="n">
        <x:v>1</x:v>
      </x:c>
      <x:c r="D17" t="n">
        <x:f>SUM($C$5:C17)</x:f>
        <x:v>13</x:v>
      </x:c>
      <x:c r="E17" s="20" t="n">
        <x:f>Assumptions!$B$13*MIN(A17/Assumptions!$B$19,1)+D17*(1-Assumptions!$B$15)</x:f>
        <x:v>127.5</x:v>
      </x:c>
      <x:c r="F17" s="20" t="n">
        <x:f>Assumptions!$B$14*MIN(A17/Assumptions!$B$19,1)+D17*Assumptions!$B$15</x:f>
        <x:v>10.5</x:v>
      </x:c>
      <x:c r="G17" s="20" t="n">
        <x:f>E17+F17</x:f>
        <x:v>138</x:v>
      </x:c>
      <x:c r="H17" s="12" t="n">
        <x:f>IF(A17&lt;=Assumptions!$B$19,'Site Detail'!K130/Assumptions!$B$19,0)</x:f>
        <x:v>0</x:v>
      </x:c>
      <x:c r="I17" s="12" t="n">
        <x:f>C17*((Assumptions!$B$16-Assumptions!$B$20)+(1-Assumptions!$B$15)*(Assumptions!$B$17-Assumptions!$B$21)+Assumptions!$B$15*(Assumptions!$B$18-Assumptions!$B$22))</x:f>
        <x:v>53751.5</x:v>
      </x:c>
      <x:c r="J17" s="12" t="n">
        <x:f>E17*Assumptions!$B$9+F17*Assumptions!$B$10</x:f>
        <x:v>12735</x:v>
      </x:c>
      <x:c r="K17" s="12" t="n">
        <x:f>G17*Assumptions!$B$11*Assumptions!$B$12</x:f>
        <x:v>0</x:v>
      </x:c>
      <x:c r="L17" s="12" t="n">
        <x:f>J17+K17</x:f>
        <x:v>12735</x:v>
      </x:c>
      <x:c r="M17" s="12" t="n">
        <x:f>H17+I17+L17</x:f>
        <x:v>66486.5</x:v>
      </x:c>
    </x:row>
    <x:row r="18">
      <x:c r="A18" t="n">
        <x:v>14</x:v>
      </x:c>
      <x:c r="B18" t="n">
        <x:v>2</x:v>
      </x:c>
      <x:c r="C18" t="n">
        <x:v>1</x:v>
      </x:c>
      <x:c r="D18" t="n">
        <x:f>SUM($C$5:C18)</x:f>
        <x:v>14</x:v>
      </x:c>
      <x:c r="E18" s="20" t="n">
        <x:f>Assumptions!$B$13*MIN(A18/Assumptions!$B$19,1)+D18*(1-Assumptions!$B$15)</x:f>
        <x:v>128</x:v>
      </x:c>
      <x:c r="F18" s="20" t="n">
        <x:f>Assumptions!$B$14*MIN(A18/Assumptions!$B$19,1)+D18*Assumptions!$B$15</x:f>
        <x:v>11</x:v>
      </x:c>
      <x:c r="G18" s="20" t="n">
        <x:f>E18+F18</x:f>
        <x:v>139</x:v>
      </x:c>
      <x:c r="H18" s="12" t="n">
        <x:f>IF(A18&lt;=Assumptions!$B$19,'Site Detail'!K130/Assumptions!$B$19,0)</x:f>
        <x:v>0</x:v>
      </x:c>
      <x:c r="I18" s="12" t="n">
        <x:f>C18*((Assumptions!$B$16-Assumptions!$B$20)+(1-Assumptions!$B$15)*(Assumptions!$B$17-Assumptions!$B$21)+Assumptions!$B$15*(Assumptions!$B$18-Assumptions!$B$22))</x:f>
        <x:v>53751.5</x:v>
      </x:c>
      <x:c r="J18" s="12" t="n">
        <x:f>E18*Assumptions!$B$9+F18*Assumptions!$B$10</x:f>
        <x:v>12840</x:v>
      </x:c>
      <x:c r="K18" s="12" t="n">
        <x:f>G18*Assumptions!$B$11*Assumptions!$B$12</x:f>
        <x:v>0</x:v>
      </x:c>
      <x:c r="L18" s="12" t="n">
        <x:f>J18+K18</x:f>
        <x:v>12840</x:v>
      </x:c>
      <x:c r="M18" s="12" t="n">
        <x:f>H18+I18+L18</x:f>
        <x:v>66591.5</x:v>
      </x:c>
    </x:row>
    <x:row r="19">
      <x:c r="A19" t="n">
        <x:v>15</x:v>
      </x:c>
      <x:c r="B19" t="n">
        <x:v>2</x:v>
      </x:c>
      <x:c r="C19" t="n">
        <x:v>1</x:v>
      </x:c>
      <x:c r="D19" t="n">
        <x:f>SUM($C$5:C19)</x:f>
        <x:v>15</x:v>
      </x:c>
      <x:c r="E19" s="20" t="n">
        <x:f>Assumptions!$B$13*MIN(A19/Assumptions!$B$19,1)+D19*(1-Assumptions!$B$15)</x:f>
        <x:v>128.5</x:v>
      </x:c>
      <x:c r="F19" s="20" t="n">
        <x:f>Assumptions!$B$14*MIN(A19/Assumptions!$B$19,1)+D19*Assumptions!$B$15</x:f>
        <x:v>11.5</x:v>
      </x:c>
      <x:c r="G19" s="20" t="n">
        <x:f>E19+F19</x:f>
        <x:v>140</x:v>
      </x:c>
      <x:c r="H19" s="12" t="n">
        <x:f>IF(A19&lt;=Assumptions!$B$19,'Site Detail'!K130/Assumptions!$B$19,0)</x:f>
        <x:v>0</x:v>
      </x:c>
      <x:c r="I19" s="12" t="n">
        <x:f>C19*((Assumptions!$B$16-Assumptions!$B$20)+(1-Assumptions!$B$15)*(Assumptions!$B$17-Assumptions!$B$21)+Assumptions!$B$15*(Assumptions!$B$18-Assumptions!$B$22))</x:f>
        <x:v>53751.5</x:v>
      </x:c>
      <x:c r="J19" s="12" t="n">
        <x:f>E19*Assumptions!$B$9+F19*Assumptions!$B$10</x:f>
        <x:v>12945</x:v>
      </x:c>
      <x:c r="K19" s="12" t="n">
        <x:f>G19*Assumptions!$B$11*Assumptions!$B$12</x:f>
        <x:v>0</x:v>
      </x:c>
      <x:c r="L19" s="12" t="n">
        <x:f>J19+K19</x:f>
        <x:v>12945</x:v>
      </x:c>
      <x:c r="M19" s="12" t="n">
        <x:f>H19+I19+L19</x:f>
        <x:v>66696.5</x:v>
      </x:c>
    </x:row>
    <x:row r="20">
      <x:c r="A20" t="n">
        <x:v>16</x:v>
      </x:c>
      <x:c r="B20" t="n">
        <x:v>2</x:v>
      </x:c>
      <x:c r="C20" t="n">
        <x:v>1</x:v>
      </x:c>
      <x:c r="D20" t="n">
        <x:f>SUM($C$5:C20)</x:f>
        <x:v>16</x:v>
      </x:c>
      <x:c r="E20" s="20" t="n">
        <x:f>Assumptions!$B$13*MIN(A20/Assumptions!$B$19,1)+D20*(1-Assumptions!$B$15)</x:f>
        <x:v>129</x:v>
      </x:c>
      <x:c r="F20" s="20" t="n">
        <x:f>Assumptions!$B$14*MIN(A20/Assumptions!$B$19,1)+D20*Assumptions!$B$15</x:f>
        <x:v>12</x:v>
      </x:c>
      <x:c r="G20" s="20" t="n">
        <x:f>E20+F20</x:f>
        <x:v>141</x:v>
      </x:c>
      <x:c r="H20" s="12" t="n">
        <x:f>IF(A20&lt;=Assumptions!$B$19,'Site Detail'!K130/Assumptions!$B$19,0)</x:f>
        <x:v>0</x:v>
      </x:c>
      <x:c r="I20" s="12" t="n">
        <x:f>C20*((Assumptions!$B$16-Assumptions!$B$20)+(1-Assumptions!$B$15)*(Assumptions!$B$17-Assumptions!$B$21)+Assumptions!$B$15*(Assumptions!$B$18-Assumptions!$B$22))</x:f>
        <x:v>53751.5</x:v>
      </x:c>
      <x:c r="J20" s="12" t="n">
        <x:f>E20*Assumptions!$B$9+F20*Assumptions!$B$10</x:f>
        <x:v>13050</x:v>
      </x:c>
      <x:c r="K20" s="12" t="n">
        <x:f>G20*Assumptions!$B$11*Assumptions!$B$12</x:f>
        <x:v>0</x:v>
      </x:c>
      <x:c r="L20" s="12" t="n">
        <x:f>J20+K20</x:f>
        <x:v>13050</x:v>
      </x:c>
      <x:c r="M20" s="12" t="n">
        <x:f>H20+I20+L20</x:f>
        <x:v>66801.5</x:v>
      </x:c>
    </x:row>
    <x:row r="21">
      <x:c r="A21" t="n">
        <x:v>17</x:v>
      </x:c>
      <x:c r="B21" t="n">
        <x:v>2</x:v>
      </x:c>
      <x:c r="C21" t="n">
        <x:v>1</x:v>
      </x:c>
      <x:c r="D21" t="n">
        <x:f>SUM($C$5:C21)</x:f>
        <x:v>17</x:v>
      </x:c>
      <x:c r="E21" s="20" t="n">
        <x:f>Assumptions!$B$13*MIN(A21/Assumptions!$B$19,1)+D21*(1-Assumptions!$B$15)</x:f>
        <x:v>129.5</x:v>
      </x:c>
      <x:c r="F21" s="20" t="n">
        <x:f>Assumptions!$B$14*MIN(A21/Assumptions!$B$19,1)+D21*Assumptions!$B$15</x:f>
        <x:v>12.5</x:v>
      </x:c>
      <x:c r="G21" s="20" t="n">
        <x:f>E21+F21</x:f>
        <x:v>142</x:v>
      </x:c>
      <x:c r="H21" s="12" t="n">
        <x:f>IF(A21&lt;=Assumptions!$B$19,'Site Detail'!K130/Assumptions!$B$19,0)</x:f>
        <x:v>0</x:v>
      </x:c>
      <x:c r="I21" s="12" t="n">
        <x:f>C21*((Assumptions!$B$16-Assumptions!$B$20)+(1-Assumptions!$B$15)*(Assumptions!$B$17-Assumptions!$B$21)+Assumptions!$B$15*(Assumptions!$B$18-Assumptions!$B$22))</x:f>
        <x:v>53751.5</x:v>
      </x:c>
      <x:c r="J21" s="12" t="n">
        <x:f>E21*Assumptions!$B$9+F21*Assumptions!$B$10</x:f>
        <x:v>13155</x:v>
      </x:c>
      <x:c r="K21" s="12" t="n">
        <x:f>G21*Assumptions!$B$11*Assumptions!$B$12</x:f>
        <x:v>0</x:v>
      </x:c>
      <x:c r="L21" s="12" t="n">
        <x:f>J21+K21</x:f>
        <x:v>13155</x:v>
      </x:c>
      <x:c r="M21" s="12" t="n">
        <x:f>H21+I21+L21</x:f>
        <x:v>66906.5</x:v>
      </x:c>
    </x:row>
    <x:row r="22">
      <x:c r="A22" t="n">
        <x:v>18</x:v>
      </x:c>
      <x:c r="B22" t="n">
        <x:v>2</x:v>
      </x:c>
      <x:c r="C22" t="n">
        <x:v>1</x:v>
      </x:c>
      <x:c r="D22" t="n">
        <x:f>SUM($C$5:C22)</x:f>
        <x:v>18</x:v>
      </x:c>
      <x:c r="E22" s="20" t="n">
        <x:f>Assumptions!$B$13*MIN(A22/Assumptions!$B$19,1)+D22*(1-Assumptions!$B$15)</x:f>
        <x:v>130</x:v>
      </x:c>
      <x:c r="F22" s="20" t="n">
        <x:f>Assumptions!$B$14*MIN(A22/Assumptions!$B$19,1)+D22*Assumptions!$B$15</x:f>
        <x:v>13</x:v>
      </x:c>
      <x:c r="G22" s="20" t="n">
        <x:f>E22+F22</x:f>
        <x:v>143</x:v>
      </x:c>
      <x:c r="H22" s="12" t="n">
        <x:f>IF(A22&lt;=Assumptions!$B$19,'Site Detail'!K130/Assumptions!$B$19,0)</x:f>
        <x:v>0</x:v>
      </x:c>
      <x:c r="I22" s="12" t="n">
        <x:f>C22*((Assumptions!$B$16-Assumptions!$B$20)+(1-Assumptions!$B$15)*(Assumptions!$B$17-Assumptions!$B$21)+Assumptions!$B$15*(Assumptions!$B$18-Assumptions!$B$22))</x:f>
        <x:v>53751.5</x:v>
      </x:c>
      <x:c r="J22" s="12" t="n">
        <x:f>E22*Assumptions!$B$9+F22*Assumptions!$B$10</x:f>
        <x:v>13260</x:v>
      </x:c>
      <x:c r="K22" s="12" t="n">
        <x:f>G22*Assumptions!$B$11*Assumptions!$B$12</x:f>
        <x:v>0</x:v>
      </x:c>
      <x:c r="L22" s="12" t="n">
        <x:f>J22+K22</x:f>
        <x:v>13260</x:v>
      </x:c>
      <x:c r="M22" s="12" t="n">
        <x:f>H22+I22+L22</x:f>
        <x:v>67011.5</x:v>
      </x:c>
    </x:row>
    <x:row r="23">
      <x:c r="A23" t="n">
        <x:v>19</x:v>
      </x:c>
      <x:c r="B23" t="n">
        <x:v>2</x:v>
      </x:c>
      <x:c r="C23" t="n">
        <x:v>1</x:v>
      </x:c>
      <x:c r="D23" t="n">
        <x:f>SUM($C$5:C23)</x:f>
        <x:v>19</x:v>
      </x:c>
      <x:c r="E23" s="20" t="n">
        <x:f>Assumptions!$B$13*MIN(A23/Assumptions!$B$19,1)+D23*(1-Assumptions!$B$15)</x:f>
        <x:v>130.5</x:v>
      </x:c>
      <x:c r="F23" s="20" t="n">
        <x:f>Assumptions!$B$14*MIN(A23/Assumptions!$B$19,1)+D23*Assumptions!$B$15</x:f>
        <x:v>13.5</x:v>
      </x:c>
      <x:c r="G23" s="20" t="n">
        <x:f>E23+F23</x:f>
        <x:v>144</x:v>
      </x:c>
      <x:c r="H23" s="12" t="n">
        <x:f>IF(A23&lt;=Assumptions!$B$19,'Site Detail'!K130/Assumptions!$B$19,0)</x:f>
        <x:v>0</x:v>
      </x:c>
      <x:c r="I23" s="12" t="n">
        <x:f>C23*((Assumptions!$B$16-Assumptions!$B$20)+(1-Assumptions!$B$15)*(Assumptions!$B$17-Assumptions!$B$21)+Assumptions!$B$15*(Assumptions!$B$18-Assumptions!$B$22))</x:f>
        <x:v>53751.5</x:v>
      </x:c>
      <x:c r="J23" s="12" t="n">
        <x:f>E23*Assumptions!$B$9+F23*Assumptions!$B$10</x:f>
        <x:v>13365</x:v>
      </x:c>
      <x:c r="K23" s="12" t="n">
        <x:f>G23*Assumptions!$B$11*Assumptions!$B$12</x:f>
        <x:v>0</x:v>
      </x:c>
      <x:c r="L23" s="12" t="n">
        <x:f>J23+K23</x:f>
        <x:v>13365</x:v>
      </x:c>
      <x:c r="M23" s="12" t="n">
        <x:f>H23+I23+L23</x:f>
        <x:v>67116.5</x:v>
      </x:c>
    </x:row>
    <x:row r="24">
      <x:c r="A24" t="n">
        <x:v>20</x:v>
      </x:c>
      <x:c r="B24" t="n">
        <x:v>2</x:v>
      </x:c>
      <x:c r="C24" t="n">
        <x:v>1</x:v>
      </x:c>
      <x:c r="D24" t="n">
        <x:f>SUM($C$5:C24)</x:f>
        <x:v>20</x:v>
      </x:c>
      <x:c r="E24" s="20" t="n">
        <x:f>Assumptions!$B$13*MIN(A24/Assumptions!$B$19,1)+D24*(1-Assumptions!$B$15)</x:f>
        <x:v>131</x:v>
      </x:c>
      <x:c r="F24" s="20" t="n">
        <x:f>Assumptions!$B$14*MIN(A24/Assumptions!$B$19,1)+D24*Assumptions!$B$15</x:f>
        <x:v>14</x:v>
      </x:c>
      <x:c r="G24" s="20" t="n">
        <x:f>E24+F24</x:f>
        <x:v>145</x:v>
      </x:c>
      <x:c r="H24" s="12" t="n">
        <x:f>IF(A24&lt;=Assumptions!$B$19,'Site Detail'!K130/Assumptions!$B$19,0)</x:f>
        <x:v>0</x:v>
      </x:c>
      <x:c r="I24" s="12" t="n">
        <x:f>C24*((Assumptions!$B$16-Assumptions!$B$20)+(1-Assumptions!$B$15)*(Assumptions!$B$17-Assumptions!$B$21)+Assumptions!$B$15*(Assumptions!$B$18-Assumptions!$B$22))</x:f>
        <x:v>53751.5</x:v>
      </x:c>
      <x:c r="J24" s="12" t="n">
        <x:f>E24*Assumptions!$B$9+F24*Assumptions!$B$10</x:f>
        <x:v>13470</x:v>
      </x:c>
      <x:c r="K24" s="12" t="n">
        <x:f>G24*Assumptions!$B$11*Assumptions!$B$12</x:f>
        <x:v>0</x:v>
      </x:c>
      <x:c r="L24" s="12" t="n">
        <x:f>J24+K24</x:f>
        <x:v>13470</x:v>
      </x:c>
      <x:c r="M24" s="12" t="n">
        <x:f>H24+I24+L24</x:f>
        <x:v>67221.5</x:v>
      </x:c>
    </x:row>
    <x:row r="25">
      <x:c r="A25" t="n">
        <x:v>21</x:v>
      </x:c>
      <x:c r="B25" t="n">
        <x:v>2</x:v>
      </x:c>
      <x:c r="C25" t="n">
        <x:v>1</x:v>
      </x:c>
      <x:c r="D25" t="n">
        <x:f>SUM($C$5:C25)</x:f>
        <x:v>21</x:v>
      </x:c>
      <x:c r="E25" s="20" t="n">
        <x:f>Assumptions!$B$13*MIN(A25/Assumptions!$B$19,1)+D25*(1-Assumptions!$B$15)</x:f>
        <x:v>131.5</x:v>
      </x:c>
      <x:c r="F25" s="20" t="n">
        <x:f>Assumptions!$B$14*MIN(A25/Assumptions!$B$19,1)+D25*Assumptions!$B$15</x:f>
        <x:v>14.5</x:v>
      </x:c>
      <x:c r="G25" s="20" t="n">
        <x:f>E25+F25</x:f>
        <x:v>146</x:v>
      </x:c>
      <x:c r="H25" s="12" t="n">
        <x:f>IF(A25&lt;=Assumptions!$B$19,'Site Detail'!K130/Assumptions!$B$19,0)</x:f>
        <x:v>0</x:v>
      </x:c>
      <x:c r="I25" s="12" t="n">
        <x:f>C25*((Assumptions!$B$16-Assumptions!$B$20)+(1-Assumptions!$B$15)*(Assumptions!$B$17-Assumptions!$B$21)+Assumptions!$B$15*(Assumptions!$B$18-Assumptions!$B$22))</x:f>
        <x:v>53751.5</x:v>
      </x:c>
      <x:c r="J25" s="12" t="n">
        <x:f>E25*Assumptions!$B$9+F25*Assumptions!$B$10</x:f>
        <x:v>13575</x:v>
      </x:c>
      <x:c r="K25" s="12" t="n">
        <x:f>G25*Assumptions!$B$11*Assumptions!$B$12</x:f>
        <x:v>0</x:v>
      </x:c>
      <x:c r="L25" s="12" t="n">
        <x:f>J25+K25</x:f>
        <x:v>13575</x:v>
      </x:c>
      <x:c r="M25" s="12" t="n">
        <x:f>H25+I25+L25</x:f>
        <x:v>67326.5</x:v>
      </x:c>
    </x:row>
    <x:row r="26">
      <x:c r="A26" t="n">
        <x:v>22</x:v>
      </x:c>
      <x:c r="B26" t="n">
        <x:v>2</x:v>
      </x:c>
      <x:c r="C26" t="n">
        <x:v>1</x:v>
      </x:c>
      <x:c r="D26" t="n">
        <x:f>SUM($C$5:C26)</x:f>
        <x:v>22</x:v>
      </x:c>
      <x:c r="E26" s="20" t="n">
        <x:f>Assumptions!$B$13*MIN(A26/Assumptions!$B$19,1)+D26*(1-Assumptions!$B$15)</x:f>
        <x:v>132</x:v>
      </x:c>
      <x:c r="F26" s="20" t="n">
        <x:f>Assumptions!$B$14*MIN(A26/Assumptions!$B$19,1)+D26*Assumptions!$B$15</x:f>
        <x:v>15</x:v>
      </x:c>
      <x:c r="G26" s="20" t="n">
        <x:f>E26+F26</x:f>
        <x:v>147</x:v>
      </x:c>
      <x:c r="H26" s="12" t="n">
        <x:f>IF(A26&lt;=Assumptions!$B$19,'Site Detail'!K130/Assumptions!$B$19,0)</x:f>
        <x:v>0</x:v>
      </x:c>
      <x:c r="I26" s="12" t="n">
        <x:f>C26*((Assumptions!$B$16-Assumptions!$B$20)+(1-Assumptions!$B$15)*(Assumptions!$B$17-Assumptions!$B$21)+Assumptions!$B$15*(Assumptions!$B$18-Assumptions!$B$22))</x:f>
        <x:v>53751.5</x:v>
      </x:c>
      <x:c r="J26" s="12" t="n">
        <x:f>E26*Assumptions!$B$9+F26*Assumptions!$B$10</x:f>
        <x:v>13680</x:v>
      </x:c>
      <x:c r="K26" s="12" t="n">
        <x:f>G26*Assumptions!$B$11*Assumptions!$B$12</x:f>
        <x:v>0</x:v>
      </x:c>
      <x:c r="L26" s="12" t="n">
        <x:f>J26+K26</x:f>
        <x:v>13680</x:v>
      </x:c>
      <x:c r="M26" s="12" t="n">
        <x:f>H26+I26+L26</x:f>
        <x:v>67431.5</x:v>
      </x:c>
    </x:row>
    <x:row r="27">
      <x:c r="A27" t="n">
        <x:v>23</x:v>
      </x:c>
      <x:c r="B27" t="n">
        <x:v>2</x:v>
      </x:c>
      <x:c r="C27" t="n">
        <x:v>1</x:v>
      </x:c>
      <x:c r="D27" t="n">
        <x:f>SUM($C$5:C27)</x:f>
        <x:v>23</x:v>
      </x:c>
      <x:c r="E27" s="20" t="n">
        <x:f>Assumptions!$B$13*MIN(A27/Assumptions!$B$19,1)+D27*(1-Assumptions!$B$15)</x:f>
        <x:v>132.5</x:v>
      </x:c>
      <x:c r="F27" s="20" t="n">
        <x:f>Assumptions!$B$14*MIN(A27/Assumptions!$B$19,1)+D27*Assumptions!$B$15</x:f>
        <x:v>15.5</x:v>
      </x:c>
      <x:c r="G27" s="20" t="n">
        <x:f>E27+F27</x:f>
        <x:v>148</x:v>
      </x:c>
      <x:c r="H27" s="12" t="n">
        <x:f>IF(A27&lt;=Assumptions!$B$19,'Site Detail'!K130/Assumptions!$B$19,0)</x:f>
        <x:v>0</x:v>
      </x:c>
      <x:c r="I27" s="12" t="n">
        <x:f>C27*((Assumptions!$B$16-Assumptions!$B$20)+(1-Assumptions!$B$15)*(Assumptions!$B$17-Assumptions!$B$21)+Assumptions!$B$15*(Assumptions!$B$18-Assumptions!$B$22))</x:f>
        <x:v>53751.5</x:v>
      </x:c>
      <x:c r="J27" s="12" t="n">
        <x:f>E27*Assumptions!$B$9+F27*Assumptions!$B$10</x:f>
        <x:v>13785</x:v>
      </x:c>
      <x:c r="K27" s="12" t="n">
        <x:f>G27*Assumptions!$B$11*Assumptions!$B$12</x:f>
        <x:v>0</x:v>
      </x:c>
      <x:c r="L27" s="12" t="n">
        <x:f>J27+K27</x:f>
        <x:v>13785</x:v>
      </x:c>
      <x:c r="M27" s="12" t="n">
        <x:f>H27+I27+L27</x:f>
        <x:v>67536.5</x:v>
      </x:c>
    </x:row>
    <x:row r="28">
      <x:c r="A28" t="n">
        <x:v>24</x:v>
      </x:c>
      <x:c r="B28" t="n">
        <x:v>2</x:v>
      </x:c>
      <x:c r="C28" t="n">
        <x:v>1</x:v>
      </x:c>
      <x:c r="D28" t="n">
        <x:f>SUM($C$5:C28)</x:f>
        <x:v>24</x:v>
      </x:c>
      <x:c r="E28" s="20" t="n">
        <x:f>Assumptions!$B$13*MIN(A28/Assumptions!$B$19,1)+D28*(1-Assumptions!$B$15)</x:f>
        <x:v>133</x:v>
      </x:c>
      <x:c r="F28" s="20" t="n">
        <x:f>Assumptions!$B$14*MIN(A28/Assumptions!$B$19,1)+D28*Assumptions!$B$15</x:f>
        <x:v>16</x:v>
      </x:c>
      <x:c r="G28" s="20" t="n">
        <x:f>E28+F28</x:f>
        <x:v>149</x:v>
      </x:c>
      <x:c r="H28" s="12" t="n">
        <x:f>IF(A28&lt;=Assumptions!$B$19,'Site Detail'!K130/Assumptions!$B$19,0)</x:f>
        <x:v>0</x:v>
      </x:c>
      <x:c r="I28" s="12" t="n">
        <x:f>C28*((Assumptions!$B$16-Assumptions!$B$20)+(1-Assumptions!$B$15)*(Assumptions!$B$17-Assumptions!$B$21)+Assumptions!$B$15*(Assumptions!$B$18-Assumptions!$B$22))</x:f>
        <x:v>53751.5</x:v>
      </x:c>
      <x:c r="J28" s="12" t="n">
        <x:f>E28*Assumptions!$B$9+F28*Assumptions!$B$10</x:f>
        <x:v>13890</x:v>
      </x:c>
      <x:c r="K28" s="12" t="n">
        <x:f>G28*Assumptions!$B$11*Assumptions!$B$12</x:f>
        <x:v>0</x:v>
      </x:c>
      <x:c r="L28" s="12" t="n">
        <x:f>J28+K28</x:f>
        <x:v>13890</x:v>
      </x:c>
      <x:c r="M28" s="12" t="n">
        <x:f>H28+I28+L28</x:f>
        <x:v>67641.5</x:v>
      </x:c>
    </x:row>
    <x:row r="29">
      <x:c r="A29" t="n">
        <x:v>25</x:v>
      </x:c>
      <x:c r="B29" t="n">
        <x:v>3</x:v>
      </x:c>
      <x:c r="C29" t="n">
        <x:v>1</x:v>
      </x:c>
      <x:c r="D29" t="n">
        <x:f>SUM($C$5:C29)</x:f>
        <x:v>25</x:v>
      </x:c>
      <x:c r="E29" s="20" t="n">
        <x:f>Assumptions!$B$13*MIN(A29/Assumptions!$B$19,1)+D29*(1-Assumptions!$B$15)</x:f>
        <x:v>133.5</x:v>
      </x:c>
      <x:c r="F29" s="20" t="n">
        <x:f>Assumptions!$B$14*MIN(A29/Assumptions!$B$19,1)+D29*Assumptions!$B$15</x:f>
        <x:v>16.5</x:v>
      </x:c>
      <x:c r="G29" s="20" t="n">
        <x:f>E29+F29</x:f>
        <x:v>150</x:v>
      </x:c>
      <x:c r="H29" s="12" t="n">
        <x:f>IF(A29&lt;=Assumptions!$B$19,'Site Detail'!K130/Assumptions!$B$19,0)</x:f>
        <x:v>0</x:v>
      </x:c>
      <x:c r="I29" s="12" t="n">
        <x:f>C29*((Assumptions!$B$16-Assumptions!$B$20)+(1-Assumptions!$B$15)*(Assumptions!$B$17-Assumptions!$B$21)+Assumptions!$B$15*(Assumptions!$B$18-Assumptions!$B$22))</x:f>
        <x:v>53751.5</x:v>
      </x:c>
      <x:c r="J29" s="12" t="n">
        <x:f>E29*Assumptions!$B$9+F29*Assumptions!$B$10</x:f>
        <x:v>13995</x:v>
      </x:c>
      <x:c r="K29" s="12" t="n">
        <x:f>G29*Assumptions!$B$11*Assumptions!$B$12</x:f>
        <x:v>0</x:v>
      </x:c>
      <x:c r="L29" s="12" t="n">
        <x:f>J29+K29</x:f>
        <x:v>13995</x:v>
      </x:c>
      <x:c r="M29" s="12" t="n">
        <x:f>H29+I29+L29</x:f>
        <x:v>67746.5</x:v>
      </x:c>
    </x:row>
    <x:row r="30">
      <x:c r="A30" t="n">
        <x:v>26</x:v>
      </x:c>
      <x:c r="B30" t="n">
        <x:v>3</x:v>
      </x:c>
      <x:c r="C30" t="n">
        <x:v>1</x:v>
      </x:c>
      <x:c r="D30" t="n">
        <x:f>SUM($C$5:C30)</x:f>
        <x:v>26</x:v>
      </x:c>
      <x:c r="E30" s="20" t="n">
        <x:f>Assumptions!$B$13*MIN(A30/Assumptions!$B$19,1)+D30*(1-Assumptions!$B$15)</x:f>
        <x:v>134</x:v>
      </x:c>
      <x:c r="F30" s="20" t="n">
        <x:f>Assumptions!$B$14*MIN(A30/Assumptions!$B$19,1)+D30*Assumptions!$B$15</x:f>
        <x:v>17</x:v>
      </x:c>
      <x:c r="G30" s="20" t="n">
        <x:f>E30+F30</x:f>
        <x:v>151</x:v>
      </x:c>
      <x:c r="H30" s="12" t="n">
        <x:f>IF(A30&lt;=Assumptions!$B$19,'Site Detail'!K130/Assumptions!$B$19,0)</x:f>
        <x:v>0</x:v>
      </x:c>
      <x:c r="I30" s="12" t="n">
        <x:f>C30*((Assumptions!$B$16-Assumptions!$B$20)+(1-Assumptions!$B$15)*(Assumptions!$B$17-Assumptions!$B$21)+Assumptions!$B$15*(Assumptions!$B$18-Assumptions!$B$22))</x:f>
        <x:v>53751.5</x:v>
      </x:c>
      <x:c r="J30" s="12" t="n">
        <x:f>E30*Assumptions!$B$9+F30*Assumptions!$B$10</x:f>
        <x:v>14100</x:v>
      </x:c>
      <x:c r="K30" s="12" t="n">
        <x:f>G30*Assumptions!$B$11*Assumptions!$B$12</x:f>
        <x:v>0</x:v>
      </x:c>
      <x:c r="L30" s="12" t="n">
        <x:f>J30+K30</x:f>
        <x:v>14100</x:v>
      </x:c>
      <x:c r="M30" s="12" t="n">
        <x:f>H30+I30+L30</x:f>
        <x:v>67851.5</x:v>
      </x:c>
    </x:row>
    <x:row r="31">
      <x:c r="A31" t="n">
        <x:v>27</x:v>
      </x:c>
      <x:c r="B31" t="n">
        <x:v>3</x:v>
      </x:c>
      <x:c r="C31" t="n">
        <x:v>1</x:v>
      </x:c>
      <x:c r="D31" t="n">
        <x:f>SUM($C$5:C31)</x:f>
        <x:v>27</x:v>
      </x:c>
      <x:c r="E31" s="20" t="n">
        <x:f>Assumptions!$B$13*MIN(A31/Assumptions!$B$19,1)+D31*(1-Assumptions!$B$15)</x:f>
        <x:v>134.5</x:v>
      </x:c>
      <x:c r="F31" s="20" t="n">
        <x:f>Assumptions!$B$14*MIN(A31/Assumptions!$B$19,1)+D31*Assumptions!$B$15</x:f>
        <x:v>17.5</x:v>
      </x:c>
      <x:c r="G31" s="20" t="n">
        <x:f>E31+F31</x:f>
        <x:v>152</x:v>
      </x:c>
      <x:c r="H31" s="12" t="n">
        <x:f>IF(A31&lt;=Assumptions!$B$19,'Site Detail'!K130/Assumptions!$B$19,0)</x:f>
        <x:v>0</x:v>
      </x:c>
      <x:c r="I31" s="12" t="n">
        <x:f>C31*((Assumptions!$B$16-Assumptions!$B$20)+(1-Assumptions!$B$15)*(Assumptions!$B$17-Assumptions!$B$21)+Assumptions!$B$15*(Assumptions!$B$18-Assumptions!$B$22))</x:f>
        <x:v>53751.5</x:v>
      </x:c>
      <x:c r="J31" s="12" t="n">
        <x:f>E31*Assumptions!$B$9+F31*Assumptions!$B$10</x:f>
        <x:v>14205</x:v>
      </x:c>
      <x:c r="K31" s="12" t="n">
        <x:f>G31*Assumptions!$B$11*Assumptions!$B$12</x:f>
        <x:v>0</x:v>
      </x:c>
      <x:c r="L31" s="12" t="n">
        <x:f>J31+K31</x:f>
        <x:v>14205</x:v>
      </x:c>
      <x:c r="M31" s="12" t="n">
        <x:f>H31+I31+L31</x:f>
        <x:v>67956.5</x:v>
      </x:c>
    </x:row>
    <x:row r="32">
      <x:c r="A32" t="n">
        <x:v>28</x:v>
      </x:c>
      <x:c r="B32" t="n">
        <x:v>3</x:v>
      </x:c>
      <x:c r="C32" t="n">
        <x:v>1</x:v>
      </x:c>
      <x:c r="D32" t="n">
        <x:f>SUM($C$5:C32)</x:f>
        <x:v>28</x:v>
      </x:c>
      <x:c r="E32" s="20" t="n">
        <x:f>Assumptions!$B$13*MIN(A32/Assumptions!$B$19,1)+D32*(1-Assumptions!$B$15)</x:f>
        <x:v>135</x:v>
      </x:c>
      <x:c r="F32" s="20" t="n">
        <x:f>Assumptions!$B$14*MIN(A32/Assumptions!$B$19,1)+D32*Assumptions!$B$15</x:f>
        <x:v>18</x:v>
      </x:c>
      <x:c r="G32" s="20" t="n">
        <x:f>E32+F32</x:f>
        <x:v>153</x:v>
      </x:c>
      <x:c r="H32" s="12" t="n">
        <x:f>IF(A32&lt;=Assumptions!$B$19,'Site Detail'!K130/Assumptions!$B$19,0)</x:f>
        <x:v>0</x:v>
      </x:c>
      <x:c r="I32" s="12" t="n">
        <x:f>C32*((Assumptions!$B$16-Assumptions!$B$20)+(1-Assumptions!$B$15)*(Assumptions!$B$17-Assumptions!$B$21)+Assumptions!$B$15*(Assumptions!$B$18-Assumptions!$B$22))</x:f>
        <x:v>53751.5</x:v>
      </x:c>
      <x:c r="J32" s="12" t="n">
        <x:f>E32*Assumptions!$B$9+F32*Assumptions!$B$10</x:f>
        <x:v>14310</x:v>
      </x:c>
      <x:c r="K32" s="12" t="n">
        <x:f>G32*Assumptions!$B$11*Assumptions!$B$12</x:f>
        <x:v>0</x:v>
      </x:c>
      <x:c r="L32" s="12" t="n">
        <x:f>J32+K32</x:f>
        <x:v>14310</x:v>
      </x:c>
      <x:c r="M32" s="12" t="n">
        <x:f>H32+I32+L32</x:f>
        <x:v>68061.5</x:v>
      </x:c>
    </x:row>
    <x:row r="33">
      <x:c r="A33" t="n">
        <x:v>29</x:v>
      </x:c>
      <x:c r="B33" t="n">
        <x:v>3</x:v>
      </x:c>
      <x:c r="C33" t="n">
        <x:v>1</x:v>
      </x:c>
      <x:c r="D33" t="n">
        <x:f>SUM($C$5:C33)</x:f>
        <x:v>29</x:v>
      </x:c>
      <x:c r="E33" s="20" t="n">
        <x:f>Assumptions!$B$13*MIN(A33/Assumptions!$B$19,1)+D33*(1-Assumptions!$B$15)</x:f>
        <x:v>135.5</x:v>
      </x:c>
      <x:c r="F33" s="20" t="n">
        <x:f>Assumptions!$B$14*MIN(A33/Assumptions!$B$19,1)+D33*Assumptions!$B$15</x:f>
        <x:v>18.5</x:v>
      </x:c>
      <x:c r="G33" s="20" t="n">
        <x:f>E33+F33</x:f>
        <x:v>154</x:v>
      </x:c>
      <x:c r="H33" s="12" t="n">
        <x:f>IF(A33&lt;=Assumptions!$B$19,'Site Detail'!K130/Assumptions!$B$19,0)</x:f>
        <x:v>0</x:v>
      </x:c>
      <x:c r="I33" s="12" t="n">
        <x:f>C33*((Assumptions!$B$16-Assumptions!$B$20)+(1-Assumptions!$B$15)*(Assumptions!$B$17-Assumptions!$B$21)+Assumptions!$B$15*(Assumptions!$B$18-Assumptions!$B$22))</x:f>
        <x:v>53751.5</x:v>
      </x:c>
      <x:c r="J33" s="12" t="n">
        <x:f>E33*Assumptions!$B$9+F33*Assumptions!$B$10</x:f>
        <x:v>14415</x:v>
      </x:c>
      <x:c r="K33" s="12" t="n">
        <x:f>G33*Assumptions!$B$11*Assumptions!$B$12</x:f>
        <x:v>0</x:v>
      </x:c>
      <x:c r="L33" s="12" t="n">
        <x:f>J33+K33</x:f>
        <x:v>14415</x:v>
      </x:c>
      <x:c r="M33" s="12" t="n">
        <x:f>H33+I33+L33</x:f>
        <x:v>68166.5</x:v>
      </x:c>
    </x:row>
    <x:row r="34">
      <x:c r="A34" t="n">
        <x:v>30</x:v>
      </x:c>
      <x:c r="B34" t="n">
        <x:v>3</x:v>
      </x:c>
      <x:c r="C34" t="n">
        <x:v>1</x:v>
      </x:c>
      <x:c r="D34" t="n">
        <x:f>SUM($C$5:C34)</x:f>
        <x:v>30</x:v>
      </x:c>
      <x:c r="E34" s="20" t="n">
        <x:f>Assumptions!$B$13*MIN(A34/Assumptions!$B$19,1)+D34*(1-Assumptions!$B$15)</x:f>
        <x:v>136</x:v>
      </x:c>
      <x:c r="F34" s="20" t="n">
        <x:f>Assumptions!$B$14*MIN(A34/Assumptions!$B$19,1)+D34*Assumptions!$B$15</x:f>
        <x:v>19</x:v>
      </x:c>
      <x:c r="G34" s="20" t="n">
        <x:f>E34+F34</x:f>
        <x:v>155</x:v>
      </x:c>
      <x:c r="H34" s="12" t="n">
        <x:f>IF(A34&lt;=Assumptions!$B$19,'Site Detail'!K130/Assumptions!$B$19,0)</x:f>
        <x:v>0</x:v>
      </x:c>
      <x:c r="I34" s="12" t="n">
        <x:f>C34*((Assumptions!$B$16-Assumptions!$B$20)+(1-Assumptions!$B$15)*(Assumptions!$B$17-Assumptions!$B$21)+Assumptions!$B$15*(Assumptions!$B$18-Assumptions!$B$22))</x:f>
        <x:v>53751.5</x:v>
      </x:c>
      <x:c r="J34" s="12" t="n">
        <x:f>E34*Assumptions!$B$9+F34*Assumptions!$B$10</x:f>
        <x:v>14520</x:v>
      </x:c>
      <x:c r="K34" s="12" t="n">
        <x:f>G34*Assumptions!$B$11*Assumptions!$B$12</x:f>
        <x:v>0</x:v>
      </x:c>
      <x:c r="L34" s="12" t="n">
        <x:f>J34+K34</x:f>
        <x:v>14520</x:v>
      </x:c>
      <x:c r="M34" s="12" t="n">
        <x:f>H34+I34+L34</x:f>
        <x:v>68271.5</x:v>
      </x:c>
    </x:row>
    <x:row r="35">
      <x:c r="A35" t="n">
        <x:v>31</x:v>
      </x:c>
      <x:c r="B35" t="n">
        <x:v>3</x:v>
      </x:c>
      <x:c r="C35" t="n">
        <x:v>1</x:v>
      </x:c>
      <x:c r="D35" t="n">
        <x:f>SUM($C$5:C35)</x:f>
        <x:v>31</x:v>
      </x:c>
      <x:c r="E35" s="20" t="n">
        <x:f>Assumptions!$B$13*MIN(A35/Assumptions!$B$19,1)+D35*(1-Assumptions!$B$15)</x:f>
        <x:v>136.5</x:v>
      </x:c>
      <x:c r="F35" s="20" t="n">
        <x:f>Assumptions!$B$14*MIN(A35/Assumptions!$B$19,1)+D35*Assumptions!$B$15</x:f>
        <x:v>19.5</x:v>
      </x:c>
      <x:c r="G35" s="20" t="n">
        <x:f>E35+F35</x:f>
        <x:v>156</x:v>
      </x:c>
      <x:c r="H35" s="12" t="n">
        <x:f>IF(A35&lt;=Assumptions!$B$19,'Site Detail'!K130/Assumptions!$B$19,0)</x:f>
        <x:v>0</x:v>
      </x:c>
      <x:c r="I35" s="12" t="n">
        <x:f>C35*((Assumptions!$B$16-Assumptions!$B$20)+(1-Assumptions!$B$15)*(Assumptions!$B$17-Assumptions!$B$21)+Assumptions!$B$15*(Assumptions!$B$18-Assumptions!$B$22))</x:f>
        <x:v>53751.5</x:v>
      </x:c>
      <x:c r="J35" s="12" t="n">
        <x:f>E35*Assumptions!$B$9+F35*Assumptions!$B$10</x:f>
        <x:v>14625</x:v>
      </x:c>
      <x:c r="K35" s="12" t="n">
        <x:f>G35*Assumptions!$B$11*Assumptions!$B$12</x:f>
        <x:v>0</x:v>
      </x:c>
      <x:c r="L35" s="12" t="n">
        <x:f>J35+K35</x:f>
        <x:v>14625</x:v>
      </x:c>
      <x:c r="M35" s="12" t="n">
        <x:f>H35+I35+L35</x:f>
        <x:v>68376.5</x:v>
      </x:c>
    </x:row>
    <x:row r="36">
      <x:c r="A36" t="n">
        <x:v>32</x:v>
      </x:c>
      <x:c r="B36" t="n">
        <x:v>3</x:v>
      </x:c>
      <x:c r="C36" t="n">
        <x:v>1</x:v>
      </x:c>
      <x:c r="D36" t="n">
        <x:f>SUM($C$5:C36)</x:f>
        <x:v>32</x:v>
      </x:c>
      <x:c r="E36" s="20" t="n">
        <x:f>Assumptions!$B$13*MIN(A36/Assumptions!$B$19,1)+D36*(1-Assumptions!$B$15)</x:f>
        <x:v>137</x:v>
      </x:c>
      <x:c r="F36" s="20" t="n">
        <x:f>Assumptions!$B$14*MIN(A36/Assumptions!$B$19,1)+D36*Assumptions!$B$15</x:f>
        <x:v>20</x:v>
      </x:c>
      <x:c r="G36" s="20" t="n">
        <x:f>E36+F36</x:f>
        <x:v>157</x:v>
      </x:c>
      <x:c r="H36" s="12" t="n">
        <x:f>IF(A36&lt;=Assumptions!$B$19,'Site Detail'!K130/Assumptions!$B$19,0)</x:f>
        <x:v>0</x:v>
      </x:c>
      <x:c r="I36" s="12" t="n">
        <x:f>C36*((Assumptions!$B$16-Assumptions!$B$20)+(1-Assumptions!$B$15)*(Assumptions!$B$17-Assumptions!$B$21)+Assumptions!$B$15*(Assumptions!$B$18-Assumptions!$B$22))</x:f>
        <x:v>53751.5</x:v>
      </x:c>
      <x:c r="J36" s="12" t="n">
        <x:f>E36*Assumptions!$B$9+F36*Assumptions!$B$10</x:f>
        <x:v>14730</x:v>
      </x:c>
      <x:c r="K36" s="12" t="n">
        <x:f>G36*Assumptions!$B$11*Assumptions!$B$12</x:f>
        <x:v>0</x:v>
      </x:c>
      <x:c r="L36" s="12" t="n">
        <x:f>J36+K36</x:f>
        <x:v>14730</x:v>
      </x:c>
      <x:c r="M36" s="12" t="n">
        <x:f>H36+I36+L36</x:f>
        <x:v>68481.5</x:v>
      </x:c>
    </x:row>
    <x:row r="37">
      <x:c r="A37" t="n">
        <x:v>33</x:v>
      </x:c>
      <x:c r="B37" t="n">
        <x:v>3</x:v>
      </x:c>
      <x:c r="C37" t="n">
        <x:v>1</x:v>
      </x:c>
      <x:c r="D37" t="n">
        <x:f>SUM($C$5:C37)</x:f>
        <x:v>33</x:v>
      </x:c>
      <x:c r="E37" s="20" t="n">
        <x:f>Assumptions!$B$13*MIN(A37/Assumptions!$B$19,1)+D37*(1-Assumptions!$B$15)</x:f>
        <x:v>137.5</x:v>
      </x:c>
      <x:c r="F37" s="20" t="n">
        <x:f>Assumptions!$B$14*MIN(A37/Assumptions!$B$19,1)+D37*Assumptions!$B$15</x:f>
        <x:v>20.5</x:v>
      </x:c>
      <x:c r="G37" s="20" t="n">
        <x:f>E37+F37</x:f>
        <x:v>158</x:v>
      </x:c>
      <x:c r="H37" s="12" t="n">
        <x:f>IF(A37&lt;=Assumptions!$B$19,'Site Detail'!K130/Assumptions!$B$19,0)</x:f>
        <x:v>0</x:v>
      </x:c>
      <x:c r="I37" s="12" t="n">
        <x:f>C37*((Assumptions!$B$16-Assumptions!$B$20)+(1-Assumptions!$B$15)*(Assumptions!$B$17-Assumptions!$B$21)+Assumptions!$B$15*(Assumptions!$B$18-Assumptions!$B$22))</x:f>
        <x:v>53751.5</x:v>
      </x:c>
      <x:c r="J37" s="12" t="n">
        <x:f>E37*Assumptions!$B$9+F37*Assumptions!$B$10</x:f>
        <x:v>14835</x:v>
      </x:c>
      <x:c r="K37" s="12" t="n">
        <x:f>G37*Assumptions!$B$11*Assumptions!$B$12</x:f>
        <x:v>0</x:v>
      </x:c>
      <x:c r="L37" s="12" t="n">
        <x:f>J37+K37</x:f>
        <x:v>14835</x:v>
      </x:c>
      <x:c r="M37" s="12" t="n">
        <x:f>H37+I37+L37</x:f>
        <x:v>68586.5</x:v>
      </x:c>
    </x:row>
    <x:row r="38">
      <x:c r="A38" t="n">
        <x:v>34</x:v>
      </x:c>
      <x:c r="B38" t="n">
        <x:v>3</x:v>
      </x:c>
      <x:c r="C38" t="n">
        <x:v>1</x:v>
      </x:c>
      <x:c r="D38" t="n">
        <x:f>SUM($C$5:C38)</x:f>
        <x:v>34</x:v>
      </x:c>
      <x:c r="E38" s="20" t="n">
        <x:f>Assumptions!$B$13*MIN(A38/Assumptions!$B$19,1)+D38*(1-Assumptions!$B$15)</x:f>
        <x:v>138</x:v>
      </x:c>
      <x:c r="F38" s="20" t="n">
        <x:f>Assumptions!$B$14*MIN(A38/Assumptions!$B$19,1)+D38*Assumptions!$B$15</x:f>
        <x:v>21</x:v>
      </x:c>
      <x:c r="G38" s="20" t="n">
        <x:f>E38+F38</x:f>
        <x:v>159</x:v>
      </x:c>
      <x:c r="H38" s="12" t="n">
        <x:f>IF(A38&lt;=Assumptions!$B$19,'Site Detail'!K130/Assumptions!$B$19,0)</x:f>
        <x:v>0</x:v>
      </x:c>
      <x:c r="I38" s="12" t="n">
        <x:f>C38*((Assumptions!$B$16-Assumptions!$B$20)+(1-Assumptions!$B$15)*(Assumptions!$B$17-Assumptions!$B$21)+Assumptions!$B$15*(Assumptions!$B$18-Assumptions!$B$22))</x:f>
        <x:v>53751.5</x:v>
      </x:c>
      <x:c r="J38" s="12" t="n">
        <x:f>E38*Assumptions!$B$9+F38*Assumptions!$B$10</x:f>
        <x:v>14940</x:v>
      </x:c>
      <x:c r="K38" s="12" t="n">
        <x:f>G38*Assumptions!$B$11*Assumptions!$B$12</x:f>
        <x:v>0</x:v>
      </x:c>
      <x:c r="L38" s="12" t="n">
        <x:f>J38+K38</x:f>
        <x:v>14940</x:v>
      </x:c>
      <x:c r="M38" s="12" t="n">
        <x:f>H38+I38+L38</x:f>
        <x:v>68691.5</x:v>
      </x:c>
    </x:row>
    <x:row r="39">
      <x:c r="A39" t="n">
        <x:v>35</x:v>
      </x:c>
      <x:c r="B39" t="n">
        <x:v>3</x:v>
      </x:c>
      <x:c r="C39" t="n">
        <x:v>1</x:v>
      </x:c>
      <x:c r="D39" t="n">
        <x:f>SUM($C$5:C39)</x:f>
        <x:v>35</x:v>
      </x:c>
      <x:c r="E39" s="20" t="n">
        <x:f>Assumptions!$B$13*MIN(A39/Assumptions!$B$19,1)+D39*(1-Assumptions!$B$15)</x:f>
        <x:v>138.5</x:v>
      </x:c>
      <x:c r="F39" s="20" t="n">
        <x:f>Assumptions!$B$14*MIN(A39/Assumptions!$B$19,1)+D39*Assumptions!$B$15</x:f>
        <x:v>21.5</x:v>
      </x:c>
      <x:c r="G39" s="20" t="n">
        <x:f>E39+F39</x:f>
        <x:v>160</x:v>
      </x:c>
      <x:c r="H39" s="12" t="n">
        <x:f>IF(A39&lt;=Assumptions!$B$19,'Site Detail'!K130/Assumptions!$B$19,0)</x:f>
        <x:v>0</x:v>
      </x:c>
      <x:c r="I39" s="12" t="n">
        <x:f>C39*((Assumptions!$B$16-Assumptions!$B$20)+(1-Assumptions!$B$15)*(Assumptions!$B$17-Assumptions!$B$21)+Assumptions!$B$15*(Assumptions!$B$18-Assumptions!$B$22))</x:f>
        <x:v>53751.5</x:v>
      </x:c>
      <x:c r="J39" s="12" t="n">
        <x:f>E39*Assumptions!$B$9+F39*Assumptions!$B$10</x:f>
        <x:v>15045</x:v>
      </x:c>
      <x:c r="K39" s="12" t="n">
        <x:f>G39*Assumptions!$B$11*Assumptions!$B$12</x:f>
        <x:v>0</x:v>
      </x:c>
      <x:c r="L39" s="12" t="n">
        <x:f>J39+K39</x:f>
        <x:v>15045</x:v>
      </x:c>
      <x:c r="M39" s="12" t="n">
        <x:f>H39+I39+L39</x:f>
        <x:v>68796.5</x:v>
      </x:c>
    </x:row>
    <x:row r="40">
      <x:c r="A40" t="n">
        <x:v>36</x:v>
      </x:c>
      <x:c r="B40" t="n">
        <x:v>3</x:v>
      </x:c>
      <x:c r="C40" t="n">
        <x:v>1</x:v>
      </x:c>
      <x:c r="D40" t="n">
        <x:f>SUM($C$5:C40)</x:f>
        <x:v>36</x:v>
      </x:c>
      <x:c r="E40" s="20" t="n">
        <x:f>Assumptions!$B$13*MIN(A40/Assumptions!$B$19,1)+D40*(1-Assumptions!$B$15)</x:f>
        <x:v>139</x:v>
      </x:c>
      <x:c r="F40" s="20" t="n">
        <x:f>Assumptions!$B$14*MIN(A40/Assumptions!$B$19,1)+D40*Assumptions!$B$15</x:f>
        <x:v>22</x:v>
      </x:c>
      <x:c r="G40" s="20" t="n">
        <x:f>E40+F40</x:f>
        <x:v>161</x:v>
      </x:c>
      <x:c r="H40" s="12" t="n">
        <x:f>IF(A40&lt;=Assumptions!$B$19,'Site Detail'!K130/Assumptions!$B$19,0)</x:f>
        <x:v>0</x:v>
      </x:c>
      <x:c r="I40" s="12" t="n">
        <x:f>C40*((Assumptions!$B$16-Assumptions!$B$20)+(1-Assumptions!$B$15)*(Assumptions!$B$17-Assumptions!$B$21)+Assumptions!$B$15*(Assumptions!$B$18-Assumptions!$B$22))</x:f>
        <x:v>53751.5</x:v>
      </x:c>
      <x:c r="J40" s="12" t="n">
        <x:f>E40*Assumptions!$B$9+F40*Assumptions!$B$10</x:f>
        <x:v>15150</x:v>
      </x:c>
      <x:c r="K40" s="12" t="n">
        <x:f>G40*Assumptions!$B$11*Assumptions!$B$12</x:f>
        <x:v>0</x:v>
      </x:c>
      <x:c r="L40" s="12" t="n">
        <x:f>J40+K40</x:f>
        <x:v>15150</x:v>
      </x:c>
      <x:c r="M40" s="12" t="n">
        <x:f>H40+I40+L40</x:f>
        <x:v>68901.5</x:v>
      </x:c>
    </x:row>
    <x:row r="41">
      <x:c r="A41" t="n">
        <x:v>37</x:v>
      </x:c>
      <x:c r="B41" t="n">
        <x:v>4</x:v>
      </x:c>
      <x:c r="C41" t="n">
        <x:v>1</x:v>
      </x:c>
      <x:c r="D41" t="n">
        <x:f>SUM($C$5:C41)</x:f>
        <x:v>37</x:v>
      </x:c>
      <x:c r="E41" s="20" t="n">
        <x:f>Assumptions!$B$13*MIN(A41/Assumptions!$B$19,1)+D41*(1-Assumptions!$B$15)</x:f>
        <x:v>139.5</x:v>
      </x:c>
      <x:c r="F41" s="20" t="n">
        <x:f>Assumptions!$B$14*MIN(A41/Assumptions!$B$19,1)+D41*Assumptions!$B$15</x:f>
        <x:v>22.5</x:v>
      </x:c>
      <x:c r="G41" s="20" t="n">
        <x:f>E41+F41</x:f>
        <x:v>162</x:v>
      </x:c>
      <x:c r="H41" s="12" t="n">
        <x:f>IF(A41&lt;=Assumptions!$B$19,'Site Detail'!K130/Assumptions!$B$19,0)</x:f>
        <x:v>0</x:v>
      </x:c>
      <x:c r="I41" s="12" t="n">
        <x:f>C41*((Assumptions!$B$16-Assumptions!$B$20)+(1-Assumptions!$B$15)*(Assumptions!$B$17-Assumptions!$B$21)+Assumptions!$B$15*(Assumptions!$B$18-Assumptions!$B$22))</x:f>
        <x:v>53751.5</x:v>
      </x:c>
      <x:c r="J41" s="12" t="n">
        <x:f>E41*Assumptions!$B$9+F41*Assumptions!$B$10</x:f>
        <x:v>15255</x:v>
      </x:c>
      <x:c r="K41" s="12" t="n">
        <x:f>G41*Assumptions!$B$11*Assumptions!$B$12</x:f>
        <x:v>0</x:v>
      </x:c>
      <x:c r="L41" s="12" t="n">
        <x:f>J41+K41</x:f>
        <x:v>15255</x:v>
      </x:c>
      <x:c r="M41" s="12" t="n">
        <x:f>H41+I41+L41</x:f>
        <x:v>69006.5</x:v>
      </x:c>
    </x:row>
    <x:row r="42">
      <x:c r="A42" t="n">
        <x:v>38</x:v>
      </x:c>
      <x:c r="B42" t="n">
        <x:v>4</x:v>
      </x:c>
      <x:c r="C42" t="n">
        <x:v>1</x:v>
      </x:c>
      <x:c r="D42" t="n">
        <x:f>SUM($C$5:C42)</x:f>
        <x:v>38</x:v>
      </x:c>
      <x:c r="E42" s="20" t="n">
        <x:f>Assumptions!$B$13*MIN(A42/Assumptions!$B$19,1)+D42*(1-Assumptions!$B$15)</x:f>
        <x:v>140</x:v>
      </x:c>
      <x:c r="F42" s="20" t="n">
        <x:f>Assumptions!$B$14*MIN(A42/Assumptions!$B$19,1)+D42*Assumptions!$B$15</x:f>
        <x:v>23</x:v>
      </x:c>
      <x:c r="G42" s="20" t="n">
        <x:f>E42+F42</x:f>
        <x:v>163</x:v>
      </x:c>
      <x:c r="H42" s="12" t="n">
        <x:f>IF(A42&lt;=Assumptions!$B$19,'Site Detail'!K130/Assumptions!$B$19,0)</x:f>
        <x:v>0</x:v>
      </x:c>
      <x:c r="I42" s="12" t="n">
        <x:f>C42*((Assumptions!$B$16-Assumptions!$B$20)+(1-Assumptions!$B$15)*(Assumptions!$B$17-Assumptions!$B$21)+Assumptions!$B$15*(Assumptions!$B$18-Assumptions!$B$22))</x:f>
        <x:v>53751.5</x:v>
      </x:c>
      <x:c r="J42" s="12" t="n">
        <x:f>E42*Assumptions!$B$9+F42*Assumptions!$B$10</x:f>
        <x:v>15360</x:v>
      </x:c>
      <x:c r="K42" s="12" t="n">
        <x:f>G42*Assumptions!$B$11*Assumptions!$B$12</x:f>
        <x:v>0</x:v>
      </x:c>
      <x:c r="L42" s="12" t="n">
        <x:f>J42+K42</x:f>
        <x:v>15360</x:v>
      </x:c>
      <x:c r="M42" s="12" t="n">
        <x:f>H42+I42+L42</x:f>
        <x:v>69111.5</x:v>
      </x:c>
    </x:row>
    <x:row r="43">
      <x:c r="A43" t="n">
        <x:v>39</x:v>
      </x:c>
      <x:c r="B43" t="n">
        <x:v>4</x:v>
      </x:c>
      <x:c r="C43" t="n">
        <x:v>1</x:v>
      </x:c>
      <x:c r="D43" t="n">
        <x:f>SUM($C$5:C43)</x:f>
        <x:v>39</x:v>
      </x:c>
      <x:c r="E43" s="20" t="n">
        <x:f>Assumptions!$B$13*MIN(A43/Assumptions!$B$19,1)+D43*(1-Assumptions!$B$15)</x:f>
        <x:v>140.5</x:v>
      </x:c>
      <x:c r="F43" s="20" t="n">
        <x:f>Assumptions!$B$14*MIN(A43/Assumptions!$B$19,1)+D43*Assumptions!$B$15</x:f>
        <x:v>23.5</x:v>
      </x:c>
      <x:c r="G43" s="20" t="n">
        <x:f>E43+F43</x:f>
        <x:v>164</x:v>
      </x:c>
      <x:c r="H43" s="12" t="n">
        <x:f>IF(A43&lt;=Assumptions!$B$19,'Site Detail'!K130/Assumptions!$B$19,0)</x:f>
        <x:v>0</x:v>
      </x:c>
      <x:c r="I43" s="12" t="n">
        <x:f>C43*((Assumptions!$B$16-Assumptions!$B$20)+(1-Assumptions!$B$15)*(Assumptions!$B$17-Assumptions!$B$21)+Assumptions!$B$15*(Assumptions!$B$18-Assumptions!$B$22))</x:f>
        <x:v>53751.5</x:v>
      </x:c>
      <x:c r="J43" s="12" t="n">
        <x:f>E43*Assumptions!$B$9+F43*Assumptions!$B$10</x:f>
        <x:v>15465</x:v>
      </x:c>
      <x:c r="K43" s="12" t="n">
        <x:f>G43*Assumptions!$B$11*Assumptions!$B$12</x:f>
        <x:v>0</x:v>
      </x:c>
      <x:c r="L43" s="12" t="n">
        <x:f>J43+K43</x:f>
        <x:v>15465</x:v>
      </x:c>
      <x:c r="M43" s="12" t="n">
        <x:f>H43+I43+L43</x:f>
        <x:v>69216.5</x:v>
      </x:c>
    </x:row>
    <x:row r="44">
      <x:c r="A44" t="n">
        <x:v>40</x:v>
      </x:c>
      <x:c r="B44" t="n">
        <x:v>4</x:v>
      </x:c>
      <x:c r="C44" t="n">
        <x:v>1</x:v>
      </x:c>
      <x:c r="D44" t="n">
        <x:f>SUM($C$5:C44)</x:f>
        <x:v>40</x:v>
      </x:c>
      <x:c r="E44" s="20" t="n">
        <x:f>Assumptions!$B$13*MIN(A44/Assumptions!$B$19,1)+D44*(1-Assumptions!$B$15)</x:f>
        <x:v>141</x:v>
      </x:c>
      <x:c r="F44" s="20" t="n">
        <x:f>Assumptions!$B$14*MIN(A44/Assumptions!$B$19,1)+D44*Assumptions!$B$15</x:f>
        <x:v>24</x:v>
      </x:c>
      <x:c r="G44" s="20" t="n">
        <x:f>E44+F44</x:f>
        <x:v>165</x:v>
      </x:c>
      <x:c r="H44" s="12" t="n">
        <x:f>IF(A44&lt;=Assumptions!$B$19,'Site Detail'!K130/Assumptions!$B$19,0)</x:f>
        <x:v>0</x:v>
      </x:c>
      <x:c r="I44" s="12" t="n">
        <x:f>C44*((Assumptions!$B$16-Assumptions!$B$20)+(1-Assumptions!$B$15)*(Assumptions!$B$17-Assumptions!$B$21)+Assumptions!$B$15*(Assumptions!$B$18-Assumptions!$B$22))</x:f>
        <x:v>53751.5</x:v>
      </x:c>
      <x:c r="J44" s="12" t="n">
        <x:f>E44*Assumptions!$B$9+F44*Assumptions!$B$10</x:f>
        <x:v>15570</x:v>
      </x:c>
      <x:c r="K44" s="12" t="n">
        <x:f>G44*Assumptions!$B$11*Assumptions!$B$12</x:f>
        <x:v>0</x:v>
      </x:c>
      <x:c r="L44" s="12" t="n">
        <x:f>J44+K44</x:f>
        <x:v>15570</x:v>
      </x:c>
      <x:c r="M44" s="12" t="n">
        <x:f>H44+I44+L44</x:f>
        <x:v>69321.5</x:v>
      </x:c>
    </x:row>
    <x:row r="45">
      <x:c r="A45" t="n">
        <x:v>41</x:v>
      </x:c>
      <x:c r="B45" t="n">
        <x:v>4</x:v>
      </x:c>
      <x:c r="C45" t="n">
        <x:v>1</x:v>
      </x:c>
      <x:c r="D45" t="n">
        <x:f>SUM($C$5:C45)</x:f>
        <x:v>41</x:v>
      </x:c>
      <x:c r="E45" s="20" t="n">
        <x:f>Assumptions!$B$13*MIN(A45/Assumptions!$B$19,1)+D45*(1-Assumptions!$B$15)</x:f>
        <x:v>141.5</x:v>
      </x:c>
      <x:c r="F45" s="20" t="n">
        <x:f>Assumptions!$B$14*MIN(A45/Assumptions!$B$19,1)+D45*Assumptions!$B$15</x:f>
        <x:v>24.5</x:v>
      </x:c>
      <x:c r="G45" s="20" t="n">
        <x:f>E45+F45</x:f>
        <x:v>166</x:v>
      </x:c>
      <x:c r="H45" s="12" t="n">
        <x:f>IF(A45&lt;=Assumptions!$B$19,'Site Detail'!K130/Assumptions!$B$19,0)</x:f>
        <x:v>0</x:v>
      </x:c>
      <x:c r="I45" s="12" t="n">
        <x:f>C45*((Assumptions!$B$16-Assumptions!$B$20)+(1-Assumptions!$B$15)*(Assumptions!$B$17-Assumptions!$B$21)+Assumptions!$B$15*(Assumptions!$B$18-Assumptions!$B$22))</x:f>
        <x:v>53751.5</x:v>
      </x:c>
      <x:c r="J45" s="12" t="n">
        <x:f>E45*Assumptions!$B$9+F45*Assumptions!$B$10</x:f>
        <x:v>15675</x:v>
      </x:c>
      <x:c r="K45" s="12" t="n">
        <x:f>G45*Assumptions!$B$11*Assumptions!$B$12</x:f>
        <x:v>0</x:v>
      </x:c>
      <x:c r="L45" s="12" t="n">
        <x:f>J45+K45</x:f>
        <x:v>15675</x:v>
      </x:c>
      <x:c r="M45" s="12" t="n">
        <x:f>H45+I45+L45</x:f>
        <x:v>69426.5</x:v>
      </x:c>
    </x:row>
    <x:row r="46">
      <x:c r="A46" t="n">
        <x:v>42</x:v>
      </x:c>
      <x:c r="B46" t="n">
        <x:v>4</x:v>
      </x:c>
      <x:c r="C46" t="n">
        <x:v>1</x:v>
      </x:c>
      <x:c r="D46" t="n">
        <x:f>SUM($C$5:C46)</x:f>
        <x:v>42</x:v>
      </x:c>
      <x:c r="E46" s="20" t="n">
        <x:f>Assumptions!$B$13*MIN(A46/Assumptions!$B$19,1)+D46*(1-Assumptions!$B$15)</x:f>
        <x:v>142</x:v>
      </x:c>
      <x:c r="F46" s="20" t="n">
        <x:f>Assumptions!$B$14*MIN(A46/Assumptions!$B$19,1)+D46*Assumptions!$B$15</x:f>
        <x:v>25</x:v>
      </x:c>
      <x:c r="G46" s="20" t="n">
        <x:f>E46+F46</x:f>
        <x:v>167</x:v>
      </x:c>
      <x:c r="H46" s="12" t="n">
        <x:f>IF(A46&lt;=Assumptions!$B$19,'Site Detail'!K130/Assumptions!$B$19,0)</x:f>
        <x:v>0</x:v>
      </x:c>
      <x:c r="I46" s="12" t="n">
        <x:f>C46*((Assumptions!$B$16-Assumptions!$B$20)+(1-Assumptions!$B$15)*(Assumptions!$B$17-Assumptions!$B$21)+Assumptions!$B$15*(Assumptions!$B$18-Assumptions!$B$22))</x:f>
        <x:v>53751.5</x:v>
      </x:c>
      <x:c r="J46" s="12" t="n">
        <x:f>E46*Assumptions!$B$9+F46*Assumptions!$B$10</x:f>
        <x:v>15780</x:v>
      </x:c>
      <x:c r="K46" s="12" t="n">
        <x:f>G46*Assumptions!$B$11*Assumptions!$B$12</x:f>
        <x:v>0</x:v>
      </x:c>
      <x:c r="L46" s="12" t="n">
        <x:f>J46+K46</x:f>
        <x:v>15780</x:v>
      </x:c>
      <x:c r="M46" s="12" t="n">
        <x:f>H46+I46+L46</x:f>
        <x:v>69531.5</x:v>
      </x:c>
    </x:row>
    <x:row r="47">
      <x:c r="A47" t="n">
        <x:v>43</x:v>
      </x:c>
      <x:c r="B47" t="n">
        <x:v>4</x:v>
      </x:c>
      <x:c r="C47" t="n">
        <x:v>1</x:v>
      </x:c>
      <x:c r="D47" t="n">
        <x:f>SUM($C$5:C47)</x:f>
        <x:v>43</x:v>
      </x:c>
      <x:c r="E47" s="20" t="n">
        <x:f>Assumptions!$B$13*MIN(A47/Assumptions!$B$19,1)+D47*(1-Assumptions!$B$15)</x:f>
        <x:v>142.5</x:v>
      </x:c>
      <x:c r="F47" s="20" t="n">
        <x:f>Assumptions!$B$14*MIN(A47/Assumptions!$B$19,1)+D47*Assumptions!$B$15</x:f>
        <x:v>25.5</x:v>
      </x:c>
      <x:c r="G47" s="20" t="n">
        <x:f>E47+F47</x:f>
        <x:v>168</x:v>
      </x:c>
      <x:c r="H47" s="12" t="n">
        <x:f>IF(A47&lt;=Assumptions!$B$19,'Site Detail'!K130/Assumptions!$B$19,0)</x:f>
        <x:v>0</x:v>
      </x:c>
      <x:c r="I47" s="12" t="n">
        <x:f>C47*((Assumptions!$B$16-Assumptions!$B$20)+(1-Assumptions!$B$15)*(Assumptions!$B$17-Assumptions!$B$21)+Assumptions!$B$15*(Assumptions!$B$18-Assumptions!$B$22))</x:f>
        <x:v>53751.5</x:v>
      </x:c>
      <x:c r="J47" s="12" t="n">
        <x:f>E47*Assumptions!$B$9+F47*Assumptions!$B$10</x:f>
        <x:v>15885</x:v>
      </x:c>
      <x:c r="K47" s="12" t="n">
        <x:f>G47*Assumptions!$B$11*Assumptions!$B$12</x:f>
        <x:v>0</x:v>
      </x:c>
      <x:c r="L47" s="12" t="n">
        <x:f>J47+K47</x:f>
        <x:v>15885</x:v>
      </x:c>
      <x:c r="M47" s="12" t="n">
        <x:f>H47+I47+L47</x:f>
        <x:v>69636.5</x:v>
      </x:c>
    </x:row>
    <x:row r="48">
      <x:c r="A48" t="n">
        <x:v>44</x:v>
      </x:c>
      <x:c r="B48" t="n">
        <x:v>4</x:v>
      </x:c>
      <x:c r="C48" t="n">
        <x:v>1</x:v>
      </x:c>
      <x:c r="D48" t="n">
        <x:f>SUM($C$5:C48)</x:f>
        <x:v>44</x:v>
      </x:c>
      <x:c r="E48" s="20" t="n">
        <x:f>Assumptions!$B$13*MIN(A48/Assumptions!$B$19,1)+D48*(1-Assumptions!$B$15)</x:f>
        <x:v>143</x:v>
      </x:c>
      <x:c r="F48" s="20" t="n">
        <x:f>Assumptions!$B$14*MIN(A48/Assumptions!$B$19,1)+D48*Assumptions!$B$15</x:f>
        <x:v>26</x:v>
      </x:c>
      <x:c r="G48" s="20" t="n">
        <x:f>E48+F48</x:f>
        <x:v>169</x:v>
      </x:c>
      <x:c r="H48" s="12" t="n">
        <x:f>IF(A48&lt;=Assumptions!$B$19,'Site Detail'!K130/Assumptions!$B$19,0)</x:f>
        <x:v>0</x:v>
      </x:c>
      <x:c r="I48" s="12" t="n">
        <x:f>C48*((Assumptions!$B$16-Assumptions!$B$20)+(1-Assumptions!$B$15)*(Assumptions!$B$17-Assumptions!$B$21)+Assumptions!$B$15*(Assumptions!$B$18-Assumptions!$B$22))</x:f>
        <x:v>53751.5</x:v>
      </x:c>
      <x:c r="J48" s="12" t="n">
        <x:f>E48*Assumptions!$B$9+F48*Assumptions!$B$10</x:f>
        <x:v>15990</x:v>
      </x:c>
      <x:c r="K48" s="12" t="n">
        <x:f>G48*Assumptions!$B$11*Assumptions!$B$12</x:f>
        <x:v>0</x:v>
      </x:c>
      <x:c r="L48" s="12" t="n">
        <x:f>J48+K48</x:f>
        <x:v>15990</x:v>
      </x:c>
      <x:c r="M48" s="12" t="n">
        <x:f>H48+I48+L48</x:f>
        <x:v>69741.5</x:v>
      </x:c>
    </x:row>
    <x:row r="49">
      <x:c r="A49" t="n">
        <x:v>45</x:v>
      </x:c>
      <x:c r="B49" t="n">
        <x:v>4</x:v>
      </x:c>
      <x:c r="C49" t="n">
        <x:v>1</x:v>
      </x:c>
      <x:c r="D49" t="n">
        <x:f>SUM($C$5:C49)</x:f>
        <x:v>45</x:v>
      </x:c>
      <x:c r="E49" s="20" t="n">
        <x:f>Assumptions!$B$13*MIN(A49/Assumptions!$B$19,1)+D49*(1-Assumptions!$B$15)</x:f>
        <x:v>143.5</x:v>
      </x:c>
      <x:c r="F49" s="20" t="n">
        <x:f>Assumptions!$B$14*MIN(A49/Assumptions!$B$19,1)+D49*Assumptions!$B$15</x:f>
        <x:v>26.5</x:v>
      </x:c>
      <x:c r="G49" s="20" t="n">
        <x:f>E49+F49</x:f>
        <x:v>170</x:v>
      </x:c>
      <x:c r="H49" s="12" t="n">
        <x:f>IF(A49&lt;=Assumptions!$B$19,'Site Detail'!K130/Assumptions!$B$19,0)</x:f>
        <x:v>0</x:v>
      </x:c>
      <x:c r="I49" s="12" t="n">
        <x:f>C49*((Assumptions!$B$16-Assumptions!$B$20)+(1-Assumptions!$B$15)*(Assumptions!$B$17-Assumptions!$B$21)+Assumptions!$B$15*(Assumptions!$B$18-Assumptions!$B$22))</x:f>
        <x:v>53751.5</x:v>
      </x:c>
      <x:c r="J49" s="12" t="n">
        <x:f>E49*Assumptions!$B$9+F49*Assumptions!$B$10</x:f>
        <x:v>16095</x:v>
      </x:c>
      <x:c r="K49" s="12" t="n">
        <x:f>G49*Assumptions!$B$11*Assumptions!$B$12</x:f>
        <x:v>0</x:v>
      </x:c>
      <x:c r="L49" s="12" t="n">
        <x:f>J49+K49</x:f>
        <x:v>16095</x:v>
      </x:c>
      <x:c r="M49" s="12" t="n">
        <x:f>H49+I49+L49</x:f>
        <x:v>69846.5</x:v>
      </x:c>
    </x:row>
    <x:row r="50">
      <x:c r="A50" t="n">
        <x:v>46</x:v>
      </x:c>
      <x:c r="B50" t="n">
        <x:v>4</x:v>
      </x:c>
      <x:c r="C50" t="n">
        <x:v>1</x:v>
      </x:c>
      <x:c r="D50" t="n">
        <x:f>SUM($C$5:C50)</x:f>
        <x:v>46</x:v>
      </x:c>
      <x:c r="E50" s="20" t="n">
        <x:f>Assumptions!$B$13*MIN(A50/Assumptions!$B$19,1)+D50*(1-Assumptions!$B$15)</x:f>
        <x:v>144</x:v>
      </x:c>
      <x:c r="F50" s="20" t="n">
        <x:f>Assumptions!$B$14*MIN(A50/Assumptions!$B$19,1)+D50*Assumptions!$B$15</x:f>
        <x:v>27</x:v>
      </x:c>
      <x:c r="G50" s="20" t="n">
        <x:f>E50+F50</x:f>
        <x:v>171</x:v>
      </x:c>
      <x:c r="H50" s="12" t="n">
        <x:f>IF(A50&lt;=Assumptions!$B$19,'Site Detail'!K130/Assumptions!$B$19,0)</x:f>
        <x:v>0</x:v>
      </x:c>
      <x:c r="I50" s="12" t="n">
        <x:f>C50*((Assumptions!$B$16-Assumptions!$B$20)+(1-Assumptions!$B$15)*(Assumptions!$B$17-Assumptions!$B$21)+Assumptions!$B$15*(Assumptions!$B$18-Assumptions!$B$22))</x:f>
        <x:v>53751.5</x:v>
      </x:c>
      <x:c r="J50" s="12" t="n">
        <x:f>E50*Assumptions!$B$9+F50*Assumptions!$B$10</x:f>
        <x:v>16200</x:v>
      </x:c>
      <x:c r="K50" s="12" t="n">
        <x:f>G50*Assumptions!$B$11*Assumptions!$B$12</x:f>
        <x:v>0</x:v>
      </x:c>
      <x:c r="L50" s="12" t="n">
        <x:f>J50+K50</x:f>
        <x:v>16200</x:v>
      </x:c>
      <x:c r="M50" s="12" t="n">
        <x:f>H50+I50+L50</x:f>
        <x:v>69951.5</x:v>
      </x:c>
    </x:row>
    <x:row r="51">
      <x:c r="A51" t="n">
        <x:v>47</x:v>
      </x:c>
      <x:c r="B51" t="n">
        <x:v>4</x:v>
      </x:c>
      <x:c r="C51" t="n">
        <x:v>1</x:v>
      </x:c>
      <x:c r="D51" t="n">
        <x:f>SUM($C$5:C51)</x:f>
        <x:v>47</x:v>
      </x:c>
      <x:c r="E51" s="20" t="n">
        <x:f>Assumptions!$B$13*MIN(A51/Assumptions!$B$19,1)+D51*(1-Assumptions!$B$15)</x:f>
        <x:v>144.5</x:v>
      </x:c>
      <x:c r="F51" s="20" t="n">
        <x:f>Assumptions!$B$14*MIN(A51/Assumptions!$B$19,1)+D51*Assumptions!$B$15</x:f>
        <x:v>27.5</x:v>
      </x:c>
      <x:c r="G51" s="20" t="n">
        <x:f>E51+F51</x:f>
        <x:v>172</x:v>
      </x:c>
      <x:c r="H51" s="12" t="n">
        <x:f>IF(A51&lt;=Assumptions!$B$19,'Site Detail'!K130/Assumptions!$B$19,0)</x:f>
        <x:v>0</x:v>
      </x:c>
      <x:c r="I51" s="12" t="n">
        <x:f>C51*((Assumptions!$B$16-Assumptions!$B$20)+(1-Assumptions!$B$15)*(Assumptions!$B$17-Assumptions!$B$21)+Assumptions!$B$15*(Assumptions!$B$18-Assumptions!$B$22))</x:f>
        <x:v>53751.5</x:v>
      </x:c>
      <x:c r="J51" s="12" t="n">
        <x:f>E51*Assumptions!$B$9+F51*Assumptions!$B$10</x:f>
        <x:v>16305</x:v>
      </x:c>
      <x:c r="K51" s="12" t="n">
        <x:f>G51*Assumptions!$B$11*Assumptions!$B$12</x:f>
        <x:v>0</x:v>
      </x:c>
      <x:c r="L51" s="12" t="n">
        <x:f>J51+K51</x:f>
        <x:v>16305</x:v>
      </x:c>
      <x:c r="M51" s="12" t="n">
        <x:f>H51+I51+L51</x:f>
        <x:v>70056.5</x:v>
      </x:c>
    </x:row>
    <x:row r="52">
      <x:c r="A52" t="n">
        <x:v>48</x:v>
      </x:c>
      <x:c r="B52" t="n">
        <x:v>4</x:v>
      </x:c>
      <x:c r="C52" t="n">
        <x:v>1</x:v>
      </x:c>
      <x:c r="D52" t="n">
        <x:f>SUM($C$5:C52)</x:f>
        <x:v>48</x:v>
      </x:c>
      <x:c r="E52" s="20" t="n">
        <x:f>Assumptions!$B$13*MIN(A52/Assumptions!$B$19,1)+D52*(1-Assumptions!$B$15)</x:f>
        <x:v>145</x:v>
      </x:c>
      <x:c r="F52" s="20" t="n">
        <x:f>Assumptions!$B$14*MIN(A52/Assumptions!$B$19,1)+D52*Assumptions!$B$15</x:f>
        <x:v>28</x:v>
      </x:c>
      <x:c r="G52" s="20" t="n">
        <x:f>E52+F52</x:f>
        <x:v>173</x:v>
      </x:c>
      <x:c r="H52" s="12" t="n">
        <x:f>IF(A52&lt;=Assumptions!$B$19,'Site Detail'!K130/Assumptions!$B$19,0)</x:f>
        <x:v>0</x:v>
      </x:c>
      <x:c r="I52" s="12" t="n">
        <x:f>C52*((Assumptions!$B$16-Assumptions!$B$20)+(1-Assumptions!$B$15)*(Assumptions!$B$17-Assumptions!$B$21)+Assumptions!$B$15*(Assumptions!$B$18-Assumptions!$B$22))</x:f>
        <x:v>53751.5</x:v>
      </x:c>
      <x:c r="J52" s="12" t="n">
        <x:f>E52*Assumptions!$B$9+F52*Assumptions!$B$10</x:f>
        <x:v>16410</x:v>
      </x:c>
      <x:c r="K52" s="12" t="n">
        <x:f>G52*Assumptions!$B$11*Assumptions!$B$12</x:f>
        <x:v>0</x:v>
      </x:c>
      <x:c r="L52" s="12" t="n">
        <x:f>J52+K52</x:f>
        <x:v>16410</x:v>
      </x:c>
      <x:c r="M52" s="12" t="n">
        <x:f>H52+I52+L52</x:f>
        <x:v>70161.5</x:v>
      </x:c>
    </x:row>
    <x:row r="53">
      <x:c r="A53" t="n">
        <x:v>49</x:v>
      </x:c>
      <x:c r="B53" t="n">
        <x:v>5</x:v>
      </x:c>
      <x:c r="C53" t="n">
        <x:v>1</x:v>
      </x:c>
      <x:c r="D53" t="n">
        <x:f>SUM($C$5:C53)</x:f>
        <x:v>49</x:v>
      </x:c>
      <x:c r="E53" s="20" t="n">
        <x:f>Assumptions!$B$13*MIN(A53/Assumptions!$B$19,1)+D53*(1-Assumptions!$B$15)</x:f>
        <x:v>145.5</x:v>
      </x:c>
      <x:c r="F53" s="20" t="n">
        <x:f>Assumptions!$B$14*MIN(A53/Assumptions!$B$19,1)+D53*Assumptions!$B$15</x:f>
        <x:v>28.5</x:v>
      </x:c>
      <x:c r="G53" s="20" t="n">
        <x:f>E53+F53</x:f>
        <x:v>174</x:v>
      </x:c>
      <x:c r="H53" s="12" t="n">
        <x:f>IF(A53&lt;=Assumptions!$B$19,'Site Detail'!K130/Assumptions!$B$19,0)</x:f>
        <x:v>0</x:v>
      </x:c>
      <x:c r="I53" s="12" t="n">
        <x:f>C53*((Assumptions!$B$16-Assumptions!$B$20)+(1-Assumptions!$B$15)*(Assumptions!$B$17-Assumptions!$B$21)+Assumptions!$B$15*(Assumptions!$B$18-Assumptions!$B$22))</x:f>
        <x:v>53751.5</x:v>
      </x:c>
      <x:c r="J53" s="12" t="n">
        <x:f>E53*Assumptions!$B$9+F53*Assumptions!$B$10</x:f>
        <x:v>16515</x:v>
      </x:c>
      <x:c r="K53" s="12" t="n">
        <x:f>G53*Assumptions!$B$11*Assumptions!$B$12</x:f>
        <x:v>0</x:v>
      </x:c>
      <x:c r="L53" s="12" t="n">
        <x:f>J53+K53</x:f>
        <x:v>16515</x:v>
      </x:c>
      <x:c r="M53" s="12" t="n">
        <x:f>H53+I53+L53</x:f>
        <x:v>70266.5</x:v>
      </x:c>
    </x:row>
    <x:row r="54">
      <x:c r="A54" t="n">
        <x:v>50</x:v>
      </x:c>
      <x:c r="B54" t="n">
        <x:v>5</x:v>
      </x:c>
      <x:c r="C54" t="n">
        <x:v>1</x:v>
      </x:c>
      <x:c r="D54" t="n">
        <x:f>SUM($C$5:C54)</x:f>
        <x:v>50</x:v>
      </x:c>
      <x:c r="E54" s="20" t="n">
        <x:f>Assumptions!$B$13*MIN(A54/Assumptions!$B$19,1)+D54*(1-Assumptions!$B$15)</x:f>
        <x:v>146</x:v>
      </x:c>
      <x:c r="F54" s="20" t="n">
        <x:f>Assumptions!$B$14*MIN(A54/Assumptions!$B$19,1)+D54*Assumptions!$B$15</x:f>
        <x:v>29</x:v>
      </x:c>
      <x:c r="G54" s="20" t="n">
        <x:f>E54+F54</x:f>
        <x:v>175</x:v>
      </x:c>
      <x:c r="H54" s="12" t="n">
        <x:f>IF(A54&lt;=Assumptions!$B$19,'Site Detail'!K130/Assumptions!$B$19,0)</x:f>
        <x:v>0</x:v>
      </x:c>
      <x:c r="I54" s="12" t="n">
        <x:f>C54*((Assumptions!$B$16-Assumptions!$B$20)+(1-Assumptions!$B$15)*(Assumptions!$B$17-Assumptions!$B$21)+Assumptions!$B$15*(Assumptions!$B$18-Assumptions!$B$22))</x:f>
        <x:v>53751.5</x:v>
      </x:c>
      <x:c r="J54" s="12" t="n">
        <x:f>E54*Assumptions!$B$9+F54*Assumptions!$B$10</x:f>
        <x:v>16620</x:v>
      </x:c>
      <x:c r="K54" s="12" t="n">
        <x:f>G54*Assumptions!$B$11*Assumptions!$B$12</x:f>
        <x:v>0</x:v>
      </x:c>
      <x:c r="L54" s="12" t="n">
        <x:f>J54+K54</x:f>
        <x:v>16620</x:v>
      </x:c>
      <x:c r="M54" s="12" t="n">
        <x:f>H54+I54+L54</x:f>
        <x:v>70371.5</x:v>
      </x:c>
    </x:row>
    <x:row r="55">
      <x:c r="A55" t="n">
        <x:v>51</x:v>
      </x:c>
      <x:c r="B55" t="n">
        <x:v>5</x:v>
      </x:c>
      <x:c r="C55" t="n">
        <x:v>1</x:v>
      </x:c>
      <x:c r="D55" t="n">
        <x:f>SUM($C$5:C55)</x:f>
        <x:v>51</x:v>
      </x:c>
      <x:c r="E55" s="20" t="n">
        <x:f>Assumptions!$B$13*MIN(A55/Assumptions!$B$19,1)+D55*(1-Assumptions!$B$15)</x:f>
        <x:v>146.5</x:v>
      </x:c>
      <x:c r="F55" s="20" t="n">
        <x:f>Assumptions!$B$14*MIN(A55/Assumptions!$B$19,1)+D55*Assumptions!$B$15</x:f>
        <x:v>29.5</x:v>
      </x:c>
      <x:c r="G55" s="20" t="n">
        <x:f>E55+F55</x:f>
        <x:v>176</x:v>
      </x:c>
      <x:c r="H55" s="12" t="n">
        <x:f>IF(A55&lt;=Assumptions!$B$19,'Site Detail'!K130/Assumptions!$B$19,0)</x:f>
        <x:v>0</x:v>
      </x:c>
      <x:c r="I55" s="12" t="n">
        <x:f>C55*((Assumptions!$B$16-Assumptions!$B$20)+(1-Assumptions!$B$15)*(Assumptions!$B$17-Assumptions!$B$21)+Assumptions!$B$15*(Assumptions!$B$18-Assumptions!$B$22))</x:f>
        <x:v>53751.5</x:v>
      </x:c>
      <x:c r="J55" s="12" t="n">
        <x:f>E55*Assumptions!$B$9+F55*Assumptions!$B$10</x:f>
        <x:v>16725</x:v>
      </x:c>
      <x:c r="K55" s="12" t="n">
        <x:f>G55*Assumptions!$B$11*Assumptions!$B$12</x:f>
        <x:v>0</x:v>
      </x:c>
      <x:c r="L55" s="12" t="n">
        <x:f>J55+K55</x:f>
        <x:v>16725</x:v>
      </x:c>
      <x:c r="M55" s="12" t="n">
        <x:f>H55+I55+L55</x:f>
        <x:v>70476.5</x:v>
      </x:c>
    </x:row>
    <x:row r="56">
      <x:c r="A56" t="n">
        <x:v>52</x:v>
      </x:c>
      <x:c r="B56" t="n">
        <x:v>5</x:v>
      </x:c>
      <x:c r="C56" t="n">
        <x:v>1</x:v>
      </x:c>
      <x:c r="D56" t="n">
        <x:f>SUM($C$5:C56)</x:f>
        <x:v>52</x:v>
      </x:c>
      <x:c r="E56" s="20" t="n">
        <x:f>Assumptions!$B$13*MIN(A56/Assumptions!$B$19,1)+D56*(1-Assumptions!$B$15)</x:f>
        <x:v>147</x:v>
      </x:c>
      <x:c r="F56" s="20" t="n">
        <x:f>Assumptions!$B$14*MIN(A56/Assumptions!$B$19,1)+D56*Assumptions!$B$15</x:f>
        <x:v>30</x:v>
      </x:c>
      <x:c r="G56" s="20" t="n">
        <x:f>E56+F56</x:f>
        <x:v>177</x:v>
      </x:c>
      <x:c r="H56" s="12" t="n">
        <x:f>IF(A56&lt;=Assumptions!$B$19,'Site Detail'!K130/Assumptions!$B$19,0)</x:f>
        <x:v>0</x:v>
      </x:c>
      <x:c r="I56" s="12" t="n">
        <x:f>C56*((Assumptions!$B$16-Assumptions!$B$20)+(1-Assumptions!$B$15)*(Assumptions!$B$17-Assumptions!$B$21)+Assumptions!$B$15*(Assumptions!$B$18-Assumptions!$B$22))</x:f>
        <x:v>53751.5</x:v>
      </x:c>
      <x:c r="J56" s="12" t="n">
        <x:f>E56*Assumptions!$B$9+F56*Assumptions!$B$10</x:f>
        <x:v>16830</x:v>
      </x:c>
      <x:c r="K56" s="12" t="n">
        <x:f>G56*Assumptions!$B$11*Assumptions!$B$12</x:f>
        <x:v>0</x:v>
      </x:c>
      <x:c r="L56" s="12" t="n">
        <x:f>J56+K56</x:f>
        <x:v>16830</x:v>
      </x:c>
      <x:c r="M56" s="12" t="n">
        <x:f>H56+I56+L56</x:f>
        <x:v>70581.5</x:v>
      </x:c>
    </x:row>
    <x:row r="57">
      <x:c r="A57" t="n">
        <x:v>53</x:v>
      </x:c>
      <x:c r="B57" t="n">
        <x:v>5</x:v>
      </x:c>
      <x:c r="C57" t="n">
        <x:v>1</x:v>
      </x:c>
      <x:c r="D57" t="n">
        <x:f>SUM($C$5:C57)</x:f>
        <x:v>53</x:v>
      </x:c>
      <x:c r="E57" s="20" t="n">
        <x:f>Assumptions!$B$13*MIN(A57/Assumptions!$B$19,1)+D57*(1-Assumptions!$B$15)</x:f>
        <x:v>147.5</x:v>
      </x:c>
      <x:c r="F57" s="20" t="n">
        <x:f>Assumptions!$B$14*MIN(A57/Assumptions!$B$19,1)+D57*Assumptions!$B$15</x:f>
        <x:v>30.5</x:v>
      </x:c>
      <x:c r="G57" s="20" t="n">
        <x:f>E57+F57</x:f>
        <x:v>178</x:v>
      </x:c>
      <x:c r="H57" s="12" t="n">
        <x:f>IF(A57&lt;=Assumptions!$B$19,'Site Detail'!K130/Assumptions!$B$19,0)</x:f>
        <x:v>0</x:v>
      </x:c>
      <x:c r="I57" s="12" t="n">
        <x:f>C57*((Assumptions!$B$16-Assumptions!$B$20)+(1-Assumptions!$B$15)*(Assumptions!$B$17-Assumptions!$B$21)+Assumptions!$B$15*(Assumptions!$B$18-Assumptions!$B$22))</x:f>
        <x:v>53751.5</x:v>
      </x:c>
      <x:c r="J57" s="12" t="n">
        <x:f>E57*Assumptions!$B$9+F57*Assumptions!$B$10</x:f>
        <x:v>16935</x:v>
      </x:c>
      <x:c r="K57" s="12" t="n">
        <x:f>G57*Assumptions!$B$11*Assumptions!$B$12</x:f>
        <x:v>0</x:v>
      </x:c>
      <x:c r="L57" s="12" t="n">
        <x:f>J57+K57</x:f>
        <x:v>16935</x:v>
      </x:c>
      <x:c r="M57" s="12" t="n">
        <x:f>H57+I57+L57</x:f>
        <x:v>70686.5</x:v>
      </x:c>
    </x:row>
    <x:row r="58">
      <x:c r="A58" t="n">
        <x:v>54</x:v>
      </x:c>
      <x:c r="B58" t="n">
        <x:v>5</x:v>
      </x:c>
      <x:c r="C58" t="n">
        <x:v>1</x:v>
      </x:c>
      <x:c r="D58" t="n">
        <x:f>SUM($C$5:C58)</x:f>
        <x:v>54</x:v>
      </x:c>
      <x:c r="E58" s="20" t="n">
        <x:f>Assumptions!$B$13*MIN(A58/Assumptions!$B$19,1)+D58*(1-Assumptions!$B$15)</x:f>
        <x:v>148</x:v>
      </x:c>
      <x:c r="F58" s="20" t="n">
        <x:f>Assumptions!$B$14*MIN(A58/Assumptions!$B$19,1)+D58*Assumptions!$B$15</x:f>
        <x:v>31</x:v>
      </x:c>
      <x:c r="G58" s="20" t="n">
        <x:f>E58+F58</x:f>
        <x:v>179</x:v>
      </x:c>
      <x:c r="H58" s="12" t="n">
        <x:f>IF(A58&lt;=Assumptions!$B$19,'Site Detail'!K130/Assumptions!$B$19,0)</x:f>
        <x:v>0</x:v>
      </x:c>
      <x:c r="I58" s="12" t="n">
        <x:f>C58*((Assumptions!$B$16-Assumptions!$B$20)+(1-Assumptions!$B$15)*(Assumptions!$B$17-Assumptions!$B$21)+Assumptions!$B$15*(Assumptions!$B$18-Assumptions!$B$22))</x:f>
        <x:v>53751.5</x:v>
      </x:c>
      <x:c r="J58" s="12" t="n">
        <x:f>E58*Assumptions!$B$9+F58*Assumptions!$B$10</x:f>
        <x:v>17040</x:v>
      </x:c>
      <x:c r="K58" s="12" t="n">
        <x:f>G58*Assumptions!$B$11*Assumptions!$B$12</x:f>
        <x:v>0</x:v>
      </x:c>
      <x:c r="L58" s="12" t="n">
        <x:f>J58+K58</x:f>
        <x:v>17040</x:v>
      </x:c>
      <x:c r="M58" s="12" t="n">
        <x:f>H58+I58+L58</x:f>
        <x:v>70791.5</x:v>
      </x:c>
    </x:row>
    <x:row r="59">
      <x:c r="A59" t="n">
        <x:v>55</x:v>
      </x:c>
      <x:c r="B59" t="n">
        <x:v>5</x:v>
      </x:c>
      <x:c r="C59" t="n">
        <x:v>1</x:v>
      </x:c>
      <x:c r="D59" t="n">
        <x:f>SUM($C$5:C59)</x:f>
        <x:v>55</x:v>
      </x:c>
      <x:c r="E59" s="20" t="n">
        <x:f>Assumptions!$B$13*MIN(A59/Assumptions!$B$19,1)+D59*(1-Assumptions!$B$15)</x:f>
        <x:v>148.5</x:v>
      </x:c>
      <x:c r="F59" s="20" t="n">
        <x:f>Assumptions!$B$14*MIN(A59/Assumptions!$B$19,1)+D59*Assumptions!$B$15</x:f>
        <x:v>31.5</x:v>
      </x:c>
      <x:c r="G59" s="20" t="n">
        <x:f>E59+F59</x:f>
        <x:v>180</x:v>
      </x:c>
      <x:c r="H59" s="12" t="n">
        <x:f>IF(A59&lt;=Assumptions!$B$19,'Site Detail'!K130/Assumptions!$B$19,0)</x:f>
        <x:v>0</x:v>
      </x:c>
      <x:c r="I59" s="12" t="n">
        <x:f>C59*((Assumptions!$B$16-Assumptions!$B$20)+(1-Assumptions!$B$15)*(Assumptions!$B$17-Assumptions!$B$21)+Assumptions!$B$15*(Assumptions!$B$18-Assumptions!$B$22))</x:f>
        <x:v>53751.5</x:v>
      </x:c>
      <x:c r="J59" s="12" t="n">
        <x:f>E59*Assumptions!$B$9+F59*Assumptions!$B$10</x:f>
        <x:v>17145</x:v>
      </x:c>
      <x:c r="K59" s="12" t="n">
        <x:f>G59*Assumptions!$B$11*Assumptions!$B$12</x:f>
        <x:v>0</x:v>
      </x:c>
      <x:c r="L59" s="12" t="n">
        <x:f>J59+K59</x:f>
        <x:v>17145</x:v>
      </x:c>
      <x:c r="M59" s="12" t="n">
        <x:f>H59+I59+L59</x:f>
        <x:v>70896.5</x:v>
      </x:c>
    </x:row>
    <x:row r="60">
      <x:c r="A60" t="n">
        <x:v>56</x:v>
      </x:c>
      <x:c r="B60" t="n">
        <x:v>5</x:v>
      </x:c>
      <x:c r="C60" t="n">
        <x:v>1</x:v>
      </x:c>
      <x:c r="D60" t="n">
        <x:f>SUM($C$5:C60)</x:f>
        <x:v>56</x:v>
      </x:c>
      <x:c r="E60" s="20" t="n">
        <x:f>Assumptions!$B$13*MIN(A60/Assumptions!$B$19,1)+D60*(1-Assumptions!$B$15)</x:f>
        <x:v>149</x:v>
      </x:c>
      <x:c r="F60" s="20" t="n">
        <x:f>Assumptions!$B$14*MIN(A60/Assumptions!$B$19,1)+D60*Assumptions!$B$15</x:f>
        <x:v>32</x:v>
      </x:c>
      <x:c r="G60" s="20" t="n">
        <x:f>E60+F60</x:f>
        <x:v>181</x:v>
      </x:c>
      <x:c r="H60" s="12" t="n">
        <x:f>IF(A60&lt;=Assumptions!$B$19,'Site Detail'!K130/Assumptions!$B$19,0)</x:f>
        <x:v>0</x:v>
      </x:c>
      <x:c r="I60" s="12" t="n">
        <x:f>C60*((Assumptions!$B$16-Assumptions!$B$20)+(1-Assumptions!$B$15)*(Assumptions!$B$17-Assumptions!$B$21)+Assumptions!$B$15*(Assumptions!$B$18-Assumptions!$B$22))</x:f>
        <x:v>53751.5</x:v>
      </x:c>
      <x:c r="J60" s="12" t="n">
        <x:f>E60*Assumptions!$B$9+F60*Assumptions!$B$10</x:f>
        <x:v>17250</x:v>
      </x:c>
      <x:c r="K60" s="12" t="n">
        <x:f>G60*Assumptions!$B$11*Assumptions!$B$12</x:f>
        <x:v>0</x:v>
      </x:c>
      <x:c r="L60" s="12" t="n">
        <x:f>J60+K60</x:f>
        <x:v>17250</x:v>
      </x:c>
      <x:c r="M60" s="12" t="n">
        <x:f>H60+I60+L60</x:f>
        <x:v>71001.5</x:v>
      </x:c>
    </x:row>
    <x:row r="61">
      <x:c r="A61" t="n">
        <x:v>57</x:v>
      </x:c>
      <x:c r="B61" t="n">
        <x:v>5</x:v>
      </x:c>
      <x:c r="C61" t="n">
        <x:v>1</x:v>
      </x:c>
      <x:c r="D61" t="n">
        <x:f>SUM($C$5:C61)</x:f>
        <x:v>57</x:v>
      </x:c>
      <x:c r="E61" s="20" t="n">
        <x:f>Assumptions!$B$13*MIN(A61/Assumptions!$B$19,1)+D61*(1-Assumptions!$B$15)</x:f>
        <x:v>149.5</x:v>
      </x:c>
      <x:c r="F61" s="20" t="n">
        <x:f>Assumptions!$B$14*MIN(A61/Assumptions!$B$19,1)+D61*Assumptions!$B$15</x:f>
        <x:v>32.5</x:v>
      </x:c>
      <x:c r="G61" s="20" t="n">
        <x:f>E61+F61</x:f>
        <x:v>182</x:v>
      </x:c>
      <x:c r="H61" s="12" t="n">
        <x:f>IF(A61&lt;=Assumptions!$B$19,'Site Detail'!K130/Assumptions!$B$19,0)</x:f>
        <x:v>0</x:v>
      </x:c>
      <x:c r="I61" s="12" t="n">
        <x:f>C61*((Assumptions!$B$16-Assumptions!$B$20)+(1-Assumptions!$B$15)*(Assumptions!$B$17-Assumptions!$B$21)+Assumptions!$B$15*(Assumptions!$B$18-Assumptions!$B$22))</x:f>
        <x:v>53751.5</x:v>
      </x:c>
      <x:c r="J61" s="12" t="n">
        <x:f>E61*Assumptions!$B$9+F61*Assumptions!$B$10</x:f>
        <x:v>17355</x:v>
      </x:c>
      <x:c r="K61" s="12" t="n">
        <x:f>G61*Assumptions!$B$11*Assumptions!$B$12</x:f>
        <x:v>0</x:v>
      </x:c>
      <x:c r="L61" s="12" t="n">
        <x:f>J61+K61</x:f>
        <x:v>17355</x:v>
      </x:c>
      <x:c r="M61" s="12" t="n">
        <x:f>H61+I61+L61</x:f>
        <x:v>71106.5</x:v>
      </x:c>
    </x:row>
    <x:row r="62">
      <x:c r="A62" t="n">
        <x:v>58</x:v>
      </x:c>
      <x:c r="B62" t="n">
        <x:v>5</x:v>
      </x:c>
      <x:c r="C62" t="n">
        <x:v>1</x:v>
      </x:c>
      <x:c r="D62" t="n">
        <x:f>SUM($C$5:C62)</x:f>
        <x:v>58</x:v>
      </x:c>
      <x:c r="E62" s="20" t="n">
        <x:f>Assumptions!$B$13*MIN(A62/Assumptions!$B$19,1)+D62*(1-Assumptions!$B$15)</x:f>
        <x:v>150</x:v>
      </x:c>
      <x:c r="F62" s="20" t="n">
        <x:f>Assumptions!$B$14*MIN(A62/Assumptions!$B$19,1)+D62*Assumptions!$B$15</x:f>
        <x:v>33</x:v>
      </x:c>
      <x:c r="G62" s="20" t="n">
        <x:f>E62+F62</x:f>
        <x:v>183</x:v>
      </x:c>
      <x:c r="H62" s="12" t="n">
        <x:f>IF(A62&lt;=Assumptions!$B$19,'Site Detail'!K130/Assumptions!$B$19,0)</x:f>
        <x:v>0</x:v>
      </x:c>
      <x:c r="I62" s="12" t="n">
        <x:f>C62*((Assumptions!$B$16-Assumptions!$B$20)+(1-Assumptions!$B$15)*(Assumptions!$B$17-Assumptions!$B$21)+Assumptions!$B$15*(Assumptions!$B$18-Assumptions!$B$22))</x:f>
        <x:v>53751.5</x:v>
      </x:c>
      <x:c r="J62" s="12" t="n">
        <x:f>E62*Assumptions!$B$9+F62*Assumptions!$B$10</x:f>
        <x:v>17460</x:v>
      </x:c>
      <x:c r="K62" s="12" t="n">
        <x:f>G62*Assumptions!$B$11*Assumptions!$B$12</x:f>
        <x:v>0</x:v>
      </x:c>
      <x:c r="L62" s="12" t="n">
        <x:f>J62+K62</x:f>
        <x:v>17460</x:v>
      </x:c>
      <x:c r="M62" s="12" t="n">
        <x:f>H62+I62+L62</x:f>
        <x:v>71211.5</x:v>
      </x:c>
    </x:row>
    <x:row r="63">
      <x:c r="A63" t="n">
        <x:v>59</x:v>
      </x:c>
      <x:c r="B63" t="n">
        <x:v>5</x:v>
      </x:c>
      <x:c r="C63" t="n">
        <x:v>1</x:v>
      </x:c>
      <x:c r="D63" t="n">
        <x:f>SUM($C$5:C63)</x:f>
        <x:v>59</x:v>
      </x:c>
      <x:c r="E63" s="20" t="n">
        <x:f>Assumptions!$B$13*MIN(A63/Assumptions!$B$19,1)+D63*(1-Assumptions!$B$15)</x:f>
        <x:v>150.5</x:v>
      </x:c>
      <x:c r="F63" s="20" t="n">
        <x:f>Assumptions!$B$14*MIN(A63/Assumptions!$B$19,1)+D63*Assumptions!$B$15</x:f>
        <x:v>33.5</x:v>
      </x:c>
      <x:c r="G63" s="20" t="n">
        <x:f>E63+F63</x:f>
        <x:v>184</x:v>
      </x:c>
      <x:c r="H63" s="12" t="n">
        <x:f>IF(A63&lt;=Assumptions!$B$19,'Site Detail'!K130/Assumptions!$B$19,0)</x:f>
        <x:v>0</x:v>
      </x:c>
      <x:c r="I63" s="12" t="n">
        <x:f>C63*((Assumptions!$B$16-Assumptions!$B$20)+(1-Assumptions!$B$15)*(Assumptions!$B$17-Assumptions!$B$21)+Assumptions!$B$15*(Assumptions!$B$18-Assumptions!$B$22))</x:f>
        <x:v>53751.5</x:v>
      </x:c>
      <x:c r="J63" s="12" t="n">
        <x:f>E63*Assumptions!$B$9+F63*Assumptions!$B$10</x:f>
        <x:v>17565</x:v>
      </x:c>
      <x:c r="K63" s="12" t="n">
        <x:f>G63*Assumptions!$B$11*Assumptions!$B$12</x:f>
        <x:v>0</x:v>
      </x:c>
      <x:c r="L63" s="12" t="n">
        <x:f>J63+K63</x:f>
        <x:v>17565</x:v>
      </x:c>
      <x:c r="M63" s="12" t="n">
        <x:f>H63+I63+L63</x:f>
        <x:v>71316.5</x:v>
      </x:c>
    </x:row>
    <x:row r="64">
      <x:c r="A64" t="n">
        <x:v>60</x:v>
      </x:c>
      <x:c r="B64" t="n">
        <x:v>5</x:v>
      </x:c>
      <x:c r="C64" t="n">
        <x:v>1</x:v>
      </x:c>
      <x:c r="D64" t="n">
        <x:f>SUM($C$5:C64)</x:f>
        <x:v>60</x:v>
      </x:c>
      <x:c r="E64" s="20" t="n">
        <x:f>Assumptions!$B$13*MIN(A64/Assumptions!$B$19,1)+D64*(1-Assumptions!$B$15)</x:f>
        <x:v>151</x:v>
      </x:c>
      <x:c r="F64" s="20" t="n">
        <x:f>Assumptions!$B$14*MIN(A64/Assumptions!$B$19,1)+D64*Assumptions!$B$15</x:f>
        <x:v>34</x:v>
      </x:c>
      <x:c r="G64" s="20" t="n">
        <x:f>E64+F64</x:f>
        <x:v>185</x:v>
      </x:c>
      <x:c r="H64" s="12" t="n">
        <x:f>IF(A64&lt;=Assumptions!$B$19,'Site Detail'!K130/Assumptions!$B$19,0)</x:f>
        <x:v>0</x:v>
      </x:c>
      <x:c r="I64" s="12" t="n">
        <x:f>C64*((Assumptions!$B$16-Assumptions!$B$20)+(1-Assumptions!$B$15)*(Assumptions!$B$17-Assumptions!$B$21)+Assumptions!$B$15*(Assumptions!$B$18-Assumptions!$B$22))</x:f>
        <x:v>53751.5</x:v>
      </x:c>
      <x:c r="J64" s="12" t="n">
        <x:f>E64*Assumptions!$B$9+F64*Assumptions!$B$10</x:f>
        <x:v>17670</x:v>
      </x:c>
      <x:c r="K64" s="12" t="n">
        <x:f>G64*Assumptions!$B$11*Assumptions!$B$12</x:f>
        <x:v>0</x:v>
      </x:c>
      <x:c r="L64" s="12" t="n">
        <x:f>J64+K64</x:f>
        <x:v>17670</x:v>
      </x:c>
      <x:c r="M64" s="12" t="n">
        <x:f>H64+I64+L64</x:f>
        <x:v>71421.5</x:v>
      </x:c>
    </x:row>
  </x:sheetData>
  <x:mergeCells>
    <x:mergeCell ref="A2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2">
      <x:c r="A2" s="1" t="str">
        <x:v>Existing 125-site deployment estimate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4">
      <x:c r="A4" s="6" t="str">
        <x:v>Location</x:v>
      </x:c>
      <x:c r="B4" s="6" t="str">
        <x:v>Indoor SoC</x:v>
      </x:c>
      <x:c r="C4" s="6" t="str">
        <x:v>Indoor controller screens</x:v>
      </x:c>
      <x:c r="D4" s="6" t="str">
        <x:v>Indoor controllers</x:v>
      </x:c>
      <x:c r="E4" s="6" t="str">
        <x:v>Indoor installed</x:v>
      </x:c>
      <x:c r="F4" s="6" t="str">
        <x:v>Outdoor SoC</x:v>
      </x:c>
      <x:c r="G4" s="6" t="str">
        <x:v>Outdoor controller screens</x:v>
      </x:c>
      <x:c r="H4" s="6" t="str">
        <x:v>DT configuration</x:v>
      </x:c>
      <x:c r="I4" s="6" t="str">
        <x:v>Outdoor installed</x:v>
      </x:c>
      <x:c r="J4" s="6" t="str">
        <x:v>Site survey</x:v>
      </x:c>
      <x:c r="K4" s="6" t="str">
        <x:v>Estimated one-time</x:v>
      </x:c>
      <x:c r="L4" s="6" t="str">
        <x:v>CMS tier</x:v>
      </x:c>
      <x:c r="M4" s="6" t="str">
        <x:v>Monthly CMS</x:v>
      </x:c>
    </x:row>
    <x:row r="5">
      <x:c r="A5" t="str">
        <x:v>R003-West New York</x:v>
      </x:c>
      <x:c r="B5" t="n">
        <x:v>1</x:v>
      </x:c>
      <x:c r="C5" t="n">
        <x:v>4</x:v>
      </x:c>
      <x:c r="D5" t="n">
        <x:v>2</x:v>
      </x:c>
      <x:c r="E5" s="12" t="n">
        <x:f>INDEX(Assumptions!$E$5:$E$8,MATCH(D5,Assumptions!$D$5:$D$8,0))</x:f>
        <x:v>3650</x:v>
      </x:c>
      <x:c r="F5" t="n">
        <x:v>0</x:v>
      </x:c>
      <x:c r="G5" t="n">
        <x:v>0</x:v>
      </x:c>
      <x:c r="H5" t="str">
        <x:v>No DT</x:v>
      </x:c>
      <x:c r="I5" s="12" t="n">
        <x:f>IF(H5="No DT",0,IF(H5="Single",INDEX(Assumptions!$H$5:$H$9,MATCH(G5,Assumptions!$G$5:$G$9,0)),INDEX(Assumptions!$K$5:$K$13,MATCH(G5,Assumptions!$J$5:$J$13,0))))</x:f>
        <x:v>0</x:v>
      </x:c>
      <x:c r="J5" s="12" t="n">
        <x:f>Assumptions!$B$6</x:f>
        <x:v>525</x:v>
      </x:c>
      <x:c r="K5" s="12" t="n">
        <x:f>E5+I5+J5</x:f>
        <x:v>4175</x:v>
      </x:c>
      <x:c r="L5" t="str">
        <x:f>IF(H5="Dual","Dual","Standard")</x:f>
        <x:v>Standard</x:v>
      </x:c>
      <x:c r="M5" s="12" t="n">
        <x:f>IF(L5="Dual",Assumptions!$B$10,Assumptions!$B$9)</x:f>
        <x:v>90</x:v>
      </x:c>
    </x:row>
    <x:row r="6">
      <x:c r="A6" t="str">
        <x:v>R006-Rogers</x:v>
      </x:c>
      <x:c r="B6" t="n">
        <x:v>1</x:v>
      </x:c>
      <x:c r="C6" t="n">
        <x:v>3</x:v>
      </x:c>
      <x:c r="D6" t="n">
        <x:v>2</x:v>
      </x:c>
      <x:c r="E6" s="12" t="n">
        <x:f>INDEX(Assumptions!$E$5:$E$8,MATCH(D6,Assumptions!$D$5:$D$8,0))</x:f>
        <x:v>3650</x:v>
      </x:c>
      <x:c r="F6" t="n">
        <x:v>0</x:v>
      </x:c>
      <x:c r="G6" t="n">
        <x:v>0</x:v>
      </x:c>
      <x:c r="H6" t="str">
        <x:v>No DT</x:v>
      </x:c>
      <x:c r="I6" s="12" t="n">
        <x:f>IF(H6="No DT",0,IF(H6="Single",INDEX(Assumptions!$H$5:$H$9,MATCH(G6,Assumptions!$G$5:$G$9,0)),INDEX(Assumptions!$K$5:$K$13,MATCH(G6,Assumptions!$J$5:$J$13,0))))</x:f>
        <x:v>0</x:v>
      </x:c>
      <x:c r="J6" s="12" t="n">
        <x:f>Assumptions!$B$6</x:f>
        <x:v>525</x:v>
      </x:c>
      <x:c r="K6" s="12" t="n">
        <x:f>E6+I6+J6</x:f>
        <x:v>4175</x:v>
      </x:c>
      <x:c r="L6" t="str">
        <x:f>IF(H6="Dual","Dual","Standard")</x:f>
        <x:v>Standard</x:v>
      </x:c>
      <x:c r="M6" s="12" t="n">
        <x:f>IF(L6="Dual",Assumptions!$B$10,Assumptions!$B$9)</x:f>
        <x:v>90</x:v>
      </x:c>
    </x:row>
    <x:row r="7">
      <x:c r="A7" t="str">
        <x:v>R007-Bellaire</x:v>
      </x:c>
      <x:c r="B7" t="n">
        <x:v>0</x:v>
      </x:c>
      <x:c r="C7" t="n">
        <x:v>5</x:v>
      </x:c>
      <x:c r="D7" t="n">
        <x:v>3</x:v>
      </x:c>
      <x:c r="E7" s="12" t="n">
        <x:f>INDEX(Assumptions!$E$5:$E$8,MATCH(D7,Assumptions!$D$5:$D$8,0))</x:f>
        <x:v>4320</x:v>
      </x:c>
      <x:c r="F7" t="n">
        <x:v>0</x:v>
      </x:c>
      <x:c r="G7" t="n">
        <x:v>4</x:v>
      </x:c>
      <x:c r="H7" t="str">
        <x:v>Single</x:v>
      </x:c>
      <x:c r="I7" s="12" t="n">
        <x:f>IF(H7="No DT",0,IF(H7="Single",INDEX(Assumptions!$H$5:$H$9,MATCH(G7,Assumptions!$G$5:$G$9,0)),INDEX(Assumptions!$K$5:$K$13,MATCH(G7,Assumptions!$J$5:$J$13,0))))</x:f>
        <x:v>4397</x:v>
      </x:c>
      <x:c r="J7" s="12" t="n">
        <x:f>Assumptions!$B$6</x:f>
        <x:v>525</x:v>
      </x:c>
      <x:c r="K7" s="12" t="n">
        <x:f>E7+I7+J7</x:f>
        <x:v>9242</x:v>
      </x:c>
      <x:c r="L7" t="str">
        <x:f>IF(H7="Dual","Dual","Standard")</x:f>
        <x:v>Standard</x:v>
      </x:c>
      <x:c r="M7" s="12" t="n">
        <x:f>IF(L7="Dual",Assumptions!$B$10,Assumptions!$B$9)</x:f>
        <x:v>90</x:v>
      </x:c>
    </x:row>
    <x:row r="8">
      <x:c r="A8" t="str">
        <x:v>R009-East Boston</x:v>
      </x:c>
      <x:c r="B8" t="n">
        <x:v>1</x:v>
      </x:c>
      <x:c r="C8" t="n">
        <x:v>4</x:v>
      </x:c>
      <x:c r="D8" t="n">
        <x:v>2</x:v>
      </x:c>
      <x:c r="E8" s="12" t="n">
        <x:f>INDEX(Assumptions!$E$5:$E$8,MATCH(D8,Assumptions!$D$5:$D$8,0))</x:f>
        <x:v>3650</x:v>
      </x:c>
      <x:c r="F8" t="n">
        <x:v>0</x:v>
      </x:c>
      <x:c r="G8" t="n">
        <x:v>0</x:v>
      </x:c>
      <x:c r="H8" t="str">
        <x:v>No DT</x:v>
      </x:c>
      <x:c r="I8" s="12" t="n">
        <x:f>IF(H8="No DT",0,IF(H8="Single",INDEX(Assumptions!$H$5:$H$9,MATCH(G8,Assumptions!$G$5:$G$9,0)),INDEX(Assumptions!$K$5:$K$13,MATCH(G8,Assumptions!$J$5:$J$13,0))))</x:f>
        <x:v>0</x:v>
      </x:c>
      <x:c r="J8" s="12" t="n">
        <x:f>Assumptions!$B$6</x:f>
        <x:v>525</x:v>
      </x:c>
      <x:c r="K8" s="12" t="n">
        <x:f>E8+I8+J8</x:f>
        <x:v>4175</x:v>
      </x:c>
      <x:c r="L8" t="str">
        <x:f>IF(H8="Dual","Dual","Standard")</x:f>
        <x:v>Standard</x:v>
      </x:c>
      <x:c r="M8" s="12" t="n">
        <x:f>IF(L8="Dual",Assumptions!$B$10,Assumptions!$B$9)</x:f>
        <x:v>90</x:v>
      </x:c>
    </x:row>
    <x:row r="9">
      <x:c r="A9" t="str">
        <x:v>R010-Tampa (Fowler Ave.)</x:v>
      </x:c>
      <x:c r="B9" t="n">
        <x:v>5</x:v>
      </x:c>
      <x:c r="C9" t="n">
        <x:v>0</x:v>
      </x:c>
      <x:c r="D9" t="n">
        <x:v>0</x:v>
      </x:c>
      <x:c r="E9" s="12" t="n">
        <x:f>INDEX(Assumptions!$E$5:$E$8,MATCH(D9,Assumptions!$D$5:$D$8,0))</x:f>
        <x:v>1328</x:v>
      </x:c>
      <x:c r="F9" t="n">
        <x:v>0</x:v>
      </x:c>
      <x:c r="G9" t="n">
        <x:v>3</x:v>
      </x:c>
      <x:c r="H9" t="str">
        <x:v>Single</x:v>
      </x:c>
      <x:c r="I9" s="12" t="n">
        <x:f>IF(H9="No DT",0,IF(H9="Single",INDEX(Assumptions!$H$5:$H$9,MATCH(G9,Assumptions!$G$5:$G$9,0)),INDEX(Assumptions!$K$5:$K$13,MATCH(G9,Assumptions!$J$5:$J$13,0))))</x:f>
        <x:v>3565</x:v>
      </x:c>
      <x:c r="J9" s="12" t="n">
        <x:f>Assumptions!$B$6</x:f>
        <x:v>525</x:v>
      </x:c>
      <x:c r="K9" s="12" t="n">
        <x:f>E9+I9+J9</x:f>
        <x:v>5418</x:v>
      </x:c>
      <x:c r="L9" t="str">
        <x:f>IF(H9="Dual","Dual","Standard")</x:f>
        <x:v>Standard</x:v>
      </x:c>
      <x:c r="M9" s="12" t="n">
        <x:f>IF(L9="Dual",Assumptions!$B$10,Assumptions!$B$9)</x:f>
        <x:v>90</x:v>
      </x:c>
    </x:row>
    <x:row r="10">
      <x:c r="A10" t="str">
        <x:v>R011-Washington Ave</x:v>
      </x:c>
      <x:c r="B10" t="n">
        <x:v>0</x:v>
      </x:c>
      <x:c r="C10" t="n">
        <x:v>5</x:v>
      </x:c>
      <x:c r="D10" t="n">
        <x:v>3</x:v>
      </x:c>
      <x:c r="E10" s="12" t="n">
        <x:f>INDEX(Assumptions!$E$5:$E$8,MATCH(D10,Assumptions!$D$5:$D$8,0))</x:f>
        <x:v>4320</x:v>
      </x:c>
      <x:c r="F10" t="n">
        <x:v>0</x:v>
      </x:c>
      <x:c r="G10" t="n">
        <x:v>4</x:v>
      </x:c>
      <x:c r="H10" t="str">
        <x:v>Single</x:v>
      </x:c>
      <x:c r="I10" s="12" t="n">
        <x:f>IF(H10="No DT",0,IF(H10="Single",INDEX(Assumptions!$H$5:$H$9,MATCH(G10,Assumptions!$G$5:$G$9,0)),INDEX(Assumptions!$K$5:$K$13,MATCH(G10,Assumptions!$J$5:$J$13,0))))</x:f>
        <x:v>4397</x:v>
      </x:c>
      <x:c r="J10" s="12" t="n">
        <x:f>Assumptions!$B$6</x:f>
        <x:v>525</x:v>
      </x:c>
      <x:c r="K10" s="12" t="n">
        <x:f>E10+I10+J10</x:f>
        <x:v>9242</x:v>
      </x:c>
      <x:c r="L10" t="str">
        <x:f>IF(H10="Dual","Dual","Standard")</x:f>
        <x:v>Standard</x:v>
      </x:c>
      <x:c r="M10" s="12" t="n">
        <x:f>IF(L10="Dual",Assumptions!$B$10,Assumptions!$B$9)</x:f>
        <x:v>90</x:v>
      </x:c>
    </x:row>
    <x:row r="11">
      <x:c r="A11" t="str">
        <x:v>R012-Columbia Mall</x:v>
      </x:c>
      <x:c r="B11" t="n">
        <x:v>4</x:v>
      </x:c>
      <x:c r="C11" t="n">
        <x:v>0</x:v>
      </x:c>
      <x:c r="D11" t="n">
        <x:v>0</x:v>
      </x:c>
      <x:c r="E11" s="12" t="n">
        <x:f>INDEX(Assumptions!$E$5:$E$8,MATCH(D11,Assumptions!$D$5:$D$8,0))</x:f>
        <x:v>1328</x:v>
      </x:c>
      <x:c r="F11" t="n">
        <x:v>0</x:v>
      </x:c>
      <x:c r="G11" t="n">
        <x:v>0</x:v>
      </x:c>
      <x:c r="H11" t="str">
        <x:v>No DT</x:v>
      </x:c>
      <x:c r="I11" s="12" t="n">
        <x:f>IF(H11="No DT",0,IF(H11="Single",INDEX(Assumptions!$H$5:$H$9,MATCH(G11,Assumptions!$G$5:$G$9,0)),INDEX(Assumptions!$K$5:$K$13,MATCH(G11,Assumptions!$J$5:$J$13,0))))</x:f>
        <x:v>0</x:v>
      </x:c>
      <x:c r="J11" s="12" t="n">
        <x:f>Assumptions!$B$6</x:f>
        <x:v>525</x:v>
      </x:c>
      <x:c r="K11" s="12" t="n">
        <x:f>E11+I11+J11</x:f>
        <x:v>1853</x:v>
      </x:c>
      <x:c r="L11" t="str">
        <x:f>IF(H11="Dual","Dual","Standard")</x:f>
        <x:v>Standard</x:v>
      </x:c>
      <x:c r="M11" s="12" t="n">
        <x:f>IF(L11="Dual",Assumptions!$B$10,Assumptions!$B$9)</x:f>
        <x:v>90</x:v>
      </x:c>
    </x:row>
    <x:row r="12">
      <x:c r="A12" t="str">
        <x:v>R013-Lake Elsinore</x:v>
      </x:c>
      <x:c r="B12" t="n">
        <x:v>5</x:v>
      </x:c>
      <x:c r="C12" t="n">
        <x:v>0</x:v>
      </x:c>
      <x:c r="D12" t="n">
        <x:v>0</x:v>
      </x:c>
      <x:c r="E12" s="12" t="n">
        <x:f>INDEX(Assumptions!$E$5:$E$8,MATCH(D12,Assumptions!$D$5:$D$8,0))</x:f>
        <x:v>1328</x:v>
      </x:c>
      <x:c r="F12" t="n">
        <x:v>4</x:v>
      </x:c>
      <x:c r="G12" t="n">
        <x:v>0</x:v>
      </x:c>
      <x:c r="H12" t="str">
        <x:v>Single</x:v>
      </x:c>
      <x:c r="I12" s="12" t="n">
        <x:f>IF(H12="No DT",0,IF(H12="Single",INDEX(Assumptions!$H$5:$H$9,MATCH(G12,Assumptions!$G$5:$G$9,0)),INDEX(Assumptions!$K$5:$K$13,MATCH(G12,Assumptions!$J$5:$J$13,0))))</x:f>
        <x:v>1071</x:v>
      </x:c>
      <x:c r="J12" s="12" t="n">
        <x:f>Assumptions!$B$6</x:f>
        <x:v>525</x:v>
      </x:c>
      <x:c r="K12" s="12" t="n">
        <x:f>E12+I12+J12</x:f>
        <x:v>2924</x:v>
      </x:c>
      <x:c r="L12" t="str">
        <x:f>IF(H12="Dual","Dual","Standard")</x:f>
        <x:v>Standard</x:v>
      </x:c>
      <x:c r="M12" s="12" t="n">
        <x:f>IF(L12="Dual",Assumptions!$B$10,Assumptions!$B$9)</x:f>
        <x:v>90</x:v>
      </x:c>
    </x:row>
    <x:row r="13">
      <x:c r="A13" t="str">
        <x:v>R014-Laurel</x:v>
      </x:c>
      <x:c r="B13" t="n">
        <x:v>1</x:v>
      </x:c>
      <x:c r="C13" t="n">
        <x:v>3</x:v>
      </x:c>
      <x:c r="D13" t="n">
        <x:v>2</x:v>
      </x:c>
      <x:c r="E13" s="12" t="n">
        <x:f>INDEX(Assumptions!$E$5:$E$8,MATCH(D13,Assumptions!$D$5:$D$8,0))</x:f>
        <x:v>3650</x:v>
      </x:c>
      <x:c r="F13" t="n">
        <x:v>0</x:v>
      </x:c>
      <x:c r="G13" t="n">
        <x:v>0</x:v>
      </x:c>
      <x:c r="H13" t="str">
        <x:v>No DT</x:v>
      </x:c>
      <x:c r="I13" s="12" t="n">
        <x:f>IF(H13="No DT",0,IF(H13="Single",INDEX(Assumptions!$H$5:$H$9,MATCH(G13,Assumptions!$G$5:$G$9,0)),INDEX(Assumptions!$K$5:$K$13,MATCH(G13,Assumptions!$J$5:$J$13,0))))</x:f>
        <x:v>0</x:v>
      </x:c>
      <x:c r="J13" s="12" t="n">
        <x:f>Assumptions!$B$6</x:f>
        <x:v>525</x:v>
      </x:c>
      <x:c r="K13" s="12" t="n">
        <x:f>E13+I13+J13</x:f>
        <x:v>4175</x:v>
      </x:c>
      <x:c r="L13" t="str">
        <x:f>IF(H13="Dual","Dual","Standard")</x:f>
        <x:v>Standard</x:v>
      </x:c>
      <x:c r="M13" s="12" t="n">
        <x:f>IF(L13="Dual",Assumptions!$B$10,Assumptions!$B$9)</x:f>
        <x:v>90</x:v>
      </x:c>
    </x:row>
    <x:row r="14">
      <x:c r="A14" t="str">
        <x:v>R016-Langley Park</x:v>
      </x:c>
      <x:c r="B14" t="n">
        <x:v>2</x:v>
      </x:c>
      <x:c r="C14" t="n">
        <x:v>3</x:v>
      </x:c>
      <x:c r="D14" t="n">
        <x:v>2</x:v>
      </x:c>
      <x:c r="E14" s="12" t="n">
        <x:f>INDEX(Assumptions!$E$5:$E$8,MATCH(D14,Assumptions!$D$5:$D$8,0))</x:f>
        <x:v>3650</x:v>
      </x:c>
      <x:c r="F14" t="n">
        <x:v>0</x:v>
      </x:c>
      <x:c r="G14" t="n">
        <x:v>4</x:v>
      </x:c>
      <x:c r="H14" t="str">
        <x:v>Single</x:v>
      </x:c>
      <x:c r="I14" s="12" t="n">
        <x:f>IF(H14="No DT",0,IF(H14="Single",INDEX(Assumptions!$H$5:$H$9,MATCH(G14,Assumptions!$G$5:$G$9,0)),INDEX(Assumptions!$K$5:$K$13,MATCH(G14,Assumptions!$J$5:$J$13,0))))</x:f>
        <x:v>4397</x:v>
      </x:c>
      <x:c r="J14" s="12" t="n">
        <x:f>Assumptions!$B$6</x:f>
        <x:v>525</x:v>
      </x:c>
      <x:c r="K14" s="12" t="n">
        <x:f>E14+I14+J14</x:f>
        <x:v>8572</x:v>
      </x:c>
      <x:c r="L14" t="str">
        <x:f>IF(H14="Dual","Dual","Standard")</x:f>
        <x:v>Standard</x:v>
      </x:c>
      <x:c r="M14" s="12" t="n">
        <x:f>IF(L14="Dual",Assumptions!$B$10,Assumptions!$B$9)</x:f>
        <x:v>90</x:v>
      </x:c>
    </x:row>
    <x:row r="15">
      <x:c r="A15" t="str">
        <x:v>R017-Wheaton</x:v>
      </x:c>
      <x:c r="B15" t="n">
        <x:v>1</x:v>
      </x:c>
      <x:c r="C15" t="n">
        <x:v>4</x:v>
      </x:c>
      <x:c r="D15" t="n">
        <x:v>2</x:v>
      </x:c>
      <x:c r="E15" s="12" t="n">
        <x:f>INDEX(Assumptions!$E$5:$E$8,MATCH(D15,Assumptions!$D$5:$D$8,0))</x:f>
        <x:v>3650</x:v>
      </x:c>
      <x:c r="F15" t="n">
        <x:v>0</x:v>
      </x:c>
      <x:c r="G15" t="n">
        <x:v>0</x:v>
      </x:c>
      <x:c r="H15" t="str">
        <x:v>No DT</x:v>
      </x:c>
      <x:c r="I15" s="12" t="n">
        <x:f>IF(H15="No DT",0,IF(H15="Single",INDEX(Assumptions!$H$5:$H$9,MATCH(G15,Assumptions!$G$5:$G$9,0)),INDEX(Assumptions!$K$5:$K$13,MATCH(G15,Assumptions!$J$5:$J$13,0))))</x:f>
        <x:v>0</x:v>
      </x:c>
      <x:c r="J15" s="12" t="n">
        <x:f>Assumptions!$B$6</x:f>
        <x:v>525</x:v>
      </x:c>
      <x:c r="K15" s="12" t="n">
        <x:f>E15+I15+J15</x:f>
        <x:v>4175</x:v>
      </x:c>
      <x:c r="L15" t="str">
        <x:f>IF(H15="Dual","Dual","Standard")</x:f>
        <x:v>Standard</x:v>
      </x:c>
      <x:c r="M15" s="12" t="n">
        <x:f>IF(L15="Dual",Assumptions!$B$10,Assumptions!$B$9)</x:f>
        <x:v>90</x:v>
      </x:c>
    </x:row>
    <x:row r="16">
      <x:c r="A16" t="str">
        <x:v>R018-Columbia Heights</x:v>
      </x:c>
      <x:c r="B16" t="n">
        <x:v>0</x:v>
      </x:c>
      <x:c r="C16" t="n">
        <x:v>4</x:v>
      </x:c>
      <x:c r="D16" t="n">
        <x:v>2</x:v>
      </x:c>
      <x:c r="E16" s="12" t="n">
        <x:f>INDEX(Assumptions!$E$5:$E$8,MATCH(D16,Assumptions!$D$5:$D$8,0))</x:f>
        <x:v>3650</x:v>
      </x:c>
      <x:c r="F16" t="n">
        <x:v>0</x:v>
      </x:c>
      <x:c r="G16" t="n">
        <x:v>0</x:v>
      </x:c>
      <x:c r="H16" t="str">
        <x:v>No DT</x:v>
      </x:c>
      <x:c r="I16" s="12" t="n">
        <x:f>IF(H16="No DT",0,IF(H16="Single",INDEX(Assumptions!$H$5:$H$9,MATCH(G16,Assumptions!$G$5:$G$9,0)),INDEX(Assumptions!$K$5:$K$13,MATCH(G16,Assumptions!$J$5:$J$13,0))))</x:f>
        <x:v>0</x:v>
      </x:c>
      <x:c r="J16" s="12" t="n">
        <x:f>Assumptions!$B$6</x:f>
        <x:v>525</x:v>
      </x:c>
      <x:c r="K16" s="12" t="n">
        <x:f>E16+I16+J16</x:f>
        <x:v>4175</x:v>
      </x:c>
      <x:c r="L16" t="str">
        <x:f>IF(H16="Dual","Dual","Standard")</x:f>
        <x:v>Standard</x:v>
      </x:c>
      <x:c r="M16" s="12" t="n">
        <x:f>IF(L16="Dual",Assumptions!$B$10,Assumptions!$B$9)</x:f>
        <x:v>90</x:v>
      </x:c>
    </x:row>
    <x:row r="17">
      <x:c r="A17" t="str">
        <x:v>R019-Baileys Crossroads</x:v>
      </x:c>
      <x:c r="B17" t="n">
        <x:v>2</x:v>
      </x:c>
      <x:c r="C17" t="n">
        <x:v>3</x:v>
      </x:c>
      <x:c r="D17" t="n">
        <x:v>2</x:v>
      </x:c>
      <x:c r="E17" s="12" t="n">
        <x:f>INDEX(Assumptions!$E$5:$E$8,MATCH(D17,Assumptions!$D$5:$D$8,0))</x:f>
        <x:v>3650</x:v>
      </x:c>
      <x:c r="F17" t="n">
        <x:v>0</x:v>
      </x:c>
      <x:c r="G17" t="n">
        <x:v>0</x:v>
      </x:c>
      <x:c r="H17" t="str">
        <x:v>No DT</x:v>
      </x:c>
      <x:c r="I17" s="12" t="n">
        <x:f>IF(H17="No DT",0,IF(H17="Single",INDEX(Assumptions!$H$5:$H$9,MATCH(G17,Assumptions!$G$5:$G$9,0)),INDEX(Assumptions!$K$5:$K$13,MATCH(G17,Assumptions!$J$5:$J$13,0))))</x:f>
        <x:v>0</x:v>
      </x:c>
      <x:c r="J17" s="12" t="n">
        <x:f>Assumptions!$B$6</x:f>
        <x:v>525</x:v>
      </x:c>
      <x:c r="K17" s="12" t="n">
        <x:f>E17+I17+J17</x:f>
        <x:v>4175</x:v>
      </x:c>
      <x:c r="L17" t="str">
        <x:f>IF(H17="Dual","Dual","Standard")</x:f>
        <x:v>Standard</x:v>
      </x:c>
      <x:c r="M17" s="12" t="n">
        <x:f>IF(L17="Dual",Assumptions!$B$10,Assumptions!$B$9)</x:f>
        <x:v>90</x:v>
      </x:c>
    </x:row>
    <x:row r="18">
      <x:c r="A18" t="str">
        <x:v>R020-Herndon</x:v>
      </x:c>
      <x:c r="B18" t="n">
        <x:v>1</x:v>
      </x:c>
      <x:c r="C18" t="n">
        <x:v>4</x:v>
      </x:c>
      <x:c r="D18" t="n">
        <x:v>2</x:v>
      </x:c>
      <x:c r="E18" s="12" t="n">
        <x:f>INDEX(Assumptions!$E$5:$E$8,MATCH(D18,Assumptions!$D$5:$D$8,0))</x:f>
        <x:v>3650</x:v>
      </x:c>
      <x:c r="F18" t="n">
        <x:v>0</x:v>
      </x:c>
      <x:c r="G18" t="n">
        <x:v>0</x:v>
      </x:c>
      <x:c r="H18" t="str">
        <x:v>No DT</x:v>
      </x:c>
      <x:c r="I18" s="12" t="n">
        <x:f>IF(H18="No DT",0,IF(H18="Single",INDEX(Assumptions!$H$5:$H$9,MATCH(G18,Assumptions!$G$5:$G$9,0)),INDEX(Assumptions!$K$5:$K$13,MATCH(G18,Assumptions!$J$5:$J$13,0))))</x:f>
        <x:v>0</x:v>
      </x:c>
      <x:c r="J18" s="12" t="n">
        <x:f>Assumptions!$B$6</x:f>
        <x:v>525</x:v>
      </x:c>
      <x:c r="K18" s="12" t="n">
        <x:f>E18+I18+J18</x:f>
        <x:v>4175</x:v>
      </x:c>
      <x:c r="L18" t="str">
        <x:f>IF(H18="Dual","Dual","Standard")</x:f>
        <x:v>Standard</x:v>
      </x:c>
      <x:c r="M18" s="12" t="n">
        <x:f>IF(L18="Dual",Assumptions!$B$10,Assumptions!$B$9)</x:f>
        <x:v>90</x:v>
      </x:c>
    </x:row>
    <x:row r="19">
      <x:c r="A19" t="str">
        <x:v>R021-Woodbridge</x:v>
      </x:c>
      <x:c r="B19" t="n">
        <x:v>1</x:v>
      </x:c>
      <x:c r="C19" t="n">
        <x:v>3</x:v>
      </x:c>
      <x:c r="D19" t="n">
        <x:v>2</x:v>
      </x:c>
      <x:c r="E19" s="12" t="n">
        <x:f>INDEX(Assumptions!$E$5:$E$8,MATCH(D19,Assumptions!$D$5:$D$8,0))</x:f>
        <x:v>3650</x:v>
      </x:c>
      <x:c r="F19" t="n">
        <x:v>0</x:v>
      </x:c>
      <x:c r="G19" t="n">
        <x:v>4</x:v>
      </x:c>
      <x:c r="H19" t="str">
        <x:v>Single</x:v>
      </x:c>
      <x:c r="I19" s="12" t="n">
        <x:f>IF(H19="No DT",0,IF(H19="Single",INDEX(Assumptions!$H$5:$H$9,MATCH(G19,Assumptions!$G$5:$G$9,0)),INDEX(Assumptions!$K$5:$K$13,MATCH(G19,Assumptions!$J$5:$J$13,0))))</x:f>
        <x:v>4397</x:v>
      </x:c>
      <x:c r="J19" s="12" t="n">
        <x:f>Assumptions!$B$6</x:f>
        <x:v>525</x:v>
      </x:c>
      <x:c r="K19" s="12" t="n">
        <x:f>E19+I19+J19</x:f>
        <x:v>8572</x:v>
      </x:c>
      <x:c r="L19" t="str">
        <x:f>IF(H19="Dual","Dual","Standard")</x:f>
        <x:v>Standard</x:v>
      </x:c>
      <x:c r="M19" s="12" t="n">
        <x:f>IF(L19="Dual",Assumptions!$B$10,Assumptions!$B$9)</x:f>
        <x:v>90</x:v>
      </x:c>
    </x:row>
    <x:row r="20">
      <x:c r="A20" t="str">
        <x:v>R022-Bayshore</x:v>
      </x:c>
      <x:c r="B20" t="n">
        <x:v>4</x:v>
      </x:c>
      <x:c r="C20" t="n">
        <x:v>0</x:v>
      </x:c>
      <x:c r="D20" t="n">
        <x:v>0</x:v>
      </x:c>
      <x:c r="E20" s="12" t="n">
        <x:f>INDEX(Assumptions!$E$5:$E$8,MATCH(D20,Assumptions!$D$5:$D$8,0))</x:f>
        <x:v>1328</x:v>
      </x:c>
      <x:c r="F20" t="n">
        <x:v>0</x:v>
      </x:c>
      <x:c r="G20" t="n">
        <x:v>0</x:v>
      </x:c>
      <x:c r="H20" t="str">
        <x:v>No DT</x:v>
      </x:c>
      <x:c r="I20" s="12" t="n">
        <x:f>IF(H20="No DT",0,IF(H20="Single",INDEX(Assumptions!$H$5:$H$9,MATCH(G20,Assumptions!$G$5:$G$9,0)),INDEX(Assumptions!$K$5:$K$13,MATCH(G20,Assumptions!$J$5:$J$13,0))))</x:f>
        <x:v>0</x:v>
      </x:c>
      <x:c r="J20" s="12" t="n">
        <x:f>Assumptions!$B$6</x:f>
        <x:v>525</x:v>
      </x:c>
      <x:c r="K20" s="12" t="n">
        <x:f>E20+I20+J20</x:f>
        <x:v>1853</x:v>
      </x:c>
      <x:c r="L20" t="str">
        <x:f>IF(H20="Dual","Dual","Standard")</x:f>
        <x:v>Standard</x:v>
      </x:c>
      <x:c r="M20" s="12" t="n">
        <x:f>IF(L20="Dual",Assumptions!$B$10,Assumptions!$B$9)</x:f>
        <x:v>90</x:v>
      </x:c>
    </x:row>
    <x:row r="21">
      <x:c r="A21" t="str">
        <x:v>R023-Hempstead</x:v>
      </x:c>
      <x:c r="B21" t="n">
        <x:v>2</x:v>
      </x:c>
      <x:c r="C21" t="n">
        <x:v>3</x:v>
      </x:c>
      <x:c r="D21" t="n">
        <x:v>2</x:v>
      </x:c>
      <x:c r="E21" s="12" t="n">
        <x:f>INDEX(Assumptions!$E$5:$E$8,MATCH(D21,Assumptions!$D$5:$D$8,0))</x:f>
        <x:v>3650</x:v>
      </x:c>
      <x:c r="F21" t="n">
        <x:v>0</x:v>
      </x:c>
      <x:c r="G21" t="n">
        <x:v>0</x:v>
      </x:c>
      <x:c r="H21" t="str">
        <x:v>No DT</x:v>
      </x:c>
      <x:c r="I21" s="12" t="n">
        <x:f>IF(H21="No DT",0,IF(H21="Single",INDEX(Assumptions!$H$5:$H$9,MATCH(G21,Assumptions!$G$5:$G$9,0)),INDEX(Assumptions!$K$5:$K$13,MATCH(G21,Assumptions!$J$5:$J$13,0))))</x:f>
        <x:v>0</x:v>
      </x:c>
      <x:c r="J21" s="12" t="n">
        <x:f>Assumptions!$B$6</x:f>
        <x:v>525</x:v>
      </x:c>
      <x:c r="K21" s="12" t="n">
        <x:f>E21+I21+J21</x:f>
        <x:v>4175</x:v>
      </x:c>
      <x:c r="L21" t="str">
        <x:f>IF(H21="Dual","Dual","Standard")</x:f>
        <x:v>Standard</x:v>
      </x:c>
      <x:c r="M21" s="12" t="n">
        <x:f>IF(L21="Dual",Assumptions!$B$10,Assumptions!$B$9)</x:f>
        <x:v>90</x:v>
      </x:c>
    </x:row>
    <x:row r="22">
      <x:c r="A22" t="str">
        <x:v>R024-Corona</x:v>
      </x:c>
      <x:c r="B22" t="n">
        <x:v>1</x:v>
      </x:c>
      <x:c r="C22" t="n">
        <x:v>4</x:v>
      </x:c>
      <x:c r="D22" t="n">
        <x:v>2</x:v>
      </x:c>
      <x:c r="E22" s="12" t="n">
        <x:f>INDEX(Assumptions!$E$5:$E$8,MATCH(D22,Assumptions!$D$5:$D$8,0))</x:f>
        <x:v>3650</x:v>
      </x:c>
      <x:c r="F22" t="n">
        <x:v>0</x:v>
      </x:c>
      <x:c r="G22" t="n">
        <x:v>0</x:v>
      </x:c>
      <x:c r="H22" t="str">
        <x:v>No DT</x:v>
      </x:c>
      <x:c r="I22" s="12" t="n">
        <x:f>IF(H22="No DT",0,IF(H22="Single",INDEX(Assumptions!$H$5:$H$9,MATCH(G22,Assumptions!$G$5:$G$9,0)),INDEX(Assumptions!$K$5:$K$13,MATCH(G22,Assumptions!$J$5:$J$13,0))))</x:f>
        <x:v>0</x:v>
      </x:c>
      <x:c r="J22" s="12" t="n">
        <x:f>Assumptions!$B$6</x:f>
        <x:v>525</x:v>
      </x:c>
      <x:c r="K22" s="12" t="n">
        <x:f>E22+I22+J22</x:f>
        <x:v>4175</x:v>
      </x:c>
      <x:c r="L22" t="str">
        <x:f>IF(H22="Dual","Dual","Standard")</x:f>
        <x:v>Standard</x:v>
      </x:c>
      <x:c r="M22" s="12" t="n">
        <x:f>IF(L22="Dual",Assumptions!$B$10,Assumptions!$B$9)</x:f>
        <x:v>90</x:v>
      </x:c>
    </x:row>
    <x:row r="23">
      <x:c r="A23" t="str">
        <x:v>R025-Providence</x:v>
      </x:c>
      <x:c r="B23" t="n">
        <x:v>2</x:v>
      </x:c>
      <x:c r="C23" t="n">
        <x:v>2</x:v>
      </x:c>
      <x:c r="D23" t="n">
        <x:v>1</x:v>
      </x:c>
      <x:c r="E23" s="12" t="n">
        <x:f>INDEX(Assumptions!$E$5:$E$8,MATCH(D23,Assumptions!$D$5:$D$8,0))</x:f>
        <x:v>2980</x:v>
      </x:c>
      <x:c r="F23" t="n">
        <x:v>0</x:v>
      </x:c>
      <x:c r="G23" t="n">
        <x:v>0</x:v>
      </x:c>
      <x:c r="H23" t="str">
        <x:v>No DT</x:v>
      </x:c>
      <x:c r="I23" s="12" t="n">
        <x:f>IF(H23="No DT",0,IF(H23="Single",INDEX(Assumptions!$H$5:$H$9,MATCH(G23,Assumptions!$G$5:$G$9,0)),INDEX(Assumptions!$K$5:$K$13,MATCH(G23,Assumptions!$J$5:$J$13,0))))</x:f>
        <x:v>0</x:v>
      </x:c>
      <x:c r="J23" s="12" t="n">
        <x:f>Assumptions!$B$6</x:f>
        <x:v>525</x:v>
      </x:c>
      <x:c r="K23" s="12" t="n">
        <x:f>E23+I23+J23</x:f>
        <x:v>3505</x:v>
      </x:c>
      <x:c r="L23" t="str">
        <x:f>IF(H23="Dual","Dual","Standard")</x:f>
        <x:v>Standard</x:v>
      </x:c>
      <x:c r="M23" s="12" t="n">
        <x:f>IF(L23="Dual",Assumptions!$B$10,Assumptions!$B$9)</x:f>
        <x:v>90</x:v>
      </x:c>
    </x:row>
    <x:row r="24">
      <x:c r="A24" t="str">
        <x:v>R027-Plainfield</x:v>
      </x:c>
      <x:c r="B24" t="n">
        <x:v>1</x:v>
      </x:c>
      <x:c r="C24" t="n">
        <x:v>3</x:v>
      </x:c>
      <x:c r="D24" t="n">
        <x:v>2</x:v>
      </x:c>
      <x:c r="E24" s="12" t="n">
        <x:f>INDEX(Assumptions!$E$5:$E$8,MATCH(D24,Assumptions!$D$5:$D$8,0))</x:f>
        <x:v>3650</x:v>
      </x:c>
      <x:c r="F24" t="n">
        <x:v>0</x:v>
      </x:c>
      <x:c r="G24" t="n">
        <x:v>0</x:v>
      </x:c>
      <x:c r="H24" t="str">
        <x:v>No DT</x:v>
      </x:c>
      <x:c r="I24" s="12" t="n">
        <x:f>IF(H24="No DT",0,IF(H24="Single",INDEX(Assumptions!$H$5:$H$9,MATCH(G24,Assumptions!$G$5:$G$9,0)),INDEX(Assumptions!$K$5:$K$13,MATCH(G24,Assumptions!$J$5:$J$13,0))))</x:f>
        <x:v>0</x:v>
      </x:c>
      <x:c r="J24" s="12" t="n">
        <x:f>Assumptions!$B$6</x:f>
        <x:v>525</x:v>
      </x:c>
      <x:c r="K24" s="12" t="n">
        <x:f>E24+I24+J24</x:f>
        <x:v>4175</x:v>
      </x:c>
      <x:c r="L24" t="str">
        <x:f>IF(H24="Dual","Dual","Standard")</x:f>
        <x:v>Standard</x:v>
      </x:c>
      <x:c r="M24" s="12" t="n">
        <x:f>IF(L24="Dual",Assumptions!$B$10,Assumptions!$B$9)</x:f>
        <x:v>90</x:v>
      </x:c>
    </x:row>
    <x:row r="25">
      <x:c r="A25" t="str">
        <x:v>R029-Central Islip</x:v>
      </x:c>
      <x:c r="B25" t="n">
        <x:v>5</x:v>
      </x:c>
      <x:c r="C25" t="n">
        <x:v>0</x:v>
      </x:c>
      <x:c r="D25" t="n">
        <x:v>0</x:v>
      </x:c>
      <x:c r="E25" s="12" t="n">
        <x:f>INDEX(Assumptions!$E$5:$E$8,MATCH(D25,Assumptions!$D$5:$D$8,0))</x:f>
        <x:v>1328</x:v>
      </x:c>
      <x:c r="F25" t="n">
        <x:v>0</x:v>
      </x:c>
      <x:c r="G25" t="n">
        <x:v>0</x:v>
      </x:c>
      <x:c r="H25" t="str">
        <x:v>No DT</x:v>
      </x:c>
      <x:c r="I25" s="12" t="n">
        <x:f>IF(H25="No DT",0,IF(H25="Single",INDEX(Assumptions!$H$5:$H$9,MATCH(G25,Assumptions!$G$5:$G$9,0)),INDEX(Assumptions!$K$5:$K$13,MATCH(G25,Assumptions!$J$5:$J$13,0))))</x:f>
        <x:v>0</x:v>
      </x:c>
      <x:c r="J25" s="12" t="n">
        <x:f>Assumptions!$B$6</x:f>
        <x:v>525</x:v>
      </x:c>
      <x:c r="K25" s="12" t="n">
        <x:f>E25+I25+J25</x:f>
        <x:v>1853</x:v>
      </x:c>
      <x:c r="L25" t="str">
        <x:f>IF(H25="Dual","Dual","Standard")</x:f>
        <x:v>Standard</x:v>
      </x:c>
      <x:c r="M25" s="12" t="n">
        <x:f>IF(L25="Dual",Assumptions!$B$10,Assumptions!$B$9)</x:f>
        <x:v>90</x:v>
      </x:c>
    </x:row>
    <x:row r="26">
      <x:c r="A26" t="str">
        <x:v>R031-FM 1960 West</x:v>
      </x:c>
      <x:c r="B26" t="n">
        <x:v>1</x:v>
      </x:c>
      <x:c r="C26" t="n">
        <x:v>3</x:v>
      </x:c>
      <x:c r="D26" t="n">
        <x:v>2</x:v>
      </x:c>
      <x:c r="E26" s="12" t="n">
        <x:f>INDEX(Assumptions!$E$5:$E$8,MATCH(D26,Assumptions!$D$5:$D$8,0))</x:f>
        <x:v>3650</x:v>
      </x:c>
      <x:c r="F26" t="n">
        <x:v>0</x:v>
      </x:c>
      <x:c r="G26" t="n">
        <x:v>4</x:v>
      </x:c>
      <x:c r="H26" t="str">
        <x:v>Single</x:v>
      </x:c>
      <x:c r="I26" s="12" t="n">
        <x:f>IF(H26="No DT",0,IF(H26="Single",INDEX(Assumptions!$H$5:$H$9,MATCH(G26,Assumptions!$G$5:$G$9,0)),INDEX(Assumptions!$K$5:$K$13,MATCH(G26,Assumptions!$J$5:$J$13,0))))</x:f>
        <x:v>4397</x:v>
      </x:c>
      <x:c r="J26" s="12" t="n">
        <x:f>Assumptions!$B$6</x:f>
        <x:v>525</x:v>
      </x:c>
      <x:c r="K26" s="12" t="n">
        <x:f>E26+I26+J26</x:f>
        <x:v>8572</x:v>
      </x:c>
      <x:c r="L26" t="str">
        <x:f>IF(H26="Dual","Dual","Standard")</x:f>
        <x:v>Standard</x:v>
      </x:c>
      <x:c r="M26" s="12" t="n">
        <x:f>IF(L26="Dual",Assumptions!$B$10,Assumptions!$B$9)</x:f>
        <x:v>90</x:v>
      </x:c>
    </x:row>
    <x:row r="27">
      <x:c r="A27" t="str">
        <x:v>R032-Hybla Valley</x:v>
      </x:c>
      <x:c r="B27" t="n">
        <x:v>2</x:v>
      </x:c>
      <x:c r="C27" t="n">
        <x:v>2</x:v>
      </x:c>
      <x:c r="D27" t="n">
        <x:v>1</x:v>
      </x:c>
      <x:c r="E27" s="12" t="n">
        <x:f>INDEX(Assumptions!$E$5:$E$8,MATCH(D27,Assumptions!$D$5:$D$8,0))</x:f>
        <x:v>2980</x:v>
      </x:c>
      <x:c r="F27" t="n">
        <x:v>0</x:v>
      </x:c>
      <x:c r="G27" t="n">
        <x:v>0</x:v>
      </x:c>
      <x:c r="H27" t="str">
        <x:v>No DT</x:v>
      </x:c>
      <x:c r="I27" s="12" t="n">
        <x:f>IF(H27="No DT",0,IF(H27="Single",INDEX(Assumptions!$H$5:$H$9,MATCH(G27,Assumptions!$G$5:$G$9,0)),INDEX(Assumptions!$K$5:$K$13,MATCH(G27,Assumptions!$J$5:$J$13,0))))</x:f>
        <x:v>0</x:v>
      </x:c>
      <x:c r="J27" s="12" t="n">
        <x:f>Assumptions!$B$6</x:f>
        <x:v>525</x:v>
      </x:c>
      <x:c r="K27" s="12" t="n">
        <x:f>E27+I27+J27</x:f>
        <x:v>3505</x:v>
      </x:c>
      <x:c r="L27" t="str">
        <x:f>IF(H27="Dual","Dual","Standard")</x:f>
        <x:v>Standard</x:v>
      </x:c>
      <x:c r="M27" s="12" t="n">
        <x:f>IF(L27="Dual",Assumptions!$B$10,Assumptions!$B$9)</x:f>
        <x:v>90</x:v>
      </x:c>
    </x:row>
    <x:row r="28">
      <x:c r="A28" t="str">
        <x:v>R035-Beechnut</x:v>
      </x:c>
      <x:c r="B28" t="n">
        <x:v>1</x:v>
      </x:c>
      <x:c r="C28" t="n">
        <x:v>3</x:v>
      </x:c>
      <x:c r="D28" t="n">
        <x:v>2</x:v>
      </x:c>
      <x:c r="E28" s="12" t="n">
        <x:f>INDEX(Assumptions!$E$5:$E$8,MATCH(D28,Assumptions!$D$5:$D$8,0))</x:f>
        <x:v>3650</x:v>
      </x:c>
      <x:c r="F28" t="n">
        <x:v>0</x:v>
      </x:c>
      <x:c r="G28" t="n">
        <x:v>4</x:v>
      </x:c>
      <x:c r="H28" t="str">
        <x:v>Single</x:v>
      </x:c>
      <x:c r="I28" s="12" t="n">
        <x:f>IF(H28="No DT",0,IF(H28="Single",INDEX(Assumptions!$H$5:$H$9,MATCH(G28,Assumptions!$G$5:$G$9,0)),INDEX(Assumptions!$K$5:$K$13,MATCH(G28,Assumptions!$J$5:$J$13,0))))</x:f>
        <x:v>4397</x:v>
      </x:c>
      <x:c r="J28" s="12" t="n">
        <x:f>Assumptions!$B$6</x:f>
        <x:v>525</x:v>
      </x:c>
      <x:c r="K28" s="12" t="n">
        <x:f>E28+I28+J28</x:f>
        <x:v>8572</x:v>
      </x:c>
      <x:c r="L28" t="str">
        <x:f>IF(H28="Dual","Dual","Standard")</x:f>
        <x:v>Standard</x:v>
      </x:c>
      <x:c r="M28" s="12" t="n">
        <x:f>IF(L28="Dual",Assumptions!$B$10,Assumptions!$B$9)</x:f>
        <x:v>90</x:v>
      </x:c>
    </x:row>
    <x:row r="29">
      <x:c r="A29" t="str">
        <x:v>R036-Farmers Branch</x:v>
      </x:c>
      <x:c r="B29" t="n">
        <x:v>2</x:v>
      </x:c>
      <x:c r="C29" t="n">
        <x:v>3</x:v>
      </x:c>
      <x:c r="D29" t="n">
        <x:v>2</x:v>
      </x:c>
      <x:c r="E29" s="12" t="n">
        <x:f>INDEX(Assumptions!$E$5:$E$8,MATCH(D29,Assumptions!$D$5:$D$8,0))</x:f>
        <x:v>3650</x:v>
      </x:c>
      <x:c r="F29" t="n">
        <x:v>0</x:v>
      </x:c>
      <x:c r="G29" t="n">
        <x:v>4</x:v>
      </x:c>
      <x:c r="H29" t="str">
        <x:v>Single</x:v>
      </x:c>
      <x:c r="I29" s="12" t="n">
        <x:f>IF(H29="No DT",0,IF(H29="Single",INDEX(Assumptions!$H$5:$H$9,MATCH(G29,Assumptions!$G$5:$G$9,0)),INDEX(Assumptions!$K$5:$K$13,MATCH(G29,Assumptions!$J$5:$J$13,0))))</x:f>
        <x:v>4397</x:v>
      </x:c>
      <x:c r="J29" s="12" t="n">
        <x:f>Assumptions!$B$6</x:f>
        <x:v>525</x:v>
      </x:c>
      <x:c r="K29" s="12" t="n">
        <x:f>E29+I29+J29</x:f>
        <x:v>8572</x:v>
      </x:c>
      <x:c r="L29" t="str">
        <x:f>IF(H29="Dual","Dual","Standard")</x:f>
        <x:v>Standard</x:v>
      </x:c>
      <x:c r="M29" s="12" t="n">
        <x:f>IF(L29="Dual",Assumptions!$B$10,Assumptions!$B$9)</x:f>
        <x:v>90</x:v>
      </x:c>
    </x:row>
    <x:row r="30">
      <x:c r="A30" t="str">
        <x:v>R037-Lynn</x:v>
      </x:c>
      <x:c r="B30" t="n">
        <x:v>0</x:v>
      </x:c>
      <x:c r="C30" t="n">
        <x:v>4</x:v>
      </x:c>
      <x:c r="D30" t="n">
        <x:v>2</x:v>
      </x:c>
      <x:c r="E30" s="12" t="n">
        <x:f>INDEX(Assumptions!$E$5:$E$8,MATCH(D30,Assumptions!$D$5:$D$8,0))</x:f>
        <x:v>3650</x:v>
      </x:c>
      <x:c r="F30" t="n">
        <x:v>0</x:v>
      </x:c>
      <x:c r="G30" t="n">
        <x:v>0</x:v>
      </x:c>
      <x:c r="H30" t="str">
        <x:v>No DT</x:v>
      </x:c>
      <x:c r="I30" s="12" t="n">
        <x:f>IF(H30="No DT",0,IF(H30="Single",INDEX(Assumptions!$H$5:$H$9,MATCH(G30,Assumptions!$G$5:$G$9,0)),INDEX(Assumptions!$K$5:$K$13,MATCH(G30,Assumptions!$J$5:$J$13,0))))</x:f>
        <x:v>0</x:v>
      </x:c>
      <x:c r="J30" s="12" t="n">
        <x:f>Assumptions!$B$6</x:f>
        <x:v>525</x:v>
      </x:c>
      <x:c r="K30" s="12" t="n">
        <x:f>E30+I30+J30</x:f>
        <x:v>4175</x:v>
      </x:c>
      <x:c r="L30" t="str">
        <x:f>IF(H30="Dual","Dual","Standard")</x:f>
        <x:v>Standard</x:v>
      </x:c>
      <x:c r="M30" s="12" t="n">
        <x:f>IF(L30="Dual",Assumptions!$B$10,Assumptions!$B$9)</x:f>
        <x:v>90</x:v>
      </x:c>
    </x:row>
    <x:row r="31">
      <x:c r="A31" t="str">
        <x:v>R038-Webb Chapel</x:v>
      </x:c>
      <x:c r="B31" t="n">
        <x:v>1</x:v>
      </x:c>
      <x:c r="C31" t="n">
        <x:v>3</x:v>
      </x:c>
      <x:c r="D31" t="n">
        <x:v>2</x:v>
      </x:c>
      <x:c r="E31" s="12" t="n">
        <x:f>INDEX(Assumptions!$E$5:$E$8,MATCH(D31,Assumptions!$D$5:$D$8,0))</x:f>
        <x:v>3650</x:v>
      </x:c>
      <x:c r="F31" t="n">
        <x:v>0</x:v>
      </x:c>
      <x:c r="G31" t="n">
        <x:v>3</x:v>
      </x:c>
      <x:c r="H31" t="str">
        <x:v>Single</x:v>
      </x:c>
      <x:c r="I31" s="12" t="n">
        <x:f>IF(H31="No DT",0,IF(H31="Single",INDEX(Assumptions!$H$5:$H$9,MATCH(G31,Assumptions!$G$5:$G$9,0)),INDEX(Assumptions!$K$5:$K$13,MATCH(G31,Assumptions!$J$5:$J$13,0))))</x:f>
        <x:v>3565</x:v>
      </x:c>
      <x:c r="J31" s="12" t="n">
        <x:f>Assumptions!$B$6</x:f>
        <x:v>525</x:v>
      </x:c>
      <x:c r="K31" s="12" t="n">
        <x:f>E31+I31+J31</x:f>
        <x:v>7740</x:v>
      </x:c>
      <x:c r="L31" t="str">
        <x:f>IF(H31="Dual","Dual","Standard")</x:f>
        <x:v>Standard</x:v>
      </x:c>
      <x:c r="M31" s="12" t="n">
        <x:f>IF(L31="Dual",Assumptions!$B$10,Assumptions!$B$9)</x:f>
        <x:v>90</x:v>
      </x:c>
    </x:row>
    <x:row r="32">
      <x:c r="A32" t="str">
        <x:v>R039-Jamaica</x:v>
      </x:c>
      <x:c r="B32" t="n">
        <x:v>3</x:v>
      </x:c>
      <x:c r="C32" t="n">
        <x:v>1</x:v>
      </x:c>
      <x:c r="D32" t="n">
        <x:v>1</x:v>
      </x:c>
      <x:c r="E32" s="12" t="n">
        <x:f>INDEX(Assumptions!$E$5:$E$8,MATCH(D32,Assumptions!$D$5:$D$8,0))</x:f>
        <x:v>2980</x:v>
      </x:c>
      <x:c r="F32" t="n">
        <x:v>0</x:v>
      </x:c>
      <x:c r="G32" t="n">
        <x:v>0</x:v>
      </x:c>
      <x:c r="H32" t="str">
        <x:v>No DT</x:v>
      </x:c>
      <x:c r="I32" s="12" t="n">
        <x:f>IF(H32="No DT",0,IF(H32="Single",INDEX(Assumptions!$H$5:$H$9,MATCH(G32,Assumptions!$G$5:$G$9,0)),INDEX(Assumptions!$K$5:$K$13,MATCH(G32,Assumptions!$J$5:$J$13,0))))</x:f>
        <x:v>0</x:v>
      </x:c>
      <x:c r="J32" s="12" t="n">
        <x:f>Assumptions!$B$6</x:f>
        <x:v>525</x:v>
      </x:c>
      <x:c r="K32" s="12" t="n">
        <x:f>E32+I32+J32</x:f>
        <x:v>3505</x:v>
      </x:c>
      <x:c r="L32" t="str">
        <x:f>IF(H32="Dual","Dual","Standard")</x:f>
        <x:v>Standard</x:v>
      </x:c>
      <x:c r="M32" s="12" t="n">
        <x:f>IF(L32="Dual",Assumptions!$B$10,Assumptions!$B$9)</x:f>
        <x:v>90</x:v>
      </x:c>
    </x:row>
    <x:row r="33">
      <x:c r="A33" t="str">
        <x:v>R043-Greens Road</x:v>
      </x:c>
      <x:c r="B33" t="n">
        <x:v>0</x:v>
      </x:c>
      <x:c r="C33" t="n">
        <x:v>4</x:v>
      </x:c>
      <x:c r="D33" t="n">
        <x:v>2</x:v>
      </x:c>
      <x:c r="E33" s="12" t="n">
        <x:f>INDEX(Assumptions!$E$5:$E$8,MATCH(D33,Assumptions!$D$5:$D$8,0))</x:f>
        <x:v>3650</x:v>
      </x:c>
      <x:c r="F33" t="n">
        <x:v>0</x:v>
      </x:c>
      <x:c r="G33" t="n">
        <x:v>0</x:v>
      </x:c>
      <x:c r="H33" t="str">
        <x:v>No DT</x:v>
      </x:c>
      <x:c r="I33" s="12" t="n">
        <x:f>IF(H33="No DT",0,IF(H33="Single",INDEX(Assumptions!$H$5:$H$9,MATCH(G33,Assumptions!$G$5:$G$9,0)),INDEX(Assumptions!$K$5:$K$13,MATCH(G33,Assumptions!$J$5:$J$13,0))))</x:f>
        <x:v>0</x:v>
      </x:c>
      <x:c r="J33" s="12" t="n">
        <x:f>Assumptions!$B$6</x:f>
        <x:v>525</x:v>
      </x:c>
      <x:c r="K33" s="12" t="n">
        <x:f>E33+I33+J33</x:f>
        <x:v>4175</x:v>
      </x:c>
      <x:c r="L33" t="str">
        <x:f>IF(H33="Dual","Dual","Standard")</x:f>
        <x:v>Standard</x:v>
      </x:c>
      <x:c r="M33" s="12" t="n">
        <x:f>IF(L33="Dual",Assumptions!$B$10,Assumptions!$B$9)</x:f>
        <x:v>90</x:v>
      </x:c>
    </x:row>
    <x:row r="34">
      <x:c r="A34" t="str">
        <x:v>R045-Sunset Park</x:v>
      </x:c>
      <x:c r="B34" t="n">
        <x:v>1</x:v>
      </x:c>
      <x:c r="C34" t="n">
        <x:v>3</x:v>
      </x:c>
      <x:c r="D34" t="n">
        <x:v>2</x:v>
      </x:c>
      <x:c r="E34" s="12" t="n">
        <x:f>INDEX(Assumptions!$E$5:$E$8,MATCH(D34,Assumptions!$D$5:$D$8,0))</x:f>
        <x:v>3650</x:v>
      </x:c>
      <x:c r="F34" t="n">
        <x:v>0</x:v>
      </x:c>
      <x:c r="G34" t="n">
        <x:v>0</x:v>
      </x:c>
      <x:c r="H34" t="str">
        <x:v>No DT</x:v>
      </x:c>
      <x:c r="I34" s="12" t="n">
        <x:f>IF(H34="No DT",0,IF(H34="Single",INDEX(Assumptions!$H$5:$H$9,MATCH(G34,Assumptions!$G$5:$G$9,0)),INDEX(Assumptions!$K$5:$K$13,MATCH(G34,Assumptions!$J$5:$J$13,0))))</x:f>
        <x:v>0</x:v>
      </x:c>
      <x:c r="J34" s="12" t="n">
        <x:f>Assumptions!$B$6</x:f>
        <x:v>525</x:v>
      </x:c>
      <x:c r="K34" s="12" t="n">
        <x:f>E34+I34+J34</x:f>
        <x:v>4175</x:v>
      </x:c>
      <x:c r="L34" t="str">
        <x:f>IF(H34="Dual","Dual","Standard")</x:f>
        <x:v>Standard</x:v>
      </x:c>
      <x:c r="M34" s="12" t="n">
        <x:f>IF(L34="Dual",Assumptions!$B$10,Assumptions!$B$9)</x:f>
        <x:v>90</x:v>
      </x:c>
    </x:row>
    <x:row r="35">
      <x:c r="A35" t="str">
        <x:v>R046-Lawrence</x:v>
      </x:c>
      <x:c r="B35" t="n">
        <x:v>0</x:v>
      </x:c>
      <x:c r="C35" t="n">
        <x:v>4</x:v>
      </x:c>
      <x:c r="D35" t="n">
        <x:v>2</x:v>
      </x:c>
      <x:c r="E35" s="12" t="n">
        <x:f>INDEX(Assumptions!$E$5:$E$8,MATCH(D35,Assumptions!$D$5:$D$8,0))</x:f>
        <x:v>3650</x:v>
      </x:c>
      <x:c r="F35" t="n">
        <x:v>0</x:v>
      </x:c>
      <x:c r="G35" t="n">
        <x:v>0</x:v>
      </x:c>
      <x:c r="H35" t="str">
        <x:v>No DT</x:v>
      </x:c>
      <x:c r="I35" s="12" t="n">
        <x:f>IF(H35="No DT",0,IF(H35="Single",INDEX(Assumptions!$H$5:$H$9,MATCH(G35,Assumptions!$G$5:$G$9,0)),INDEX(Assumptions!$K$5:$K$13,MATCH(G35,Assumptions!$J$5:$J$13,0))))</x:f>
        <x:v>0</x:v>
      </x:c>
      <x:c r="J35" s="12" t="n">
        <x:f>Assumptions!$B$6</x:f>
        <x:v>525</x:v>
      </x:c>
      <x:c r="K35" s="12" t="n">
        <x:f>E35+I35+J35</x:f>
        <x:v>4175</x:v>
      </x:c>
      <x:c r="L35" t="str">
        <x:f>IF(H35="Dual","Dual","Standard")</x:f>
        <x:v>Standard</x:v>
      </x:c>
      <x:c r="M35" s="12" t="n">
        <x:f>IF(L35="Dual",Assumptions!$B$10,Assumptions!$B$9)</x:f>
        <x:v>90</x:v>
      </x:c>
    </x:row>
    <x:row r="36">
      <x:c r="A36" t="str">
        <x:v>R049-Richardson</x:v>
      </x:c>
      <x:c r="B36" t="n">
        <x:v>1</x:v>
      </x:c>
      <x:c r="C36" t="n">
        <x:v>4</x:v>
      </x:c>
      <x:c r="D36" t="n">
        <x:v>2</x:v>
      </x:c>
      <x:c r="E36" s="12" t="n">
        <x:f>INDEX(Assumptions!$E$5:$E$8,MATCH(D36,Assumptions!$D$5:$D$8,0))</x:f>
        <x:v>3650</x:v>
      </x:c>
      <x:c r="F36" t="n">
        <x:v>3</x:v>
      </x:c>
      <x:c r="G36" t="n">
        <x:v>1</x:v>
      </x:c>
      <x:c r="H36" t="str">
        <x:v>Single</x:v>
      </x:c>
      <x:c r="I36" s="12" t="n">
        <x:f>IF(H36="No DT",0,IF(H36="Single",INDEX(Assumptions!$H$5:$H$9,MATCH(G36,Assumptions!$G$5:$G$9,0)),INDEX(Assumptions!$K$5:$K$13,MATCH(G36,Assumptions!$J$5:$J$13,0))))</x:f>
        <x:v>1901</x:v>
      </x:c>
      <x:c r="J36" s="12" t="n">
        <x:f>Assumptions!$B$6</x:f>
        <x:v>525</x:v>
      </x:c>
      <x:c r="K36" s="12" t="n">
        <x:f>E36+I36+J36</x:f>
        <x:v>6076</x:v>
      </x:c>
      <x:c r="L36" t="str">
        <x:f>IF(H36="Dual","Dual","Standard")</x:f>
        <x:v>Standard</x:v>
      </x:c>
      <x:c r="M36" s="12" t="n">
        <x:f>IF(L36="Dual",Assumptions!$B$10,Assumptions!$B$9)</x:f>
        <x:v>90</x:v>
      </x:c>
    </x:row>
    <x:row r="37">
      <x:c r="A37" t="str">
        <x:v>R052-Elizabeth</x:v>
      </x:c>
      <x:c r="B37" t="n">
        <x:v>1</x:v>
      </x:c>
      <x:c r="C37" t="n">
        <x:v>3</x:v>
      </x:c>
      <x:c r="D37" t="n">
        <x:v>2</x:v>
      </x:c>
      <x:c r="E37" s="12" t="n">
        <x:f>INDEX(Assumptions!$E$5:$E$8,MATCH(D37,Assumptions!$D$5:$D$8,0))</x:f>
        <x:v>3650</x:v>
      </x:c>
      <x:c r="F37" t="n">
        <x:v>0</x:v>
      </x:c>
      <x:c r="G37" t="n">
        <x:v>0</x:v>
      </x:c>
      <x:c r="H37" t="str">
        <x:v>No DT</x:v>
      </x:c>
      <x:c r="I37" s="12" t="n">
        <x:f>IF(H37="No DT",0,IF(H37="Single",INDEX(Assumptions!$H$5:$H$9,MATCH(G37,Assumptions!$G$5:$G$9,0)),INDEX(Assumptions!$K$5:$K$13,MATCH(G37,Assumptions!$J$5:$J$13,0))))</x:f>
        <x:v>0</x:v>
      </x:c>
      <x:c r="J37" s="12" t="n">
        <x:f>Assumptions!$B$6</x:f>
        <x:v>525</x:v>
      </x:c>
      <x:c r="K37" s="12" t="n">
        <x:f>E37+I37+J37</x:f>
        <x:v>4175</x:v>
      </x:c>
      <x:c r="L37" t="str">
        <x:f>IF(H37="Dual","Dual","Standard")</x:f>
        <x:v>Standard</x:v>
      </x:c>
      <x:c r="M37" s="12" t="n">
        <x:f>IF(L37="Dual",Assumptions!$B$10,Assumptions!$B$9)</x:f>
        <x:v>90</x:v>
      </x:c>
    </x:row>
    <x:row r="38">
      <x:c r="A38" t="str">
        <x:v>R053-Hialeah (49th St.)</x:v>
      </x:c>
      <x:c r="B38" t="n">
        <x:v>5</x:v>
      </x:c>
      <x:c r="C38" t="n">
        <x:v>0</x:v>
      </x:c>
      <x:c r="D38" t="n">
        <x:v>0</x:v>
      </x:c>
      <x:c r="E38" s="12" t="n">
        <x:f>INDEX(Assumptions!$E$5:$E$8,MATCH(D38,Assumptions!$D$5:$D$8,0))</x:f>
        <x:v>1328</x:v>
      </x:c>
      <x:c r="F38" t="n">
        <x:v>4</x:v>
      </x:c>
      <x:c r="G38" t="n">
        <x:v>0</x:v>
      </x:c>
      <x:c r="H38" t="str">
        <x:v>Single</x:v>
      </x:c>
      <x:c r="I38" s="12" t="n">
        <x:f>IF(H38="No DT",0,IF(H38="Single",INDEX(Assumptions!$H$5:$H$9,MATCH(G38,Assumptions!$G$5:$G$9,0)),INDEX(Assumptions!$K$5:$K$13,MATCH(G38,Assumptions!$J$5:$J$13,0))))</x:f>
        <x:v>1071</x:v>
      </x:c>
      <x:c r="J38" s="12" t="n">
        <x:f>Assumptions!$B$6</x:f>
        <x:v>525</x:v>
      </x:c>
      <x:c r="K38" s="12" t="n">
        <x:f>E38+I38+J38</x:f>
        <x:v>2924</x:v>
      </x:c>
      <x:c r="L38" t="str">
        <x:f>IF(H38="Dual","Dual","Standard")</x:f>
        <x:v>Standard</x:v>
      </x:c>
      <x:c r="M38" s="12" t="n">
        <x:f>IF(L38="Dual",Assumptions!$B$10,Assumptions!$B$9)</x:f>
        <x:v>90</x:v>
      </x:c>
    </x:row>
    <x:row r="39">
      <x:c r="A39" t="str">
        <x:v>R054-Arlington (Fashion Center Mall)</x:v>
      </x:c>
      <x:c r="B39" t="n">
        <x:v>5</x:v>
      </x:c>
      <x:c r="C39" t="n">
        <x:v>0</x:v>
      </x:c>
      <x:c r="D39" t="n">
        <x:v>0</x:v>
      </x:c>
      <x:c r="E39" s="12" t="n">
        <x:f>INDEX(Assumptions!$E$5:$E$8,MATCH(D39,Assumptions!$D$5:$D$8,0))</x:f>
        <x:v>1328</x:v>
      </x:c>
      <x:c r="F39" t="n">
        <x:v>0</x:v>
      </x:c>
      <x:c r="G39" t="n">
        <x:v>0</x:v>
      </x:c>
      <x:c r="H39" t="str">
        <x:v>No DT</x:v>
      </x:c>
      <x:c r="I39" s="12" t="n">
        <x:f>IF(H39="No DT",0,IF(H39="Single",INDEX(Assumptions!$H$5:$H$9,MATCH(G39,Assumptions!$G$5:$G$9,0)),INDEX(Assumptions!$K$5:$K$13,MATCH(G39,Assumptions!$J$5:$J$13,0))))</x:f>
        <x:v>0</x:v>
      </x:c>
      <x:c r="J39" s="12" t="n">
        <x:f>Assumptions!$B$6</x:f>
        <x:v>525</x:v>
      </x:c>
      <x:c r="K39" s="12" t="n">
        <x:f>E39+I39+J39</x:f>
        <x:v>1853</x:v>
      </x:c>
      <x:c r="L39" t="str">
        <x:f>IF(H39="Dual","Dual","Standard")</x:f>
        <x:v>Standard</x:v>
      </x:c>
      <x:c r="M39" s="12" t="n">
        <x:f>IF(L39="Dual",Assumptions!$B$10,Assumptions!$B$9)</x:f>
        <x:v>90</x:v>
      </x:c>
    </x:row>
    <x:row r="40">
      <x:c r="A40" t="str">
        <x:v>R061-Bellfort</x:v>
      </x:c>
      <x:c r="B40" t="n">
        <x:v>1</x:v>
      </x:c>
      <x:c r="C40" t="n">
        <x:v>3</x:v>
      </x:c>
      <x:c r="D40" t="n">
        <x:v>2</x:v>
      </x:c>
      <x:c r="E40" s="12" t="n">
        <x:f>INDEX(Assumptions!$E$5:$E$8,MATCH(D40,Assumptions!$D$5:$D$8,0))</x:f>
        <x:v>3650</x:v>
      </x:c>
      <x:c r="F40" t="n">
        <x:v>0</x:v>
      </x:c>
      <x:c r="G40" t="n">
        <x:v>4</x:v>
      </x:c>
      <x:c r="H40" t="str">
        <x:v>Single</x:v>
      </x:c>
      <x:c r="I40" s="12" t="n">
        <x:f>IF(H40="No DT",0,IF(H40="Single",INDEX(Assumptions!$H$5:$H$9,MATCH(G40,Assumptions!$G$5:$G$9,0)),INDEX(Assumptions!$K$5:$K$13,MATCH(G40,Assumptions!$J$5:$J$13,0))))</x:f>
        <x:v>4397</x:v>
      </x:c>
      <x:c r="J40" s="12" t="n">
        <x:f>Assumptions!$B$6</x:f>
        <x:v>525</x:v>
      </x:c>
      <x:c r="K40" s="12" t="n">
        <x:f>E40+I40+J40</x:f>
        <x:v>8572</x:v>
      </x:c>
      <x:c r="L40" t="str">
        <x:f>IF(H40="Dual","Dual","Standard")</x:f>
        <x:v>Standard</x:v>
      </x:c>
      <x:c r="M40" s="12" t="n">
        <x:f>IF(L40="Dual",Assumptions!$B$10,Assumptions!$B$9)</x:f>
        <x:v>90</x:v>
      </x:c>
    </x:row>
    <x:row r="41">
      <x:c r="A41" t="str">
        <x:v>R062-Orange Grove</x:v>
      </x:c>
      <x:c r="B41" t="n">
        <x:v>1</x:v>
      </x:c>
      <x:c r="C41" t="n">
        <x:v>3</x:v>
      </x:c>
      <x:c r="D41" t="n">
        <x:v>2</x:v>
      </x:c>
      <x:c r="E41" s="12" t="n">
        <x:f>INDEX(Assumptions!$E$5:$E$8,MATCH(D41,Assumptions!$D$5:$D$8,0))</x:f>
        <x:v>3650</x:v>
      </x:c>
      <x:c r="F41" t="n">
        <x:v>0</x:v>
      </x:c>
      <x:c r="G41" t="n">
        <x:v>4</x:v>
      </x:c>
      <x:c r="H41" t="str">
        <x:v>Single</x:v>
      </x:c>
      <x:c r="I41" s="12" t="n">
        <x:f>IF(H41="No DT",0,IF(H41="Single",INDEX(Assumptions!$H$5:$H$9,MATCH(G41,Assumptions!$G$5:$G$9,0)),INDEX(Assumptions!$K$5:$K$13,MATCH(G41,Assumptions!$J$5:$J$13,0))))</x:f>
        <x:v>4397</x:v>
      </x:c>
      <x:c r="J41" s="12" t="n">
        <x:f>Assumptions!$B$6</x:f>
        <x:v>525</x:v>
      </x:c>
      <x:c r="K41" s="12" t="n">
        <x:f>E41+I41+J41</x:f>
        <x:v>8572</x:v>
      </x:c>
      <x:c r="L41" t="str">
        <x:f>IF(H41="Dual","Dual","Standard")</x:f>
        <x:v>Standard</x:v>
      </x:c>
      <x:c r="M41" s="12" t="n">
        <x:f>IF(L41="Dual",Assumptions!$B$10,Assumptions!$B$9)</x:f>
        <x:v>90</x:v>
      </x:c>
    </x:row>
    <x:row r="42">
      <x:c r="A42" t="str">
        <x:v>R063-Hwy 6</x:v>
      </x:c>
      <x:c r="B42" t="n">
        <x:v>1</x:v>
      </x:c>
      <x:c r="C42" t="n">
        <x:v>3</x:v>
      </x:c>
      <x:c r="D42" t="n">
        <x:v>2</x:v>
      </x:c>
      <x:c r="E42" s="12" t="n">
        <x:f>INDEX(Assumptions!$E$5:$E$8,MATCH(D42,Assumptions!$D$5:$D$8,0))</x:f>
        <x:v>3650</x:v>
      </x:c>
      <x:c r="F42" t="n">
        <x:v>0</x:v>
      </x:c>
      <x:c r="G42" t="n">
        <x:v>4</x:v>
      </x:c>
      <x:c r="H42" t="str">
        <x:v>Single</x:v>
      </x:c>
      <x:c r="I42" s="12" t="n">
        <x:f>IF(H42="No DT",0,IF(H42="Single",INDEX(Assumptions!$H$5:$H$9,MATCH(G42,Assumptions!$G$5:$G$9,0)),INDEX(Assumptions!$K$5:$K$13,MATCH(G42,Assumptions!$J$5:$J$13,0))))</x:f>
        <x:v>4397</x:v>
      </x:c>
      <x:c r="J42" s="12" t="n">
        <x:f>Assumptions!$B$6</x:f>
        <x:v>525</x:v>
      </x:c>
      <x:c r="K42" s="12" t="n">
        <x:f>E42+I42+J42</x:f>
        <x:v>8572</x:v>
      </x:c>
      <x:c r="L42" t="str">
        <x:f>IF(H42="Dual","Dual","Standard")</x:f>
        <x:v>Standard</x:v>
      </x:c>
      <x:c r="M42" s="12" t="n">
        <x:f>IF(L42="Dual",Assumptions!$B$10,Assumptions!$B$9)</x:f>
        <x:v>90</x:v>
      </x:c>
    </x:row>
    <x:row r="43">
      <x:c r="A43" t="str">
        <x:v>R067-Fry Road</x:v>
      </x:c>
      <x:c r="B43" t="n">
        <x:v>1</x:v>
      </x:c>
      <x:c r="C43" t="n">
        <x:v>4</x:v>
      </x:c>
      <x:c r="D43" t="n">
        <x:v>2</x:v>
      </x:c>
      <x:c r="E43" s="12" t="n">
        <x:f>INDEX(Assumptions!$E$5:$E$8,MATCH(D43,Assumptions!$D$5:$D$8,0))</x:f>
        <x:v>3650</x:v>
      </x:c>
      <x:c r="F43" t="n">
        <x:v>0</x:v>
      </x:c>
      <x:c r="G43" t="n">
        <x:v>4</x:v>
      </x:c>
      <x:c r="H43" t="str">
        <x:v>Single</x:v>
      </x:c>
      <x:c r="I43" s="12" t="n">
        <x:f>IF(H43="No DT",0,IF(H43="Single",INDEX(Assumptions!$H$5:$H$9,MATCH(G43,Assumptions!$G$5:$G$9,0)),INDEX(Assumptions!$K$5:$K$13,MATCH(G43,Assumptions!$J$5:$J$13,0))))</x:f>
        <x:v>4397</x:v>
      </x:c>
      <x:c r="J43" s="12" t="n">
        <x:f>Assumptions!$B$6</x:f>
        <x:v>525</x:v>
      </x:c>
      <x:c r="K43" s="12" t="n">
        <x:f>E43+I43+J43</x:f>
        <x:v>8572</x:v>
      </x:c>
      <x:c r="L43" t="str">
        <x:f>IF(H43="Dual","Dual","Standard")</x:f>
        <x:v>Standard</x:v>
      </x:c>
      <x:c r="M43" s="12" t="n">
        <x:f>IF(L43="Dual",Assumptions!$B$10,Assumptions!$B$9)</x:f>
        <x:v>90</x:v>
      </x:c>
    </x:row>
    <x:row r="44">
      <x:c r="A44" t="str">
        <x:v>R070-Canoga Park</x:v>
      </x:c>
      <x:c r="B44" t="n">
        <x:v>0</x:v>
      </x:c>
      <x:c r="C44" t="n">
        <x:v>4</x:v>
      </x:c>
      <x:c r="D44" t="n">
        <x:v>2</x:v>
      </x:c>
      <x:c r="E44" s="12" t="n">
        <x:f>INDEX(Assumptions!$E$5:$E$8,MATCH(D44,Assumptions!$D$5:$D$8,0))</x:f>
        <x:v>3650</x:v>
      </x:c>
      <x:c r="F44" t="n">
        <x:v>0</x:v>
      </x:c>
      <x:c r="G44" t="n">
        <x:v>2</x:v>
      </x:c>
      <x:c r="H44" t="str">
        <x:v>Single</x:v>
      </x:c>
      <x:c r="I44" s="12" t="n">
        <x:f>IF(H44="No DT",0,IF(H44="Single",INDEX(Assumptions!$H$5:$H$9,MATCH(G44,Assumptions!$G$5:$G$9,0)),INDEX(Assumptions!$K$5:$K$13,MATCH(G44,Assumptions!$J$5:$J$13,0))))</x:f>
        <x:v>2733</x:v>
      </x:c>
      <x:c r="J44" s="12" t="n">
        <x:f>Assumptions!$B$6</x:f>
        <x:v>525</x:v>
      </x:c>
      <x:c r="K44" s="12" t="n">
        <x:f>E44+I44+J44</x:f>
        <x:v>6908</x:v>
      </x:c>
      <x:c r="L44" t="str">
        <x:f>IF(H44="Dual","Dual","Standard")</x:f>
        <x:v>Standard</x:v>
      </x:c>
      <x:c r="M44" s="12" t="n">
        <x:f>IF(L44="Dual",Assumptions!$B$10,Assumptions!$B$9)</x:f>
        <x:v>90</x:v>
      </x:c>
    </x:row>
    <x:row r="45">
      <x:c r="A45" t="str">
        <x:v>R080-Boynton Beach</x:v>
      </x:c>
      <x:c r="B45" t="n">
        <x:v>5</x:v>
      </x:c>
      <x:c r="C45" t="n">
        <x:v>0</x:v>
      </x:c>
      <x:c r="D45" t="n">
        <x:v>0</x:v>
      </x:c>
      <x:c r="E45" s="12" t="n">
        <x:f>INDEX(Assumptions!$E$5:$E$8,MATCH(D45,Assumptions!$D$5:$D$8,0))</x:f>
        <x:v>1328</x:v>
      </x:c>
      <x:c r="F45" t="n">
        <x:v>0</x:v>
      </x:c>
      <x:c r="G45" t="n">
        <x:v>4</x:v>
      </x:c>
      <x:c r="H45" t="str">
        <x:v>Single</x:v>
      </x:c>
      <x:c r="I45" s="12" t="n">
        <x:f>IF(H45="No DT",0,IF(H45="Single",INDEX(Assumptions!$H$5:$H$9,MATCH(G45,Assumptions!$G$5:$G$9,0)),INDEX(Assumptions!$K$5:$K$13,MATCH(G45,Assumptions!$J$5:$J$13,0))))</x:f>
        <x:v>4397</x:v>
      </x:c>
      <x:c r="J45" s="12" t="n">
        <x:f>Assumptions!$B$6</x:f>
        <x:v>525</x:v>
      </x:c>
      <x:c r="K45" s="12" t="n">
        <x:f>E45+I45+J45</x:f>
        <x:v>6250</x:v>
      </x:c>
      <x:c r="L45" t="str">
        <x:f>IF(H45="Dual","Dual","Standard")</x:f>
        <x:v>Standard</x:v>
      </x:c>
      <x:c r="M45" s="12" t="n">
        <x:f>IF(L45="Dual",Assumptions!$B$10,Assumptions!$B$9)</x:f>
        <x:v>90</x:v>
      </x:c>
    </x:row>
    <x:row r="46">
      <x:c r="A46" t="str">
        <x:v>R081-Calle Ocho</x:v>
      </x:c>
      <x:c r="B46" t="n">
        <x:v>4</x:v>
      </x:c>
      <x:c r="C46" t="n">
        <x:v>1</x:v>
      </x:c>
      <x:c r="D46" t="n">
        <x:v>1</x:v>
      </x:c>
      <x:c r="E46" s="12" t="n">
        <x:f>INDEX(Assumptions!$E$5:$E$8,MATCH(D46,Assumptions!$D$5:$D$8,0))</x:f>
        <x:v>2980</x:v>
      </x:c>
      <x:c r="F46" t="n">
        <x:v>0</x:v>
      </x:c>
      <x:c r="G46" t="n">
        <x:v>3</x:v>
      </x:c>
      <x:c r="H46" t="str">
        <x:v>Single</x:v>
      </x:c>
      <x:c r="I46" s="12" t="n">
        <x:f>IF(H46="No DT",0,IF(H46="Single",INDEX(Assumptions!$H$5:$H$9,MATCH(G46,Assumptions!$G$5:$G$9,0)),INDEX(Assumptions!$K$5:$K$13,MATCH(G46,Assumptions!$J$5:$J$13,0))))</x:f>
        <x:v>3565</x:v>
      </x:c>
      <x:c r="J46" s="12" t="n">
        <x:f>Assumptions!$B$6</x:f>
        <x:v>525</x:v>
      </x:c>
      <x:c r="K46" s="12" t="n">
        <x:f>E46+I46+J46</x:f>
        <x:v>7070</x:v>
      </x:c>
      <x:c r="L46" t="str">
        <x:f>IF(H46="Dual","Dual","Standard")</x:f>
        <x:v>Standard</x:v>
      </x:c>
      <x:c r="M46" s="12" t="n">
        <x:f>IF(L46="Dual",Assumptions!$B$10,Assumptions!$B$9)</x:f>
        <x:v>90</x:v>
      </x:c>
    </x:row>
    <x:row r="47">
      <x:c r="A47" t="str">
        <x:v>R085-Miami Gardens</x:v>
      </x:c>
      <x:c r="B47" t="n">
        <x:v>5</x:v>
      </x:c>
      <x:c r="C47" t="n">
        <x:v>0</x:v>
      </x:c>
      <x:c r="D47" t="n">
        <x:v>0</x:v>
      </x:c>
      <x:c r="E47" s="12" t="n">
        <x:f>INDEX(Assumptions!$E$5:$E$8,MATCH(D47,Assumptions!$D$5:$D$8,0))</x:f>
        <x:v>1328</x:v>
      </x:c>
      <x:c r="F47" t="n">
        <x:v>0</x:v>
      </x:c>
      <x:c r="G47" t="n">
        <x:v>6</x:v>
      </x:c>
      <x:c r="H47" t="str">
        <x:v>Dual</x:v>
      </x:c>
      <x:c r="I47" s="12" t="n">
        <x:f>IF(H47="No DT",0,IF(H47="Single",INDEX(Assumptions!$H$5:$H$9,MATCH(G47,Assumptions!$G$5:$G$9,0)),INDEX(Assumptions!$K$5:$K$13,MATCH(G47,Assumptions!$J$5:$J$13,0))))</x:f>
        <x:v>6591</x:v>
      </x:c>
      <x:c r="J47" s="12" t="n">
        <x:f>Assumptions!$B$6</x:f>
        <x:v>525</x:v>
      </x:c>
      <x:c r="K47" s="12" t="n">
        <x:f>E47+I47+J47</x:f>
        <x:v>8444</x:v>
      </x:c>
      <x:c r="L47" t="str">
        <x:f>IF(H47="Dual","Dual","Standard")</x:f>
        <x:v>Dual</x:v>
      </x:c>
      <x:c r="M47" s="12" t="n">
        <x:f>IF(L47="Dual",Assumptions!$B$10,Assumptions!$B$9)</x:f>
        <x:v>120</x:v>
      </x:c>
    </x:row>
    <x:row r="48">
      <x:c r="A48" t="str">
        <x:v>R086-Plantation</x:v>
      </x:c>
      <x:c r="B48" t="n">
        <x:v>5</x:v>
      </x:c>
      <x:c r="C48" t="n">
        <x:v>0</x:v>
      </x:c>
      <x:c r="D48" t="n">
        <x:v>0</x:v>
      </x:c>
      <x:c r="E48" s="12" t="n">
        <x:f>INDEX(Assumptions!$E$5:$E$8,MATCH(D48,Assumptions!$D$5:$D$8,0))</x:f>
        <x:v>1328</x:v>
      </x:c>
      <x:c r="F48" t="n">
        <x:v>0</x:v>
      </x:c>
      <x:c r="G48" t="n">
        <x:v>3</x:v>
      </x:c>
      <x:c r="H48" t="str">
        <x:v>Single</x:v>
      </x:c>
      <x:c r="I48" s="12" t="n">
        <x:f>IF(H48="No DT",0,IF(H48="Single",INDEX(Assumptions!$H$5:$H$9,MATCH(G48,Assumptions!$G$5:$G$9,0)),INDEX(Assumptions!$K$5:$K$13,MATCH(G48,Assumptions!$J$5:$J$13,0))))</x:f>
        <x:v>3565</x:v>
      </x:c>
      <x:c r="J48" s="12" t="n">
        <x:f>Assumptions!$B$6</x:f>
        <x:v>525</x:v>
      </x:c>
      <x:c r="K48" s="12" t="n">
        <x:f>E48+I48+J48</x:f>
        <x:v>5418</x:v>
      </x:c>
      <x:c r="L48" t="str">
        <x:f>IF(H48="Dual","Dual","Standard")</x:f>
        <x:v>Standard</x:v>
      </x:c>
      <x:c r="M48" s="12" t="n">
        <x:f>IF(L48="Dual",Assumptions!$B$10,Assumptions!$B$9)</x:f>
        <x:v>90</x:v>
      </x:c>
    </x:row>
    <x:row r="49">
      <x:c r="A49" t="str">
        <x:v>R088-Florida Mall</x:v>
      </x:c>
      <x:c r="B49" t="n">
        <x:v>5</x:v>
      </x:c>
      <x:c r="C49" t="n">
        <x:v>0</x:v>
      </x:c>
      <x:c r="D49" t="n">
        <x:v>0</x:v>
      </x:c>
      <x:c r="E49" s="12" t="n">
        <x:f>INDEX(Assumptions!$E$5:$E$8,MATCH(D49,Assumptions!$D$5:$D$8,0))</x:f>
        <x:v>1328</x:v>
      </x:c>
      <x:c r="F49" t="n">
        <x:v>0</x:v>
      </x:c>
      <x:c r="G49" t="n">
        <x:v>4</x:v>
      </x:c>
      <x:c r="H49" t="str">
        <x:v>Single</x:v>
      </x:c>
      <x:c r="I49" s="12" t="n">
        <x:f>IF(H49="No DT",0,IF(H49="Single",INDEX(Assumptions!$H$5:$H$9,MATCH(G49,Assumptions!$G$5:$G$9,0)),INDEX(Assumptions!$K$5:$K$13,MATCH(G49,Assumptions!$J$5:$J$13,0))))</x:f>
        <x:v>4397</x:v>
      </x:c>
      <x:c r="J49" s="12" t="n">
        <x:f>Assumptions!$B$6</x:f>
        <x:v>525</x:v>
      </x:c>
      <x:c r="K49" s="12" t="n">
        <x:f>E49+I49+J49</x:f>
        <x:v>6250</x:v>
      </x:c>
      <x:c r="L49" t="str">
        <x:f>IF(H49="Dual","Dual","Standard")</x:f>
        <x:v>Standard</x:v>
      </x:c>
      <x:c r="M49" s="12" t="n">
        <x:f>IF(L49="Dual",Assumptions!$B$10,Assumptions!$B$9)</x:f>
        <x:v>90</x:v>
      </x:c>
    </x:row>
    <x:row r="50">
      <x:c r="A50" t="str">
        <x:v>R091-Hyattsville</x:v>
      </x:c>
      <x:c r="B50" t="n">
        <x:v>1</x:v>
      </x:c>
      <x:c r="C50" t="n">
        <x:v>3</x:v>
      </x:c>
      <x:c r="D50" t="n">
        <x:v>2</x:v>
      </x:c>
      <x:c r="E50" s="12" t="n">
        <x:f>INDEX(Assumptions!$E$5:$E$8,MATCH(D50,Assumptions!$D$5:$D$8,0))</x:f>
        <x:v>3650</x:v>
      </x:c>
      <x:c r="F50" t="n">
        <x:v>0</x:v>
      </x:c>
      <x:c r="G50" t="n">
        <x:v>0</x:v>
      </x:c>
      <x:c r="H50" t="str">
        <x:v>No DT</x:v>
      </x:c>
      <x:c r="I50" s="12" t="n">
        <x:f>IF(H50="No DT",0,IF(H50="Single",INDEX(Assumptions!$H$5:$H$9,MATCH(G50,Assumptions!$G$5:$G$9,0)),INDEX(Assumptions!$K$5:$K$13,MATCH(G50,Assumptions!$J$5:$J$13,0))))</x:f>
        <x:v>0</x:v>
      </x:c>
      <x:c r="J50" s="12" t="n">
        <x:f>Assumptions!$B$6</x:f>
        <x:v>525</x:v>
      </x:c>
      <x:c r="K50" s="12" t="n">
        <x:f>E50+I50+J50</x:f>
        <x:v>4175</x:v>
      </x:c>
      <x:c r="L50" t="str">
        <x:f>IF(H50="Dual","Dual","Standard")</x:f>
        <x:v>Standard</x:v>
      </x:c>
      <x:c r="M50" s="12" t="n">
        <x:f>IF(L50="Dual",Assumptions!$B$10,Assumptions!$B$9)</x:f>
        <x:v>90</x:v>
      </x:c>
    </x:row>
    <x:row r="51">
      <x:c r="A51" t="str">
        <x:v>R093-Gaithersburg</x:v>
      </x:c>
      <x:c r="B51" t="n">
        <x:v>2</x:v>
      </x:c>
      <x:c r="C51" t="n">
        <x:v>4</x:v>
      </x:c>
      <x:c r="D51" t="n">
        <x:v>2</x:v>
      </x:c>
      <x:c r="E51" s="12" t="n">
        <x:f>INDEX(Assumptions!$E$5:$E$8,MATCH(D51,Assumptions!$D$5:$D$8,0))</x:f>
        <x:v>3650</x:v>
      </x:c>
      <x:c r="F51" t="n">
        <x:v>0</x:v>
      </x:c>
      <x:c r="G51" t="n">
        <x:v>4</x:v>
      </x:c>
      <x:c r="H51" t="str">
        <x:v>Single</x:v>
      </x:c>
      <x:c r="I51" s="12" t="n">
        <x:f>IF(H51="No DT",0,IF(H51="Single",INDEX(Assumptions!$H$5:$H$9,MATCH(G51,Assumptions!$G$5:$G$9,0)),INDEX(Assumptions!$K$5:$K$13,MATCH(G51,Assumptions!$J$5:$J$13,0))))</x:f>
        <x:v>4397</x:v>
      </x:c>
      <x:c r="J51" s="12" t="n">
        <x:f>Assumptions!$B$6</x:f>
        <x:v>525</x:v>
      </x:c>
      <x:c r="K51" s="12" t="n">
        <x:f>E51+I51+J51</x:f>
        <x:v>8572</x:v>
      </x:c>
      <x:c r="L51" t="str">
        <x:f>IF(H51="Dual","Dual","Standard")</x:f>
        <x:v>Standard</x:v>
      </x:c>
      <x:c r="M51" s="12" t="n">
        <x:f>IF(L51="Dual",Assumptions!$B$10,Assumptions!$B$9)</x:f>
        <x:v>90</x:v>
      </x:c>
    </x:row>
    <x:row r="52">
      <x:c r="A52" t="str">
        <x:v>R094-Frederick</x:v>
      </x:c>
      <x:c r="B52" t="n">
        <x:v>0</x:v>
      </x:c>
      <x:c r="C52" t="n">
        <x:v>4</x:v>
      </x:c>
      <x:c r="D52" t="n">
        <x:v>2</x:v>
      </x:c>
      <x:c r="E52" s="12" t="n">
        <x:f>INDEX(Assumptions!$E$5:$E$8,MATCH(D52,Assumptions!$D$5:$D$8,0))</x:f>
        <x:v>3650</x:v>
      </x:c>
      <x:c r="F52" t="n">
        <x:v>0</x:v>
      </x:c>
      <x:c r="G52" t="n">
        <x:v>3</x:v>
      </x:c>
      <x:c r="H52" t="str">
        <x:v>Single</x:v>
      </x:c>
      <x:c r="I52" s="12" t="n">
        <x:f>IF(H52="No DT",0,IF(H52="Single",INDEX(Assumptions!$H$5:$H$9,MATCH(G52,Assumptions!$G$5:$G$9,0)),INDEX(Assumptions!$K$5:$K$13,MATCH(G52,Assumptions!$J$5:$J$13,0))))</x:f>
        <x:v>3565</x:v>
      </x:c>
      <x:c r="J52" s="12" t="n">
        <x:f>Assumptions!$B$6</x:f>
        <x:v>525</x:v>
      </x:c>
      <x:c r="K52" s="12" t="n">
        <x:f>E52+I52+J52</x:f>
        <x:v>7740</x:v>
      </x:c>
      <x:c r="L52" t="str">
        <x:f>IF(H52="Dual","Dual","Standard")</x:f>
        <x:v>Standard</x:v>
      </x:c>
      <x:c r="M52" s="12" t="n">
        <x:f>IF(L52="Dual",Assumptions!$B$10,Assumptions!$B$9)</x:f>
        <x:v>90</x:v>
      </x:c>
    </x:row>
    <x:row r="53">
      <x:c r="A53" t="str">
        <x:v>R095-Manassas</x:v>
      </x:c>
      <x:c r="B53" t="n">
        <x:v>3</x:v>
      </x:c>
      <x:c r="C53" t="n">
        <x:v>1</x:v>
      </x:c>
      <x:c r="D53" t="n">
        <x:v>1</x:v>
      </x:c>
      <x:c r="E53" s="12" t="n">
        <x:f>INDEX(Assumptions!$E$5:$E$8,MATCH(D53,Assumptions!$D$5:$D$8,0))</x:f>
        <x:v>2980</x:v>
      </x:c>
      <x:c r="F53" t="n">
        <x:v>0</x:v>
      </x:c>
      <x:c r="G53" t="n">
        <x:v>0</x:v>
      </x:c>
      <x:c r="H53" t="str">
        <x:v>No DT</x:v>
      </x:c>
      <x:c r="I53" s="12" t="n">
        <x:f>IF(H53="No DT",0,IF(H53="Single",INDEX(Assumptions!$H$5:$H$9,MATCH(G53,Assumptions!$G$5:$G$9,0)),INDEX(Assumptions!$K$5:$K$13,MATCH(G53,Assumptions!$J$5:$J$13,0))))</x:f>
        <x:v>0</x:v>
      </x:c>
      <x:c r="J53" s="12" t="n">
        <x:f>Assumptions!$B$6</x:f>
        <x:v>525</x:v>
      </x:c>
      <x:c r="K53" s="12" t="n">
        <x:f>E53+I53+J53</x:f>
        <x:v>3505</x:v>
      </x:c>
      <x:c r="L53" t="str">
        <x:f>IF(H53="Dual","Dual","Standard")</x:f>
        <x:v>Standard</x:v>
      </x:c>
      <x:c r="M53" s="12" t="n">
        <x:f>IF(L53="Dual",Assumptions!$B$10,Assumptions!$B$9)</x:f>
        <x:v>90</x:v>
      </x:c>
    </x:row>
    <x:row r="54">
      <x:c r="A54" t="str">
        <x:v>R096-Springfield</x:v>
      </x:c>
      <x:c r="B54" t="n">
        <x:v>3</x:v>
      </x:c>
      <x:c r="C54" t="n">
        <x:v>1</x:v>
      </x:c>
      <x:c r="D54" t="n">
        <x:v>1</x:v>
      </x:c>
      <x:c r="E54" s="12" t="n">
        <x:f>INDEX(Assumptions!$E$5:$E$8,MATCH(D54,Assumptions!$D$5:$D$8,0))</x:f>
        <x:v>2980</x:v>
      </x:c>
      <x:c r="F54" t="n">
        <x:v>0</x:v>
      </x:c>
      <x:c r="G54" t="n">
        <x:v>0</x:v>
      </x:c>
      <x:c r="H54" t="str">
        <x:v>No DT</x:v>
      </x:c>
      <x:c r="I54" s="12" t="n">
        <x:f>IF(H54="No DT",0,IF(H54="Single",INDEX(Assumptions!$H$5:$H$9,MATCH(G54,Assumptions!$G$5:$G$9,0)),INDEX(Assumptions!$K$5:$K$13,MATCH(G54,Assumptions!$J$5:$J$13,0))))</x:f>
        <x:v>0</x:v>
      </x:c>
      <x:c r="J54" s="12" t="n">
        <x:f>Assumptions!$B$6</x:f>
        <x:v>525</x:v>
      </x:c>
      <x:c r="K54" s="12" t="n">
        <x:f>E54+I54+J54</x:f>
        <x:v>3505</x:v>
      </x:c>
      <x:c r="L54" t="str">
        <x:f>IF(H54="Dual","Dual","Standard")</x:f>
        <x:v>Standard</x:v>
      </x:c>
      <x:c r="M54" s="12" t="n">
        <x:f>IF(L54="Dual",Assumptions!$B$10,Assumptions!$B$9)</x:f>
        <x:v>90</x:v>
      </x:c>
    </x:row>
    <x:row r="55">
      <x:c r="A55" t="str">
        <x:v>R097-Hialeah Gardens</x:v>
      </x:c>
      <x:c r="B55" t="n">
        <x:v>5</x:v>
      </x:c>
      <x:c r="C55" t="n">
        <x:v>0</x:v>
      </x:c>
      <x:c r="D55" t="n">
        <x:v>0</x:v>
      </x:c>
      <x:c r="E55" s="12" t="n">
        <x:f>INDEX(Assumptions!$E$5:$E$8,MATCH(D55,Assumptions!$D$5:$D$8,0))</x:f>
        <x:v>1328</x:v>
      </x:c>
      <x:c r="F55" t="n">
        <x:v>0</x:v>
      </x:c>
      <x:c r="G55" t="n">
        <x:v>4</x:v>
      </x:c>
      <x:c r="H55" t="str">
        <x:v>Single</x:v>
      </x:c>
      <x:c r="I55" s="12" t="n">
        <x:f>IF(H55="No DT",0,IF(H55="Single",INDEX(Assumptions!$H$5:$H$9,MATCH(G55,Assumptions!$G$5:$G$9,0)),INDEX(Assumptions!$K$5:$K$13,MATCH(G55,Assumptions!$J$5:$J$13,0))))</x:f>
        <x:v>4397</x:v>
      </x:c>
      <x:c r="J55" s="12" t="n">
        <x:f>Assumptions!$B$6</x:f>
        <x:v>525</x:v>
      </x:c>
      <x:c r="K55" s="12" t="n">
        <x:f>E55+I55+J55</x:f>
        <x:v>6250</x:v>
      </x:c>
      <x:c r="L55" t="str">
        <x:f>IF(H55="Dual","Dual","Standard")</x:f>
        <x:v>Standard</x:v>
      </x:c>
      <x:c r="M55" s="12" t="n">
        <x:f>IF(L55="Dual",Assumptions!$B$10,Assumptions!$B$9)</x:f>
        <x:v>90</x:v>
      </x:c>
    </x:row>
    <x:row r="56">
      <x:c r="A56" t="str">
        <x:v>R098-Miami (Airport South)</x:v>
      </x:c>
      <x:c r="B56" t="n">
        <x:v>4</x:v>
      </x:c>
      <x:c r="C56" t="n">
        <x:v>1</x:v>
      </x:c>
      <x:c r="D56" t="n">
        <x:v>1</x:v>
      </x:c>
      <x:c r="E56" s="12" t="n">
        <x:f>INDEX(Assumptions!$E$5:$E$8,MATCH(D56,Assumptions!$D$5:$D$8,0))</x:f>
        <x:v>2980</x:v>
      </x:c>
      <x:c r="F56" t="n">
        <x:v>0</x:v>
      </x:c>
      <x:c r="G56" t="n">
        <x:v>0</x:v>
      </x:c>
      <x:c r="H56" t="str">
        <x:v>No DT</x:v>
      </x:c>
      <x:c r="I56" s="12" t="n">
        <x:f>IF(H56="No DT",0,IF(H56="Single",INDEX(Assumptions!$H$5:$H$9,MATCH(G56,Assumptions!$G$5:$G$9,0)),INDEX(Assumptions!$K$5:$K$13,MATCH(G56,Assumptions!$J$5:$J$13,0))))</x:f>
        <x:v>0</x:v>
      </x:c>
      <x:c r="J56" s="12" t="n">
        <x:f>Assumptions!$B$6</x:f>
        <x:v>525</x:v>
      </x:c>
      <x:c r="K56" s="12" t="n">
        <x:f>E56+I56+J56</x:f>
        <x:v>3505</x:v>
      </x:c>
      <x:c r="L56" t="str">
        <x:f>IF(H56="Dual","Dual","Standard")</x:f>
        <x:v>Standard</x:v>
      </x:c>
      <x:c r="M56" s="12" t="n">
        <x:f>IF(L56="Dual",Assumptions!$B$10,Assumptions!$B$9)</x:f>
        <x:v>90</x:v>
      </x:c>
    </x:row>
    <x:row r="57">
      <x:c r="A57" t="str">
        <x:v>R099-Craig Road</x:v>
      </x:c>
      <x:c r="B57" t="n">
        <x:v>0</x:v>
      </x:c>
      <x:c r="C57" t="n">
        <x:v>4</x:v>
      </x:c>
      <x:c r="D57" t="n">
        <x:v>2</x:v>
      </x:c>
      <x:c r="E57" s="12" t="n">
        <x:f>INDEX(Assumptions!$E$5:$E$8,MATCH(D57,Assumptions!$D$5:$D$8,0))</x:f>
        <x:v>3650</x:v>
      </x:c>
      <x:c r="F57" t="n">
        <x:v>0</x:v>
      </x:c>
      <x:c r="G57" t="n">
        <x:v>3</x:v>
      </x:c>
      <x:c r="H57" t="str">
        <x:v>Single</x:v>
      </x:c>
      <x:c r="I57" s="12" t="n">
        <x:f>IF(H57="No DT",0,IF(H57="Single",INDEX(Assumptions!$H$5:$H$9,MATCH(G57,Assumptions!$G$5:$G$9,0)),INDEX(Assumptions!$K$5:$K$13,MATCH(G57,Assumptions!$J$5:$J$13,0))))</x:f>
        <x:v>3565</x:v>
      </x:c>
      <x:c r="J57" s="12" t="n">
        <x:f>Assumptions!$B$6</x:f>
        <x:v>525</x:v>
      </x:c>
      <x:c r="K57" s="12" t="n">
        <x:f>E57+I57+J57</x:f>
        <x:v>7740</x:v>
      </x:c>
      <x:c r="L57" t="str">
        <x:f>IF(H57="Dual","Dual","Standard")</x:f>
        <x:v>Standard</x:v>
      </x:c>
      <x:c r="M57" s="12" t="n">
        <x:f>IF(L57="Dual",Assumptions!$B$10,Assumptions!$B$9)</x:f>
        <x:v>90</x:v>
      </x:c>
    </x:row>
    <x:row r="58">
      <x:c r="A58" t="str">
        <x:v>R100-East Charleston</x:v>
      </x:c>
      <x:c r="B58" t="n">
        <x:v>2</x:v>
      </x:c>
      <x:c r="C58" t="n">
        <x:v>2</x:v>
      </x:c>
      <x:c r="D58" t="n">
        <x:v>1</x:v>
      </x:c>
      <x:c r="E58" s="12" t="n">
        <x:f>INDEX(Assumptions!$E$5:$E$8,MATCH(D58,Assumptions!$D$5:$D$8,0))</x:f>
        <x:v>2980</x:v>
      </x:c>
      <x:c r="F58" t="n">
        <x:v>1</x:v>
      </x:c>
      <x:c r="G58" t="n">
        <x:v>3</x:v>
      </x:c>
      <x:c r="H58" t="str">
        <x:v>Single</x:v>
      </x:c>
      <x:c r="I58" s="12" t="n">
        <x:f>IF(H58="No DT",0,IF(H58="Single",INDEX(Assumptions!$H$5:$H$9,MATCH(G58,Assumptions!$G$5:$G$9,0)),INDEX(Assumptions!$K$5:$K$13,MATCH(G58,Assumptions!$J$5:$J$13,0))))</x:f>
        <x:v>3565</x:v>
      </x:c>
      <x:c r="J58" s="12" t="n">
        <x:f>Assumptions!$B$6</x:f>
        <x:v>525</x:v>
      </x:c>
      <x:c r="K58" s="12" t="n">
        <x:f>E58+I58+J58</x:f>
        <x:v>7070</x:v>
      </x:c>
      <x:c r="L58" t="str">
        <x:f>IF(H58="Dual","Dual","Standard")</x:f>
        <x:v>Standard</x:v>
      </x:c>
      <x:c r="M58" s="12" t="n">
        <x:f>IF(L58="Dual",Assumptions!$B$10,Assumptions!$B$9)</x:f>
        <x:v>90</x:v>
      </x:c>
    </x:row>
    <x:row r="59">
      <x:c r="A59" t="str">
        <x:v>R101-Olympic</x:v>
      </x:c>
      <x:c r="B59" t="n">
        <x:v>0</x:v>
      </x:c>
      <x:c r="C59" t="n">
        <x:v>5</x:v>
      </x:c>
      <x:c r="D59" t="n">
        <x:v>3</x:v>
      </x:c>
      <x:c r="E59" s="12" t="n">
        <x:f>INDEX(Assumptions!$E$5:$E$8,MATCH(D59,Assumptions!$D$5:$D$8,0))</x:f>
        <x:v>4320</x:v>
      </x:c>
      <x:c r="F59" t="n">
        <x:v>0</x:v>
      </x:c>
      <x:c r="G59" t="n">
        <x:v>0</x:v>
      </x:c>
      <x:c r="H59" t="str">
        <x:v>No DT</x:v>
      </x:c>
      <x:c r="I59" s="12" t="n">
        <x:f>IF(H59="No DT",0,IF(H59="Single",INDEX(Assumptions!$H$5:$H$9,MATCH(G59,Assumptions!$G$5:$G$9,0)),INDEX(Assumptions!$K$5:$K$13,MATCH(G59,Assumptions!$J$5:$J$13,0))))</x:f>
        <x:v>0</x:v>
      </x:c>
      <x:c r="J59" s="12" t="n">
        <x:f>Assumptions!$B$6</x:f>
        <x:v>525</x:v>
      </x:c>
      <x:c r="K59" s="12" t="n">
        <x:f>E59+I59+J59</x:f>
        <x:v>4845</x:v>
      </x:c>
      <x:c r="L59" t="str">
        <x:f>IF(H59="Dual","Dual","Standard")</x:f>
        <x:v>Standard</x:v>
      </x:c>
      <x:c r="M59" s="12" t="n">
        <x:f>IF(L59="Dual",Assumptions!$B$10,Assumptions!$B$9)</x:f>
        <x:v>90</x:v>
      </x:c>
    </x:row>
    <x:row r="60">
      <x:c r="A60" t="str">
        <x:v>R102-Huntington Park</x:v>
      </x:c>
      <x:c r="B60" t="n">
        <x:v>0</x:v>
      </x:c>
      <x:c r="C60" t="n">
        <x:v>5</x:v>
      </x:c>
      <x:c r="D60" t="n">
        <x:v>3</x:v>
      </x:c>
      <x:c r="E60" s="12" t="n">
        <x:f>INDEX(Assumptions!$E$5:$E$8,MATCH(D60,Assumptions!$D$5:$D$8,0))</x:f>
        <x:v>4320</x:v>
      </x:c>
      <x:c r="F60" t="n">
        <x:v>3</x:v>
      </x:c>
      <x:c r="G60" t="n">
        <x:v>0</x:v>
      </x:c>
      <x:c r="H60" t="str">
        <x:v>Single</x:v>
      </x:c>
      <x:c r="I60" s="12" t="n">
        <x:f>IF(H60="No DT",0,IF(H60="Single",INDEX(Assumptions!$H$5:$H$9,MATCH(G60,Assumptions!$G$5:$G$9,0)),INDEX(Assumptions!$K$5:$K$13,MATCH(G60,Assumptions!$J$5:$J$13,0))))</x:f>
        <x:v>1071</x:v>
      </x:c>
      <x:c r="J60" s="12" t="n">
        <x:f>Assumptions!$B$6</x:f>
        <x:v>525</x:v>
      </x:c>
      <x:c r="K60" s="12" t="n">
        <x:f>E60+I60+J60</x:f>
        <x:v>5916</x:v>
      </x:c>
      <x:c r="L60" t="str">
        <x:f>IF(H60="Dual","Dual","Standard")</x:f>
        <x:v>Standard</x:v>
      </x:c>
      <x:c r="M60" s="12" t="n">
        <x:f>IF(L60="Dual",Assumptions!$B$10,Assumptions!$B$9)</x:f>
        <x:v>90</x:v>
      </x:c>
    </x:row>
    <x:row r="61">
      <x:c r="A61" t="str">
        <x:v>R104-South Gate</x:v>
      </x:c>
      <x:c r="B61" t="n">
        <x:v>0</x:v>
      </x:c>
      <x:c r="C61" t="n">
        <x:v>4</x:v>
      </x:c>
      <x:c r="D61" t="n">
        <x:v>2</x:v>
      </x:c>
      <x:c r="E61" s="12" t="n">
        <x:f>INDEX(Assumptions!$E$5:$E$8,MATCH(D61,Assumptions!$D$5:$D$8,0))</x:f>
        <x:v>3650</x:v>
      </x:c>
      <x:c r="F61" t="n">
        <x:v>0</x:v>
      </x:c>
      <x:c r="G61" t="n">
        <x:v>0</x:v>
      </x:c>
      <x:c r="H61" t="str">
        <x:v>No DT</x:v>
      </x:c>
      <x:c r="I61" s="12" t="n">
        <x:f>IF(H61="No DT",0,IF(H61="Single",INDEX(Assumptions!$H$5:$H$9,MATCH(G61,Assumptions!$G$5:$G$9,0)),INDEX(Assumptions!$K$5:$K$13,MATCH(G61,Assumptions!$J$5:$J$13,0))))</x:f>
        <x:v>0</x:v>
      </x:c>
      <x:c r="J61" s="12" t="n">
        <x:f>Assumptions!$B$6</x:f>
        <x:v>525</x:v>
      </x:c>
      <x:c r="K61" s="12" t="n">
        <x:f>E61+I61+J61</x:f>
        <x:v>4175</x:v>
      </x:c>
      <x:c r="L61" t="str">
        <x:f>IF(H61="Dual","Dual","Standard")</x:f>
        <x:v>Standard</x:v>
      </x:c>
      <x:c r="M61" s="12" t="n">
        <x:f>IF(L61="Dual",Assumptions!$B$10,Assumptions!$B$9)</x:f>
        <x:v>90</x:v>
      </x:c>
    </x:row>
    <x:row r="62">
      <x:c r="A62" t="str">
        <x:v>R105-Las Vegas (Decatur)</x:v>
      </x:c>
      <x:c r="B62" t="n">
        <x:v>5</x:v>
      </x:c>
      <x:c r="C62" t="n">
        <x:v>0</x:v>
      </x:c>
      <x:c r="D62" t="n">
        <x:v>0</x:v>
      </x:c>
      <x:c r="E62" s="12" t="n">
        <x:f>INDEX(Assumptions!$E$5:$E$8,MATCH(D62,Assumptions!$D$5:$D$8,0))</x:f>
        <x:v>1328</x:v>
      </x:c>
      <x:c r="F62" t="n">
        <x:v>0</x:v>
      </x:c>
      <x:c r="G62" t="n">
        <x:v>3</x:v>
      </x:c>
      <x:c r="H62" t="str">
        <x:v>Single</x:v>
      </x:c>
      <x:c r="I62" s="12" t="n">
        <x:f>IF(H62="No DT",0,IF(H62="Single",INDEX(Assumptions!$H$5:$H$9,MATCH(G62,Assumptions!$G$5:$G$9,0)),INDEX(Assumptions!$K$5:$K$13,MATCH(G62,Assumptions!$J$5:$J$13,0))))</x:f>
        <x:v>3565</x:v>
      </x:c>
      <x:c r="J62" s="12" t="n">
        <x:f>Assumptions!$B$6</x:f>
        <x:v>525</x:v>
      </x:c>
      <x:c r="K62" s="12" t="n">
        <x:f>E62+I62+J62</x:f>
        <x:v>5418</x:v>
      </x:c>
      <x:c r="L62" t="str">
        <x:f>IF(H62="Dual","Dual","Standard")</x:f>
        <x:v>Standard</x:v>
      </x:c>
      <x:c r="M62" s="12" t="n">
        <x:f>IF(L62="Dual",Assumptions!$B$10,Assumptions!$B$9)</x:f>
        <x:v>90</x:v>
      </x:c>
    </x:row>
    <x:row r="63">
      <x:c r="A63" t="str">
        <x:v>R106-Chesterfield</x:v>
      </x:c>
      <x:c r="B63" t="n">
        <x:v>0</x:v>
      </x:c>
      <x:c r="C63" t="n">
        <x:v>5</x:v>
      </x:c>
      <x:c r="D63" t="n">
        <x:v>3</x:v>
      </x:c>
      <x:c r="E63" s="12" t="n">
        <x:f>INDEX(Assumptions!$E$5:$E$8,MATCH(D63,Assumptions!$D$5:$D$8,0))</x:f>
        <x:v>4320</x:v>
      </x:c>
      <x:c r="F63" t="n">
        <x:v>0</x:v>
      </x:c>
      <x:c r="G63" t="n">
        <x:v>5</x:v>
      </x:c>
      <x:c r="H63" t="str">
        <x:v>Dual</x:v>
      </x:c>
      <x:c r="I63" s="12" t="n">
        <x:f>IF(H63="No DT",0,IF(H63="Single",INDEX(Assumptions!$H$5:$H$9,MATCH(G63,Assumptions!$G$5:$G$9,0)),INDEX(Assumptions!$K$5:$K$13,MATCH(G63,Assumptions!$J$5:$J$13,0))))</x:f>
        <x:v>5761</x:v>
      </x:c>
      <x:c r="J63" s="12" t="n">
        <x:f>Assumptions!$B$6</x:f>
        <x:v>525</x:v>
      </x:c>
      <x:c r="K63" s="12" t="n">
        <x:f>E63+I63+J63</x:f>
        <x:v>10606</x:v>
      </x:c>
      <x:c r="L63" t="str">
        <x:f>IF(H63="Dual","Dual","Standard")</x:f>
        <x:v>Dual</x:v>
      </x:c>
      <x:c r="M63" s="12" t="n">
        <x:f>IF(L63="Dual",Assumptions!$B$10,Assumptions!$B$9)</x:f>
        <x:v>120</x:v>
      </x:c>
    </x:row>
    <x:row r="64">
      <x:c r="A64" t="str">
        <x:v>R109-Lynwood</x:v>
      </x:c>
      <x:c r="B64" t="n">
        <x:v>5</x:v>
      </x:c>
      <x:c r="C64" t="n">
        <x:v>0</x:v>
      </x:c>
      <x:c r="D64" t="n">
        <x:v>0</x:v>
      </x:c>
      <x:c r="E64" s="12" t="n">
        <x:f>INDEX(Assumptions!$E$5:$E$8,MATCH(D64,Assumptions!$D$5:$D$8,0))</x:f>
        <x:v>1328</x:v>
      </x:c>
      <x:c r="F64" t="n">
        <x:v>0</x:v>
      </x:c>
      <x:c r="G64" t="n">
        <x:v>4</x:v>
      </x:c>
      <x:c r="H64" t="str">
        <x:v>Single</x:v>
      </x:c>
      <x:c r="I64" s="12" t="n">
        <x:f>IF(H64="No DT",0,IF(H64="Single",INDEX(Assumptions!$H$5:$H$9,MATCH(G64,Assumptions!$G$5:$G$9,0)),INDEX(Assumptions!$K$5:$K$13,MATCH(G64,Assumptions!$J$5:$J$13,0))))</x:f>
        <x:v>4397</x:v>
      </x:c>
      <x:c r="J64" s="12" t="n">
        <x:f>Assumptions!$B$6</x:f>
        <x:v>525</x:v>
      </x:c>
      <x:c r="K64" s="12" t="n">
        <x:f>E64+I64+J64</x:f>
        <x:v>6250</x:v>
      </x:c>
      <x:c r="L64" t="str">
        <x:f>IF(H64="Dual","Dual","Standard")</x:f>
        <x:v>Standard</x:v>
      </x:c>
      <x:c r="M64" s="12" t="n">
        <x:f>IF(L64="Dual",Assumptions!$B$10,Assumptions!$B$9)</x:f>
        <x:v>90</x:v>
      </x:c>
    </x:row>
    <x:row r="65">
      <x:c r="A65" t="str">
        <x:v>R110-Inglewood</x:v>
      </x:c>
      <x:c r="B65" t="n">
        <x:v>0</x:v>
      </x:c>
      <x:c r="C65" t="n">
        <x:v>4</x:v>
      </x:c>
      <x:c r="D65" t="n">
        <x:v>2</x:v>
      </x:c>
      <x:c r="E65" s="12" t="n">
        <x:f>INDEX(Assumptions!$E$5:$E$8,MATCH(D65,Assumptions!$D$5:$D$8,0))</x:f>
        <x:v>3650</x:v>
      </x:c>
      <x:c r="F65" t="n">
        <x:v>0</x:v>
      </x:c>
      <x:c r="G65" t="n">
        <x:v>4</x:v>
      </x:c>
      <x:c r="H65" t="str">
        <x:v>Single</x:v>
      </x:c>
      <x:c r="I65" s="12" t="n">
        <x:f>IF(H65="No DT",0,IF(H65="Single",INDEX(Assumptions!$H$5:$H$9,MATCH(G65,Assumptions!$G$5:$G$9,0)),INDEX(Assumptions!$K$5:$K$13,MATCH(G65,Assumptions!$J$5:$J$13,0))))</x:f>
        <x:v>4397</x:v>
      </x:c>
      <x:c r="J65" s="12" t="n">
        <x:f>Assumptions!$B$6</x:f>
        <x:v>525</x:v>
      </x:c>
      <x:c r="K65" s="12" t="n">
        <x:f>E65+I65+J65</x:f>
        <x:v>8572</x:v>
      </x:c>
      <x:c r="L65" t="str">
        <x:f>IF(H65="Dual","Dual","Standard")</x:f>
        <x:v>Standard</x:v>
      </x:c>
      <x:c r="M65" s="12" t="n">
        <x:f>IF(L65="Dual",Assumptions!$B$10,Assumptions!$B$9)</x:f>
        <x:v>90</x:v>
      </x:c>
    </x:row>
    <x:row r="66">
      <x:c r="A66" t="str">
        <x:v>R111-San Bernardino</x:v>
      </x:c>
      <x:c r="B66" t="n">
        <x:v>0</x:v>
      </x:c>
      <x:c r="C66" t="n">
        <x:v>5</x:v>
      </x:c>
      <x:c r="D66" t="n">
        <x:v>3</x:v>
      </x:c>
      <x:c r="E66" s="12" t="n">
        <x:f>INDEX(Assumptions!$E$5:$E$8,MATCH(D66,Assumptions!$D$5:$D$8,0))</x:f>
        <x:v>4320</x:v>
      </x:c>
      <x:c r="F66" t="n">
        <x:v>0</x:v>
      </x:c>
      <x:c r="G66" t="n">
        <x:v>0</x:v>
      </x:c>
      <x:c r="H66" t="str">
        <x:v>No DT</x:v>
      </x:c>
      <x:c r="I66" s="12" t="n">
        <x:f>IF(H66="No DT",0,IF(H66="Single",INDEX(Assumptions!$H$5:$H$9,MATCH(G66,Assumptions!$G$5:$G$9,0)),INDEX(Assumptions!$K$5:$K$13,MATCH(G66,Assumptions!$J$5:$J$13,0))))</x:f>
        <x:v>0</x:v>
      </x:c>
      <x:c r="J66" s="12" t="n">
        <x:f>Assumptions!$B$6</x:f>
        <x:v>525</x:v>
      </x:c>
      <x:c r="K66" s="12" t="n">
        <x:f>E66+I66+J66</x:f>
        <x:v>4845</x:v>
      </x:c>
      <x:c r="L66" t="str">
        <x:f>IF(H66="Dual","Dual","Standard")</x:f>
        <x:v>Standard</x:v>
      </x:c>
      <x:c r="M66" s="12" t="n">
        <x:f>IF(L66="Dual",Assumptions!$B$10,Assumptions!$B$9)</x:f>
        <x:v>90</x:v>
      </x:c>
    </x:row>
    <x:row r="67">
      <x:c r="A67" t="str">
        <x:v>R112-Boyle Heights</x:v>
      </x:c>
      <x:c r="B67" t="n">
        <x:v>5</x:v>
      </x:c>
      <x:c r="C67" t="n">
        <x:v>0</x:v>
      </x:c>
      <x:c r="D67" t="n">
        <x:v>0</x:v>
      </x:c>
      <x:c r="E67" s="12" t="n">
        <x:f>INDEX(Assumptions!$E$5:$E$8,MATCH(D67,Assumptions!$D$5:$D$8,0))</x:f>
        <x:v>1328</x:v>
      </x:c>
      <x:c r="F67" t="n">
        <x:v>4</x:v>
      </x:c>
      <x:c r="G67" t="n">
        <x:v>0</x:v>
      </x:c>
      <x:c r="H67" t="str">
        <x:v>Single</x:v>
      </x:c>
      <x:c r="I67" s="12" t="n">
        <x:f>IF(H67="No DT",0,IF(H67="Single",INDEX(Assumptions!$H$5:$H$9,MATCH(G67,Assumptions!$G$5:$G$9,0)),INDEX(Assumptions!$K$5:$K$13,MATCH(G67,Assumptions!$J$5:$J$13,0))))</x:f>
        <x:v>1071</x:v>
      </x:c>
      <x:c r="J67" s="12" t="n">
        <x:f>Assumptions!$B$6</x:f>
        <x:v>525</x:v>
      </x:c>
      <x:c r="K67" s="12" t="n">
        <x:f>E67+I67+J67</x:f>
        <x:v>2924</x:v>
      </x:c>
      <x:c r="L67" t="str">
        <x:f>IF(H67="Dual","Dual","Standard")</x:f>
        <x:v>Standard</x:v>
      </x:c>
      <x:c r="M67" s="12" t="n">
        <x:f>IF(L67="Dual",Assumptions!$B$10,Assumptions!$B$9)</x:f>
        <x:v>90</x:v>
      </x:c>
    </x:row>
    <x:row r="68">
      <x:c r="A68" t="str">
        <x:v>R114-Sunset Boulevard</x:v>
      </x:c>
      <x:c r="B68" t="n">
        <x:v>0</x:v>
      </x:c>
      <x:c r="C68" t="n">
        <x:v>5</x:v>
      </x:c>
      <x:c r="D68" t="n">
        <x:v>3</x:v>
      </x:c>
      <x:c r="E68" s="12" t="n">
        <x:f>INDEX(Assumptions!$E$5:$E$8,MATCH(D68,Assumptions!$D$5:$D$8,0))</x:f>
        <x:v>4320</x:v>
      </x:c>
      <x:c r="F68" t="n">
        <x:v>0</x:v>
      </x:c>
      <x:c r="G68" t="n">
        <x:v>0</x:v>
      </x:c>
      <x:c r="H68" t="str">
        <x:v>No DT</x:v>
      </x:c>
      <x:c r="I68" s="12" t="n">
        <x:f>IF(H68="No DT",0,IF(H68="Single",INDEX(Assumptions!$H$5:$H$9,MATCH(G68,Assumptions!$G$5:$G$9,0)),INDEX(Assumptions!$K$5:$K$13,MATCH(G68,Assumptions!$J$5:$J$13,0))))</x:f>
        <x:v>0</x:v>
      </x:c>
      <x:c r="J68" s="12" t="n">
        <x:f>Assumptions!$B$6</x:f>
        <x:v>525</x:v>
      </x:c>
      <x:c r="K68" s="12" t="n">
        <x:f>E68+I68+J68</x:f>
        <x:v>4845</x:v>
      </x:c>
      <x:c r="L68" t="str">
        <x:f>IF(H68="Dual","Dual","Standard")</x:f>
        <x:v>Standard</x:v>
      </x:c>
      <x:c r="M68" s="12" t="n">
        <x:f>IF(L68="Dual",Assumptions!$B$10,Assumptions!$B$9)</x:f>
        <x:v>90</x:v>
      </x:c>
    </x:row>
    <x:row r="69">
      <x:c r="A69" t="str">
        <x:v>R115 -Burbank</x:v>
      </x:c>
      <x:c r="B69" t="n">
        <x:v>0</x:v>
      </x:c>
      <x:c r="C69" t="n">
        <x:v>4</x:v>
      </x:c>
      <x:c r="D69" t="n">
        <x:v>2</x:v>
      </x:c>
      <x:c r="E69" s="12" t="n">
        <x:f>INDEX(Assumptions!$E$5:$E$8,MATCH(D69,Assumptions!$D$5:$D$8,0))</x:f>
        <x:v>3650</x:v>
      </x:c>
      <x:c r="F69" t="n">
        <x:v>0</x:v>
      </x:c>
      <x:c r="G69" t="n">
        <x:v>0</x:v>
      </x:c>
      <x:c r="H69" t="str">
        <x:v>No DT</x:v>
      </x:c>
      <x:c r="I69" s="12" t="n">
        <x:f>IF(H69="No DT",0,IF(H69="Single",INDEX(Assumptions!$H$5:$H$9,MATCH(G69,Assumptions!$G$5:$G$9,0)),INDEX(Assumptions!$K$5:$K$13,MATCH(G69,Assumptions!$J$5:$J$13,0))))</x:f>
        <x:v>0</x:v>
      </x:c>
      <x:c r="J69" s="12" t="n">
        <x:f>Assumptions!$B$6</x:f>
        <x:v>525</x:v>
      </x:c>
      <x:c r="K69" s="12" t="n">
        <x:f>E69+I69+J69</x:f>
        <x:v>4175</x:v>
      </x:c>
      <x:c r="L69" t="str">
        <x:f>IF(H69="Dual","Dual","Standard")</x:f>
        <x:v>Standard</x:v>
      </x:c>
      <x:c r="M69" s="12" t="n">
        <x:f>IF(L69="Dual",Assumptions!$B$10,Assumptions!$B$9)</x:f>
        <x:v>90</x:v>
      </x:c>
    </x:row>
    <x:row r="70">
      <x:c r="A70" t="str">
        <x:v>R116 -North Hills</x:v>
      </x:c>
      <x:c r="B70" t="n">
        <x:v>1</x:v>
      </x:c>
      <x:c r="C70" t="n">
        <x:v>3</x:v>
      </x:c>
      <x:c r="D70" t="n">
        <x:v>2</x:v>
      </x:c>
      <x:c r="E70" s="12" t="n">
        <x:f>INDEX(Assumptions!$E$5:$E$8,MATCH(D70,Assumptions!$D$5:$D$8,0))</x:f>
        <x:v>3650</x:v>
      </x:c>
      <x:c r="F70" t="n">
        <x:v>0</x:v>
      </x:c>
      <x:c r="G70" t="n">
        <x:v>4</x:v>
      </x:c>
      <x:c r="H70" t="str">
        <x:v>Single</x:v>
      </x:c>
      <x:c r="I70" s="12" t="n">
        <x:f>IF(H70="No DT",0,IF(H70="Single",INDEX(Assumptions!$H$5:$H$9,MATCH(G70,Assumptions!$G$5:$G$9,0)),INDEX(Assumptions!$K$5:$K$13,MATCH(G70,Assumptions!$J$5:$J$13,0))))</x:f>
        <x:v>4397</x:v>
      </x:c>
      <x:c r="J70" s="12" t="n">
        <x:f>Assumptions!$B$6</x:f>
        <x:v>525</x:v>
      </x:c>
      <x:c r="K70" s="12" t="n">
        <x:f>E70+I70+J70</x:f>
        <x:v>8572</x:v>
      </x:c>
      <x:c r="L70" t="str">
        <x:f>IF(H70="Dual","Dual","Standard")</x:f>
        <x:v>Standard</x:v>
      </x:c>
      <x:c r="M70" s="12" t="n">
        <x:f>IF(L70="Dual",Assumptions!$B$10,Assumptions!$B$9)</x:f>
        <x:v>90</x:v>
      </x:c>
    </x:row>
    <x:row r="71">
      <x:c r="A71" t="str">
        <x:v>R118-Van Nuys</x:v>
      </x:c>
      <x:c r="B71" t="n">
        <x:v>0</x:v>
      </x:c>
      <x:c r="C71" t="n">
        <x:v>5</x:v>
      </x:c>
      <x:c r="D71" t="n">
        <x:v>3</x:v>
      </x:c>
      <x:c r="E71" s="12" t="n">
        <x:f>INDEX(Assumptions!$E$5:$E$8,MATCH(D71,Assumptions!$D$5:$D$8,0))</x:f>
        <x:v>4320</x:v>
      </x:c>
      <x:c r="F71" t="n">
        <x:v>0</x:v>
      </x:c>
      <x:c r="G71" t="n">
        <x:v>1</x:v>
      </x:c>
      <x:c r="H71" t="str">
        <x:v>Single</x:v>
      </x:c>
      <x:c r="I71" s="12" t="n">
        <x:f>IF(H71="No DT",0,IF(H71="Single",INDEX(Assumptions!$H$5:$H$9,MATCH(G71,Assumptions!$G$5:$G$9,0)),INDEX(Assumptions!$K$5:$K$13,MATCH(G71,Assumptions!$J$5:$J$13,0))))</x:f>
        <x:v>1901</x:v>
      </x:c>
      <x:c r="J71" s="12" t="n">
        <x:f>Assumptions!$B$6</x:f>
        <x:v>525</x:v>
      </x:c>
      <x:c r="K71" s="12" t="n">
        <x:f>E71+I71+J71</x:f>
        <x:v>6746</x:v>
      </x:c>
      <x:c r="L71" t="str">
        <x:f>IF(H71="Dual","Dual","Standard")</x:f>
        <x:v>Standard</x:v>
      </x:c>
      <x:c r="M71" s="12" t="n">
        <x:f>IF(L71="Dual",Assumptions!$B$10,Assumptions!$B$9)</x:f>
        <x:v>90</x:v>
      </x:c>
    </x:row>
    <x:row r="72">
      <x:c r="A72" t="str">
        <x:v>R119-CHICAGO (ARCHER HEIGHTS)</x:v>
      </x:c>
      <x:c r="B72" t="n">
        <x:v>5</x:v>
      </x:c>
      <x:c r="C72" t="n">
        <x:v>0</x:v>
      </x:c>
      <x:c r="D72" t="n">
        <x:v>0</x:v>
      </x:c>
      <x:c r="E72" s="12" t="n">
        <x:f>INDEX(Assumptions!$E$5:$E$8,MATCH(D72,Assumptions!$D$5:$D$8,0))</x:f>
        <x:v>1328</x:v>
      </x:c>
      <x:c r="F72" t="n">
        <x:v>4</x:v>
      </x:c>
      <x:c r="G72" t="n">
        <x:v>0</x:v>
      </x:c>
      <x:c r="H72" t="str">
        <x:v>Single</x:v>
      </x:c>
      <x:c r="I72" s="12" t="n">
        <x:f>IF(H72="No DT",0,IF(H72="Single",INDEX(Assumptions!$H$5:$H$9,MATCH(G72,Assumptions!$G$5:$G$9,0)),INDEX(Assumptions!$K$5:$K$13,MATCH(G72,Assumptions!$J$5:$J$13,0))))</x:f>
        <x:v>1071</x:v>
      </x:c>
      <x:c r="J72" s="12" t="n">
        <x:f>Assumptions!$B$6</x:f>
        <x:v>525</x:v>
      </x:c>
      <x:c r="K72" s="12" t="n">
        <x:f>E72+I72+J72</x:f>
        <x:v>2924</x:v>
      </x:c>
      <x:c r="L72" t="str">
        <x:f>IF(H72="Dual","Dual","Standard")</x:f>
        <x:v>Standard</x:v>
      </x:c>
      <x:c r="M72" s="12" t="n">
        <x:f>IF(L72="Dual",Assumptions!$B$10,Assumptions!$B$9)</x:f>
        <x:v>90</x:v>
      </x:c>
    </x:row>
    <x:row r="73">
      <x:c r="A73" t="str">
        <x:v>R120 -7th &amp; Alvarado</x:v>
      </x:c>
      <x:c r="B73" t="n">
        <x:v>1</x:v>
      </x:c>
      <x:c r="C73" t="n">
        <x:v>4</x:v>
      </x:c>
      <x:c r="D73" t="n">
        <x:v>2</x:v>
      </x:c>
      <x:c r="E73" s="12" t="n">
        <x:f>INDEX(Assumptions!$E$5:$E$8,MATCH(D73,Assumptions!$D$5:$D$8,0))</x:f>
        <x:v>3650</x:v>
      </x:c>
      <x:c r="F73" t="n">
        <x:v>0</x:v>
      </x:c>
      <x:c r="G73" t="n">
        <x:v>0</x:v>
      </x:c>
      <x:c r="H73" t="str">
        <x:v>No DT</x:v>
      </x:c>
      <x:c r="I73" s="12" t="n">
        <x:f>IF(H73="No DT",0,IF(H73="Single",INDEX(Assumptions!$H$5:$H$9,MATCH(G73,Assumptions!$G$5:$G$9,0)),INDEX(Assumptions!$K$5:$K$13,MATCH(G73,Assumptions!$J$5:$J$13,0))))</x:f>
        <x:v>0</x:v>
      </x:c>
      <x:c r="J73" s="12" t="n">
        <x:f>Assumptions!$B$6</x:f>
        <x:v>525</x:v>
      </x:c>
      <x:c r="K73" s="12" t="n">
        <x:f>E73+I73+J73</x:f>
        <x:v>4175</x:v>
      </x:c>
      <x:c r="L73" t="str">
        <x:f>IF(H73="Dual","Dual","Standard")</x:f>
        <x:v>Standard</x:v>
      </x:c>
      <x:c r="M73" s="12" t="n">
        <x:f>IF(L73="Dual",Assumptions!$B$10,Assumptions!$B$9)</x:f>
        <x:v>90</x:v>
      </x:c>
    </x:row>
    <x:row r="74">
      <x:c r="A74" t="str">
        <x:v>R122-Covina</x:v>
      </x:c>
      <x:c r="B74" t="n">
        <x:v>1</x:v>
      </x:c>
      <x:c r="C74" t="n">
        <x:v>4</x:v>
      </x:c>
      <x:c r="D74" t="n">
        <x:v>2</x:v>
      </x:c>
      <x:c r="E74" s="12" t="n">
        <x:f>INDEX(Assumptions!$E$5:$E$8,MATCH(D74,Assumptions!$D$5:$D$8,0))</x:f>
        <x:v>3650</x:v>
      </x:c>
      <x:c r="F74" t="n">
        <x:v>0</x:v>
      </x:c>
      <x:c r="G74" t="n">
        <x:v>3</x:v>
      </x:c>
      <x:c r="H74" t="str">
        <x:v>Single</x:v>
      </x:c>
      <x:c r="I74" s="12" t="n">
        <x:f>IF(H74="No DT",0,IF(H74="Single",INDEX(Assumptions!$H$5:$H$9,MATCH(G74,Assumptions!$G$5:$G$9,0)),INDEX(Assumptions!$K$5:$K$13,MATCH(G74,Assumptions!$J$5:$J$13,0))))</x:f>
        <x:v>3565</x:v>
      </x:c>
      <x:c r="J74" s="12" t="n">
        <x:f>Assumptions!$B$6</x:f>
        <x:v>525</x:v>
      </x:c>
      <x:c r="K74" s="12" t="n">
        <x:f>E74+I74+J74</x:f>
        <x:v>7740</x:v>
      </x:c>
      <x:c r="L74" t="str">
        <x:f>IF(H74="Dual","Dual","Standard")</x:f>
        <x:v>Standard</x:v>
      </x:c>
      <x:c r="M74" s="12" t="n">
        <x:f>IF(L74="Dual",Assumptions!$B$10,Assumptions!$B$9)</x:f>
        <x:v>90</x:v>
      </x:c>
    </x:row>
    <x:row r="75">
      <x:c r="A75" t="str">
        <x:v>R123-Fontana</x:v>
      </x:c>
      <x:c r="B75" t="n">
        <x:v>5</x:v>
      </x:c>
      <x:c r="C75" t="n">
        <x:v>0</x:v>
      </x:c>
      <x:c r="D75" t="n">
        <x:v>0</x:v>
      </x:c>
      <x:c r="E75" s="12" t="n">
        <x:f>INDEX(Assumptions!$E$5:$E$8,MATCH(D75,Assumptions!$D$5:$D$8,0))</x:f>
        <x:v>1328</x:v>
      </x:c>
      <x:c r="F75" t="n">
        <x:v>0</x:v>
      </x:c>
      <x:c r="G75" t="n">
        <x:v>4</x:v>
      </x:c>
      <x:c r="H75" t="str">
        <x:v>Single</x:v>
      </x:c>
      <x:c r="I75" s="12" t="n">
        <x:f>IF(H75="No DT",0,IF(H75="Single",INDEX(Assumptions!$H$5:$H$9,MATCH(G75,Assumptions!$G$5:$G$9,0)),INDEX(Assumptions!$K$5:$K$13,MATCH(G75,Assumptions!$J$5:$J$13,0))))</x:f>
        <x:v>4397</x:v>
      </x:c>
      <x:c r="J75" s="12" t="n">
        <x:f>Assumptions!$B$6</x:f>
        <x:v>525</x:v>
      </x:c>
      <x:c r="K75" s="12" t="n">
        <x:f>E75+I75+J75</x:f>
        <x:v>6250</x:v>
      </x:c>
      <x:c r="L75" t="str">
        <x:f>IF(H75="Dual","Dual","Standard")</x:f>
        <x:v>Standard</x:v>
      </x:c>
      <x:c r="M75" s="12" t="n">
        <x:f>IF(L75="Dual",Assumptions!$B$10,Assumptions!$B$9)</x:f>
        <x:v>90</x:v>
      </x:c>
    </x:row>
    <x:row r="76">
      <x:c r="A76" t="str">
        <x:v>R124-Ontario</x:v>
      </x:c>
      <x:c r="B76" t="n">
        <x:v>4</x:v>
      </x:c>
      <x:c r="C76" t="n">
        <x:v>1</x:v>
      </x:c>
      <x:c r="D76" t="n">
        <x:v>1</x:v>
      </x:c>
      <x:c r="E76" s="12" t="n">
        <x:f>INDEX(Assumptions!$E$5:$E$8,MATCH(D76,Assumptions!$D$5:$D$8,0))</x:f>
        <x:v>2980</x:v>
      </x:c>
      <x:c r="F76" t="n">
        <x:v>0</x:v>
      </x:c>
      <x:c r="G76" t="n">
        <x:v>4</x:v>
      </x:c>
      <x:c r="H76" t="str">
        <x:v>Single</x:v>
      </x:c>
      <x:c r="I76" s="12" t="n">
        <x:f>IF(H76="No DT",0,IF(H76="Single",INDEX(Assumptions!$H$5:$H$9,MATCH(G76,Assumptions!$G$5:$G$9,0)),INDEX(Assumptions!$K$5:$K$13,MATCH(G76,Assumptions!$J$5:$J$13,0))))</x:f>
        <x:v>4397</x:v>
      </x:c>
      <x:c r="J76" s="12" t="n">
        <x:f>Assumptions!$B$6</x:f>
        <x:v>525</x:v>
      </x:c>
      <x:c r="K76" s="12" t="n">
        <x:f>E76+I76+J76</x:f>
        <x:v>7902</x:v>
      </x:c>
      <x:c r="L76" t="str">
        <x:f>IF(H76="Dual","Dual","Standard")</x:f>
        <x:v>Standard</x:v>
      </x:c>
      <x:c r="M76" s="12" t="n">
        <x:f>IF(L76="Dual",Assumptions!$B$10,Assumptions!$B$9)</x:f>
        <x:v>90</x:v>
      </x:c>
    </x:row>
    <x:row r="77">
      <x:c r="A77" t="str">
        <x:v>R125-Bakersfield</x:v>
      </x:c>
      <x:c r="B77" t="n">
        <x:v>5</x:v>
      </x:c>
      <x:c r="C77" t="n">
        <x:v>0</x:v>
      </x:c>
      <x:c r="D77" t="n">
        <x:v>0</x:v>
      </x:c>
      <x:c r="E77" s="12" t="n">
        <x:f>INDEX(Assumptions!$E$5:$E$8,MATCH(D77,Assumptions!$D$5:$D$8,0))</x:f>
        <x:v>1328</x:v>
      </x:c>
      <x:c r="F77" t="n">
        <x:v>4</x:v>
      </x:c>
      <x:c r="G77" t="n">
        <x:v>0</x:v>
      </x:c>
      <x:c r="H77" t="str">
        <x:v>Single</x:v>
      </x:c>
      <x:c r="I77" s="12" t="n">
        <x:f>IF(H77="No DT",0,IF(H77="Single",INDEX(Assumptions!$H$5:$H$9,MATCH(G77,Assumptions!$G$5:$G$9,0)),INDEX(Assumptions!$K$5:$K$13,MATCH(G77,Assumptions!$J$5:$J$13,0))))</x:f>
        <x:v>1071</x:v>
      </x:c>
      <x:c r="J77" s="12" t="n">
        <x:f>Assumptions!$B$6</x:f>
        <x:v>525</x:v>
      </x:c>
      <x:c r="K77" s="12" t="n">
        <x:f>E77+I77+J77</x:f>
        <x:v>2924</x:v>
      </x:c>
      <x:c r="L77" t="str">
        <x:f>IF(H77="Dual","Dual","Standard")</x:f>
        <x:v>Standard</x:v>
      </x:c>
      <x:c r="M77" s="12" t="n">
        <x:f>IF(L77="Dual",Assumptions!$B$10,Assumptions!$B$9)</x:f>
        <x:v>90</x:v>
      </x:c>
    </x:row>
    <x:row r="78">
      <x:c r="A78" t="str">
        <x:v>R131-Lawndale</x:v>
      </x:c>
      <x:c r="B78" t="n">
        <x:v>1</x:v>
      </x:c>
      <x:c r="C78" t="n">
        <x:v>4</x:v>
      </x:c>
      <x:c r="D78" t="n">
        <x:v>2</x:v>
      </x:c>
      <x:c r="E78" s="12" t="n">
        <x:f>INDEX(Assumptions!$E$5:$E$8,MATCH(D78,Assumptions!$D$5:$D$8,0))</x:f>
        <x:v>3650</x:v>
      </x:c>
      <x:c r="F78" t="n">
        <x:v>0</x:v>
      </x:c>
      <x:c r="G78" t="n">
        <x:v>0</x:v>
      </x:c>
      <x:c r="H78" t="str">
        <x:v>No DT</x:v>
      </x:c>
      <x:c r="I78" s="12" t="n">
        <x:f>IF(H78="No DT",0,IF(H78="Single",INDEX(Assumptions!$H$5:$H$9,MATCH(G78,Assumptions!$G$5:$G$9,0)),INDEX(Assumptions!$K$5:$K$13,MATCH(G78,Assumptions!$J$5:$J$13,0))))</x:f>
        <x:v>0</x:v>
      </x:c>
      <x:c r="J78" s="12" t="n">
        <x:f>Assumptions!$B$6</x:f>
        <x:v>525</x:v>
      </x:c>
      <x:c r="K78" s="12" t="n">
        <x:f>E78+I78+J78</x:f>
        <x:v>4175</x:v>
      </x:c>
      <x:c r="L78" t="str">
        <x:f>IF(H78="Dual","Dual","Standard")</x:f>
        <x:v>Standard</x:v>
      </x:c>
      <x:c r="M78" s="12" t="n">
        <x:f>IF(L78="Dual",Assumptions!$B$10,Assumptions!$B$9)</x:f>
        <x:v>90</x:v>
      </x:c>
    </x:row>
    <x:row r="79">
      <x:c r="A79" t="str">
        <x:v>R133-Santa Ana Bristol</x:v>
      </x:c>
      <x:c r="B79" t="n">
        <x:v>5</x:v>
      </x:c>
      <x:c r="C79" t="n">
        <x:v>0</x:v>
      </x:c>
      <x:c r="D79" t="n">
        <x:v>0</x:v>
      </x:c>
      <x:c r="E79" s="12" t="n">
        <x:f>INDEX(Assumptions!$E$5:$E$8,MATCH(D79,Assumptions!$D$5:$D$8,0))</x:f>
        <x:v>1328</x:v>
      </x:c>
      <x:c r="F79" t="n">
        <x:v>0</x:v>
      </x:c>
      <x:c r="G79" t="n">
        <x:v>4</x:v>
      </x:c>
      <x:c r="H79" t="str">
        <x:v>Single</x:v>
      </x:c>
      <x:c r="I79" s="12" t="n">
        <x:f>IF(H79="No DT",0,IF(H79="Single",INDEX(Assumptions!$H$5:$H$9,MATCH(G79,Assumptions!$G$5:$G$9,0)),INDEX(Assumptions!$K$5:$K$13,MATCH(G79,Assumptions!$J$5:$J$13,0))))</x:f>
        <x:v>4397</x:v>
      </x:c>
      <x:c r="J79" s="12" t="n">
        <x:f>Assumptions!$B$6</x:f>
        <x:v>525</x:v>
      </x:c>
      <x:c r="K79" s="12" t="n">
        <x:f>E79+I79+J79</x:f>
        <x:v>6250</x:v>
      </x:c>
      <x:c r="L79" t="str">
        <x:f>IF(H79="Dual","Dual","Standard")</x:f>
        <x:v>Standard</x:v>
      </x:c>
      <x:c r="M79" s="12" t="n">
        <x:f>IF(L79="Dual",Assumptions!$B$10,Assumptions!$B$9)</x:f>
        <x:v>90</x:v>
      </x:c>
    </x:row>
    <x:row r="80">
      <x:c r="A80" t="str">
        <x:v>R135-Fisherman's Wharf</x:v>
      </x:c>
      <x:c r="B80" t="n">
        <x:v>4</x:v>
      </x:c>
      <x:c r="C80" t="n">
        <x:v>0</x:v>
      </x:c>
      <x:c r="D80" t="n">
        <x:v>0</x:v>
      </x:c>
      <x:c r="E80" s="12" t="n">
        <x:f>INDEX(Assumptions!$E$5:$E$8,MATCH(D80,Assumptions!$D$5:$D$8,0))</x:f>
        <x:v>1328</x:v>
      </x:c>
      <x:c r="F80" t="n">
        <x:v>0</x:v>
      </x:c>
      <x:c r="G80" t="n">
        <x:v>0</x:v>
      </x:c>
      <x:c r="H80" t="str">
        <x:v>No DT</x:v>
      </x:c>
      <x:c r="I80" s="12" t="n">
        <x:f>IF(H80="No DT",0,IF(H80="Single",INDEX(Assumptions!$H$5:$H$9,MATCH(G80,Assumptions!$G$5:$G$9,0)),INDEX(Assumptions!$K$5:$K$13,MATCH(G80,Assumptions!$J$5:$J$13,0))))</x:f>
        <x:v>0</x:v>
      </x:c>
      <x:c r="J80" s="12" t="n">
        <x:f>Assumptions!$B$6</x:f>
        <x:v>525</x:v>
      </x:c>
      <x:c r="K80" s="12" t="n">
        <x:f>E80+I80+J80</x:f>
        <x:v>1853</x:v>
      </x:c>
      <x:c r="L80" t="str">
        <x:f>IF(H80="Dual","Dual","Standard")</x:f>
        <x:v>Standard</x:v>
      </x:c>
      <x:c r="M80" s="12" t="n">
        <x:f>IF(L80="Dual",Assumptions!$B$10,Assumptions!$B$9)</x:f>
        <x:v>90</x:v>
      </x:c>
    </x:row>
    <x:row r="81">
      <x:c r="A81" t="str">
        <x:v>R136-Bellflower</x:v>
      </x:c>
      <x:c r="B81" t="n">
        <x:v>5</x:v>
      </x:c>
      <x:c r="C81" t="n">
        <x:v>0</x:v>
      </x:c>
      <x:c r="D81" t="n">
        <x:v>0</x:v>
      </x:c>
      <x:c r="E81" s="12" t="n">
        <x:f>INDEX(Assumptions!$E$5:$E$8,MATCH(D81,Assumptions!$D$5:$D$8,0))</x:f>
        <x:v>1328</x:v>
      </x:c>
      <x:c r="F81" t="n">
        <x:v>0</x:v>
      </x:c>
      <x:c r="G81" t="n">
        <x:v>4</x:v>
      </x:c>
      <x:c r="H81" t="str">
        <x:v>Single</x:v>
      </x:c>
      <x:c r="I81" s="12" t="n">
        <x:f>IF(H81="No DT",0,IF(H81="Single",INDEX(Assumptions!$H$5:$H$9,MATCH(G81,Assumptions!$G$5:$G$9,0)),INDEX(Assumptions!$K$5:$K$13,MATCH(G81,Assumptions!$J$5:$J$13,0))))</x:f>
        <x:v>4397</x:v>
      </x:c>
      <x:c r="J81" s="12" t="n">
        <x:f>Assumptions!$B$6</x:f>
        <x:v>525</x:v>
      </x:c>
      <x:c r="K81" s="12" t="n">
        <x:f>E81+I81+J81</x:f>
        <x:v>6250</x:v>
      </x:c>
      <x:c r="L81" t="str">
        <x:f>IF(H81="Dual","Dual","Standard")</x:f>
        <x:v>Standard</x:v>
      </x:c>
      <x:c r="M81" s="12" t="n">
        <x:f>IF(L81="Dual",Assumptions!$B$10,Assumptions!$B$9)</x:f>
        <x:v>90</x:v>
      </x:c>
    </x:row>
    <x:row r="82">
      <x:c r="A82" t="str">
        <x:v>R138-Riverside</x:v>
      </x:c>
      <x:c r="B82" t="n">
        <x:v>5</x:v>
      </x:c>
      <x:c r="C82" t="n">
        <x:v>0</x:v>
      </x:c>
      <x:c r="D82" t="n">
        <x:v>0</x:v>
      </x:c>
      <x:c r="E82" s="12" t="n">
        <x:f>INDEX(Assumptions!$E$5:$E$8,MATCH(D82,Assumptions!$D$5:$D$8,0))</x:f>
        <x:v>1328</x:v>
      </x:c>
      <x:c r="F82" t="n">
        <x:v>0</x:v>
      </x:c>
      <x:c r="G82" t="n">
        <x:v>4</x:v>
      </x:c>
      <x:c r="H82" t="str">
        <x:v>Single</x:v>
      </x:c>
      <x:c r="I82" s="12" t="n">
        <x:f>IF(H82="No DT",0,IF(H82="Single",INDEX(Assumptions!$H$5:$H$9,MATCH(G82,Assumptions!$G$5:$G$9,0)),INDEX(Assumptions!$K$5:$K$13,MATCH(G82,Assumptions!$J$5:$J$13,0))))</x:f>
        <x:v>4397</x:v>
      </x:c>
      <x:c r="J82" s="12" t="n">
        <x:f>Assumptions!$B$6</x:f>
        <x:v>525</x:v>
      </x:c>
      <x:c r="K82" s="12" t="n">
        <x:f>E82+I82+J82</x:f>
        <x:v>6250</x:v>
      </x:c>
      <x:c r="L82" t="str">
        <x:f>IF(H82="Dual","Dual","Standard")</x:f>
        <x:v>Standard</x:v>
      </x:c>
      <x:c r="M82" s="12" t="n">
        <x:f>IF(L82="Dual",Assumptions!$B$10,Assumptions!$B$9)</x:f>
        <x:v>90</x:v>
      </x:c>
    </x:row>
    <x:row r="83">
      <x:c r="A83" t="str">
        <x:v>R139-Anaheim</x:v>
      </x:c>
      <x:c r="B83" t="n">
        <x:v>5</x:v>
      </x:c>
      <x:c r="C83" t="n">
        <x:v>0</x:v>
      </x:c>
      <x:c r="D83" t="n">
        <x:v>0</x:v>
      </x:c>
      <x:c r="E83" s="12" t="n">
        <x:f>INDEX(Assumptions!$E$5:$E$8,MATCH(D83,Assumptions!$D$5:$D$8,0))</x:f>
        <x:v>1328</x:v>
      </x:c>
      <x:c r="F83" t="n">
        <x:v>0</x:v>
      </x:c>
      <x:c r="G83" t="n">
        <x:v>4</x:v>
      </x:c>
      <x:c r="H83" t="str">
        <x:v>Single</x:v>
      </x:c>
      <x:c r="I83" s="12" t="n">
        <x:f>IF(H83="No DT",0,IF(H83="Single",INDEX(Assumptions!$H$5:$H$9,MATCH(G83,Assumptions!$G$5:$G$9,0)),INDEX(Assumptions!$K$5:$K$13,MATCH(G83,Assumptions!$J$5:$J$13,0))))</x:f>
        <x:v>4397</x:v>
      </x:c>
      <x:c r="J83" s="12" t="n">
        <x:f>Assumptions!$B$6</x:f>
        <x:v>525</x:v>
      </x:c>
      <x:c r="K83" s="12" t="n">
        <x:f>E83+I83+J83</x:f>
        <x:v>6250</x:v>
      </x:c>
      <x:c r="L83" t="str">
        <x:f>IF(H83="Dual","Dual","Standard")</x:f>
        <x:v>Standard</x:v>
      </x:c>
      <x:c r="M83" s="12" t="n">
        <x:f>IF(L83="Dual",Assumptions!$B$10,Assumptions!$B$9)</x:f>
        <x:v>90</x:v>
      </x:c>
    </x:row>
    <x:row r="84">
      <x:c r="A84" t="str">
        <x:v>R141-Garden Grove</x:v>
      </x:c>
      <x:c r="B84" t="n">
        <x:v>5</x:v>
      </x:c>
      <x:c r="C84" t="n">
        <x:v>0</x:v>
      </x:c>
      <x:c r="D84" t="n">
        <x:v>0</x:v>
      </x:c>
      <x:c r="E84" s="12" t="n">
        <x:f>INDEX(Assumptions!$E$5:$E$8,MATCH(D84,Assumptions!$D$5:$D$8,0))</x:f>
        <x:v>1328</x:v>
      </x:c>
      <x:c r="F84" t="n">
        <x:v>4</x:v>
      </x:c>
      <x:c r="G84" t="n">
        <x:v>0</x:v>
      </x:c>
      <x:c r="H84" t="str">
        <x:v>Single</x:v>
      </x:c>
      <x:c r="I84" s="12" t="n">
        <x:f>IF(H84="No DT",0,IF(H84="Single",INDEX(Assumptions!$H$5:$H$9,MATCH(G84,Assumptions!$G$5:$G$9,0)),INDEX(Assumptions!$K$5:$K$13,MATCH(G84,Assumptions!$J$5:$J$13,0))))</x:f>
        <x:v>1071</x:v>
      </x:c>
      <x:c r="J84" s="12" t="n">
        <x:f>Assumptions!$B$6</x:f>
        <x:v>525</x:v>
      </x:c>
      <x:c r="K84" s="12" t="n">
        <x:f>E84+I84+J84</x:f>
        <x:v>2924</x:v>
      </x:c>
      <x:c r="L84" t="str">
        <x:f>IF(H84="Dual","Dual","Standard")</x:f>
        <x:v>Standard</x:v>
      </x:c>
      <x:c r="M84" s="12" t="n">
        <x:f>IF(L84="Dual",Assumptions!$B$10,Assumptions!$B$9)</x:f>
        <x:v>90</x:v>
      </x:c>
    </x:row>
    <x:row r="85">
      <x:c r="A85" t="str">
        <x:v>R142-Jurupa Valley</x:v>
      </x:c>
      <x:c r="B85" t="n">
        <x:v>5</x:v>
      </x:c>
      <x:c r="C85" t="n">
        <x:v>0</x:v>
      </x:c>
      <x:c r="D85" t="n">
        <x:v>0</x:v>
      </x:c>
      <x:c r="E85" s="12" t="n">
        <x:f>INDEX(Assumptions!$E$5:$E$8,MATCH(D85,Assumptions!$D$5:$D$8,0))</x:f>
        <x:v>1328</x:v>
      </x:c>
      <x:c r="F85" t="n">
        <x:v>0</x:v>
      </x:c>
      <x:c r="G85" t="n">
        <x:v>8</x:v>
      </x:c>
      <x:c r="H85" t="str">
        <x:v>Dual</x:v>
      </x:c>
      <x:c r="I85" s="12" t="n">
        <x:f>IF(H85="No DT",0,IF(H85="Single",INDEX(Assumptions!$H$5:$H$9,MATCH(G85,Assumptions!$G$5:$G$9,0)),INDEX(Assumptions!$K$5:$K$13,MATCH(G85,Assumptions!$J$5:$J$13,0))))</x:f>
        <x:v>8251</x:v>
      </x:c>
      <x:c r="J85" s="12" t="n">
        <x:f>Assumptions!$B$6</x:f>
        <x:v>525</x:v>
      </x:c>
      <x:c r="K85" s="12" t="n">
        <x:f>E85+I85+J85</x:f>
        <x:v>10104</x:v>
      </x:c>
      <x:c r="L85" t="str">
        <x:f>IF(H85="Dual","Dual","Standard")</x:f>
        <x:v>Dual</x:v>
      </x:c>
      <x:c r="M85" s="12" t="n">
        <x:f>IF(L85="Dual",Assumptions!$B$10,Assumptions!$B$9)</x:f>
        <x:v>120</x:v>
      </x:c>
    </x:row>
    <x:row r="86">
      <x:c r="A86" t="str">
        <x:v>R143-El Monte</x:v>
      </x:c>
      <x:c r="B86" t="n">
        <x:v>5</x:v>
      </x:c>
      <x:c r="C86" t="n">
        <x:v>0</x:v>
      </x:c>
      <x:c r="D86" t="n">
        <x:v>0</x:v>
      </x:c>
      <x:c r="E86" s="12" t="n">
        <x:f>INDEX(Assumptions!$E$5:$E$8,MATCH(D86,Assumptions!$D$5:$D$8,0))</x:f>
        <x:v>1328</x:v>
      </x:c>
      <x:c r="F86" t="n">
        <x:v>4</x:v>
      </x:c>
      <x:c r="G86" t="n">
        <x:v>0</x:v>
      </x:c>
      <x:c r="H86" t="str">
        <x:v>Single</x:v>
      </x:c>
      <x:c r="I86" s="12" t="n">
        <x:f>IF(H86="No DT",0,IF(H86="Single",INDEX(Assumptions!$H$5:$H$9,MATCH(G86,Assumptions!$G$5:$G$9,0)),INDEX(Assumptions!$K$5:$K$13,MATCH(G86,Assumptions!$J$5:$J$13,0))))</x:f>
        <x:v>1071</x:v>
      </x:c>
      <x:c r="J86" s="12" t="n">
        <x:f>Assumptions!$B$6</x:f>
        <x:v>525</x:v>
      </x:c>
      <x:c r="K86" s="12" t="n">
        <x:f>E86+I86+J86</x:f>
        <x:v>2924</x:v>
      </x:c>
      <x:c r="L86" t="str">
        <x:f>IF(H86="Dual","Dual","Standard")</x:f>
        <x:v>Standard</x:v>
      </x:c>
      <x:c r="M86" s="12" t="n">
        <x:f>IF(L86="Dual",Assumptions!$B$10,Assumptions!$B$9)</x:f>
        <x:v>90</x:v>
      </x:c>
    </x:row>
    <x:row r="87">
      <x:c r="A87" t="str">
        <x:v>R144-Pembroke Pines</x:v>
      </x:c>
      <x:c r="B87" t="n">
        <x:v>5</x:v>
      </x:c>
      <x:c r="C87" t="n">
        <x:v>0</x:v>
      </x:c>
      <x:c r="D87" t="n">
        <x:v>0</x:v>
      </x:c>
      <x:c r="E87" s="12" t="n">
        <x:f>INDEX(Assumptions!$E$5:$E$8,MATCH(D87,Assumptions!$D$5:$D$8,0))</x:f>
        <x:v>1328</x:v>
      </x:c>
      <x:c r="F87" t="n">
        <x:v>0</x:v>
      </x:c>
      <x:c r="G87" t="n">
        <x:v>3</x:v>
      </x:c>
      <x:c r="H87" t="str">
        <x:v>Single</x:v>
      </x:c>
      <x:c r="I87" s="12" t="n">
        <x:f>IF(H87="No DT",0,IF(H87="Single",INDEX(Assumptions!$H$5:$H$9,MATCH(G87,Assumptions!$G$5:$G$9,0)),INDEX(Assumptions!$K$5:$K$13,MATCH(G87,Assumptions!$J$5:$J$13,0))))</x:f>
        <x:v>3565</x:v>
      </x:c>
      <x:c r="J87" s="12" t="n">
        <x:f>Assumptions!$B$6</x:f>
        <x:v>525</x:v>
      </x:c>
      <x:c r="K87" s="12" t="n">
        <x:f>E87+I87+J87</x:f>
        <x:v>5418</x:v>
      </x:c>
      <x:c r="L87" t="str">
        <x:f>IF(H87="Dual","Dual","Standard")</x:f>
        <x:v>Standard</x:v>
      </x:c>
      <x:c r="M87" s="12" t="n">
        <x:f>IF(L87="Dual",Assumptions!$B$10,Assumptions!$B$9)</x:f>
        <x:v>90</x:v>
      </x:c>
    </x:row>
    <x:row r="88">
      <x:c r="A88" t="str">
        <x:v>R148-Victorville</x:v>
      </x:c>
      <x:c r="B88" t="n">
        <x:v>5</x:v>
      </x:c>
      <x:c r="C88" t="n">
        <x:v>0</x:v>
      </x:c>
      <x:c r="D88" t="n">
        <x:v>0</x:v>
      </x:c>
      <x:c r="E88" s="12" t="n">
        <x:f>INDEX(Assumptions!$E$5:$E$8,MATCH(D88,Assumptions!$D$5:$D$8,0))</x:f>
        <x:v>1328</x:v>
      </x:c>
      <x:c r="F88" t="n">
        <x:v>4</x:v>
      </x:c>
      <x:c r="G88" t="n">
        <x:v>0</x:v>
      </x:c>
      <x:c r="H88" t="str">
        <x:v>Single</x:v>
      </x:c>
      <x:c r="I88" s="12" t="n">
        <x:f>IF(H88="No DT",0,IF(H88="Single",INDEX(Assumptions!$H$5:$H$9,MATCH(G88,Assumptions!$G$5:$G$9,0)),INDEX(Assumptions!$K$5:$K$13,MATCH(G88,Assumptions!$J$5:$J$13,0))))</x:f>
        <x:v>1071</x:v>
      </x:c>
      <x:c r="J88" s="12" t="n">
        <x:f>Assumptions!$B$6</x:f>
        <x:v>525</x:v>
      </x:c>
      <x:c r="K88" s="12" t="n">
        <x:f>E88+I88+J88</x:f>
        <x:v>2924</x:v>
      </x:c>
      <x:c r="L88" t="str">
        <x:f>IF(H88="Dual","Dual","Standard")</x:f>
        <x:v>Standard</x:v>
      </x:c>
      <x:c r="M88" s="12" t="n">
        <x:f>IF(L88="Dual",Assumptions!$B$10,Assumptions!$B$9)</x:f>
        <x:v>90</x:v>
      </x:c>
    </x:row>
    <x:row r="89">
      <x:c r="A89" t="str">
        <x:v>R150-Kyle</x:v>
      </x:c>
      <x:c r="B89" t="n">
        <x:v>5</x:v>
      </x:c>
      <x:c r="C89" t="n">
        <x:v>0</x:v>
      </x:c>
      <x:c r="D89" t="n">
        <x:v>0</x:v>
      </x:c>
      <x:c r="E89" s="12" t="n">
        <x:f>INDEX(Assumptions!$E$5:$E$8,MATCH(D89,Assumptions!$D$5:$D$8,0))</x:f>
        <x:v>1328</x:v>
      </x:c>
      <x:c r="F89" t="n">
        <x:v>0</x:v>
      </x:c>
      <x:c r="G89" t="n">
        <x:v>4</x:v>
      </x:c>
      <x:c r="H89" t="str">
        <x:v>Single</x:v>
      </x:c>
      <x:c r="I89" s="12" t="n">
        <x:f>IF(H89="No DT",0,IF(H89="Single",INDEX(Assumptions!$H$5:$H$9,MATCH(G89,Assumptions!$G$5:$G$9,0)),INDEX(Assumptions!$K$5:$K$13,MATCH(G89,Assumptions!$J$5:$J$13,0))))</x:f>
        <x:v>4397</x:v>
      </x:c>
      <x:c r="J89" s="12" t="n">
        <x:f>Assumptions!$B$6</x:f>
        <x:v>525</x:v>
      </x:c>
      <x:c r="K89" s="12" t="n">
        <x:f>E89+I89+J89</x:f>
        <x:v>6250</x:v>
      </x:c>
      <x:c r="L89" t="str">
        <x:f>IF(H89="Dual","Dual","Standard")</x:f>
        <x:v>Standard</x:v>
      </x:c>
      <x:c r="M89" s="12" t="n">
        <x:f>IF(L89="Dual",Assumptions!$B$10,Assumptions!$B$9)</x:f>
        <x:v>90</x:v>
      </x:c>
    </x:row>
    <x:row r="90">
      <x:c r="A90" t="str">
        <x:v>R151-Cockrell Hill</x:v>
      </x:c>
      <x:c r="B90" t="n">
        <x:v>3</x:v>
      </x:c>
      <x:c r="C90" t="n">
        <x:v>1</x:v>
      </x:c>
      <x:c r="D90" t="n">
        <x:v>1</x:v>
      </x:c>
      <x:c r="E90" s="12" t="n">
        <x:f>INDEX(Assumptions!$E$5:$E$8,MATCH(D90,Assumptions!$D$5:$D$8,0))</x:f>
        <x:v>2980</x:v>
      </x:c>
      <x:c r="F90" t="n">
        <x:v>0</x:v>
      </x:c>
      <x:c r="G90" t="n">
        <x:v>4</x:v>
      </x:c>
      <x:c r="H90" t="str">
        <x:v>Single</x:v>
      </x:c>
      <x:c r="I90" s="12" t="n">
        <x:f>IF(H90="No DT",0,IF(H90="Single",INDEX(Assumptions!$H$5:$H$9,MATCH(G90,Assumptions!$G$5:$G$9,0)),INDEX(Assumptions!$K$5:$K$13,MATCH(G90,Assumptions!$J$5:$J$13,0))))</x:f>
        <x:v>4397</x:v>
      </x:c>
      <x:c r="J90" s="12" t="n">
        <x:f>Assumptions!$B$6</x:f>
        <x:v>525</x:v>
      </x:c>
      <x:c r="K90" s="12" t="n">
        <x:f>E90+I90+J90</x:f>
        <x:v>7902</x:v>
      </x:c>
      <x:c r="L90" t="str">
        <x:f>IF(H90="Dual","Dual","Standard")</x:f>
        <x:v>Standard</x:v>
      </x:c>
      <x:c r="M90" s="12" t="n">
        <x:f>IF(L90="Dual",Assumptions!$B$10,Assumptions!$B$9)</x:f>
        <x:v>90</x:v>
      </x:c>
    </x:row>
    <x:row r="91">
      <x:c r="A91" t="str">
        <x:v>R152-South Austin</x:v>
      </x:c>
      <x:c r="B91" t="n">
        <x:v>5</x:v>
      </x:c>
      <x:c r="C91" t="n">
        <x:v>0</x:v>
      </x:c>
      <x:c r="D91" t="n">
        <x:v>0</x:v>
      </x:c>
      <x:c r="E91" s="12" t="n">
        <x:f>INDEX(Assumptions!$E$5:$E$8,MATCH(D91,Assumptions!$D$5:$D$8,0))</x:f>
        <x:v>1328</x:v>
      </x:c>
      <x:c r="F91" t="n">
        <x:v>0</x:v>
      </x:c>
      <x:c r="G91" t="n">
        <x:v>0</x:v>
      </x:c>
      <x:c r="H91" t="str">
        <x:v>No DT</x:v>
      </x:c>
      <x:c r="I91" s="12" t="n">
        <x:f>IF(H91="No DT",0,IF(H91="Single",INDEX(Assumptions!$H$5:$H$9,MATCH(G91,Assumptions!$G$5:$G$9,0)),INDEX(Assumptions!$K$5:$K$13,MATCH(G91,Assumptions!$J$5:$J$13,0))))</x:f>
        <x:v>0</x:v>
      </x:c>
      <x:c r="J91" s="12" t="n">
        <x:f>Assumptions!$B$6</x:f>
        <x:v>525</x:v>
      </x:c>
      <x:c r="K91" s="12" t="n">
        <x:f>E91+I91+J91</x:f>
        <x:v>1853</x:v>
      </x:c>
      <x:c r="L91" t="str">
        <x:f>IF(H91="Dual","Dual","Standard")</x:f>
        <x:v>Standard</x:v>
      </x:c>
      <x:c r="M91" s="12" t="n">
        <x:f>IF(L91="Dual",Assumptions!$B$10,Assumptions!$B$9)</x:f>
        <x:v>90</x:v>
      </x:c>
    </x:row>
    <x:row r="92">
      <x:c r="A92" t="str">
        <x:v>R153-Norcross</x:v>
      </x:c>
      <x:c r="B92" t="n">
        <x:v>1</x:v>
      </x:c>
      <x:c r="C92" t="n">
        <x:v>4</x:v>
      </x:c>
      <x:c r="D92" t="n">
        <x:v>2</x:v>
      </x:c>
      <x:c r="E92" s="12" t="n">
        <x:f>INDEX(Assumptions!$E$5:$E$8,MATCH(D92,Assumptions!$D$5:$D$8,0))</x:f>
        <x:v>3650</x:v>
      </x:c>
      <x:c r="F92" t="n">
        <x:v>0</x:v>
      </x:c>
      <x:c r="G92" t="n">
        <x:v>2</x:v>
      </x:c>
      <x:c r="H92" t="str">
        <x:v>Single</x:v>
      </x:c>
      <x:c r="I92" s="12" t="n">
        <x:f>IF(H92="No DT",0,IF(H92="Single",INDEX(Assumptions!$H$5:$H$9,MATCH(G92,Assumptions!$G$5:$G$9,0)),INDEX(Assumptions!$K$5:$K$13,MATCH(G92,Assumptions!$J$5:$J$13,0))))</x:f>
        <x:v>2733</x:v>
      </x:c>
      <x:c r="J92" s="12" t="n">
        <x:f>Assumptions!$B$6</x:f>
        <x:v>525</x:v>
      </x:c>
      <x:c r="K92" s="12" t="n">
        <x:f>E92+I92+J92</x:f>
        <x:v>6908</x:v>
      </x:c>
      <x:c r="L92" t="str">
        <x:f>IF(H92="Dual","Dual","Standard")</x:f>
        <x:v>Standard</x:v>
      </x:c>
      <x:c r="M92" s="12" t="n">
        <x:f>IF(L92="Dual",Assumptions!$B$10,Assumptions!$B$9)</x:f>
        <x:v>90</x:v>
      </x:c>
    </x:row>
    <x:row r="93">
      <x:c r="A93" t="str">
        <x:v>R154-Lawrenceville</x:v>
      </x:c>
      <x:c r="B93" t="n">
        <x:v>5</x:v>
      </x:c>
      <x:c r="C93" t="n">
        <x:v>0</x:v>
      </x:c>
      <x:c r="D93" t="n">
        <x:v>0</x:v>
      </x:c>
      <x:c r="E93" s="12" t="n">
        <x:f>INDEX(Assumptions!$E$5:$E$8,MATCH(D93,Assumptions!$D$5:$D$8,0))</x:f>
        <x:v>1328</x:v>
      </x:c>
      <x:c r="F93" t="n">
        <x:v>0</x:v>
      </x:c>
      <x:c r="G93" t="n">
        <x:v>0</x:v>
      </x:c>
      <x:c r="H93" t="str">
        <x:v>No DT</x:v>
      </x:c>
      <x:c r="I93" s="12" t="n">
        <x:f>IF(H93="No DT",0,IF(H93="Single",INDEX(Assumptions!$H$5:$H$9,MATCH(G93,Assumptions!$G$5:$G$9,0)),INDEX(Assumptions!$K$5:$K$13,MATCH(G93,Assumptions!$J$5:$J$13,0))))</x:f>
        <x:v>0</x:v>
      </x:c>
      <x:c r="J93" s="12" t="n">
        <x:f>Assumptions!$B$6</x:f>
        <x:v>525</x:v>
      </x:c>
      <x:c r="K93" s="12" t="n">
        <x:f>E93+I93+J93</x:f>
        <x:v>1853</x:v>
      </x:c>
      <x:c r="L93" t="str">
        <x:f>IF(H93="Dual","Dual","Standard")</x:f>
        <x:v>Standard</x:v>
      </x:c>
      <x:c r="M93" s="12" t="n">
        <x:f>IF(L93="Dual",Assumptions!$B$10,Assumptions!$B$9)</x:f>
        <x:v>90</x:v>
      </x:c>
    </x:row>
    <x:row r="94">
      <x:c r="A94" t="str">
        <x:v>R155-Fredericksburg</x:v>
      </x:c>
      <x:c r="B94" t="n">
        <x:v>5</x:v>
      </x:c>
      <x:c r="C94" t="n">
        <x:v>0</x:v>
      </x:c>
      <x:c r="D94" t="n">
        <x:v>0</x:v>
      </x:c>
      <x:c r="E94" s="12" t="n">
        <x:f>INDEX(Assumptions!$E$5:$E$8,MATCH(D94,Assumptions!$D$5:$D$8,0))</x:f>
        <x:v>1328</x:v>
      </x:c>
      <x:c r="F94" t="n">
        <x:v>4</x:v>
      </x:c>
      <x:c r="G94" t="n">
        <x:v>0</x:v>
      </x:c>
      <x:c r="H94" t="str">
        <x:v>Single</x:v>
      </x:c>
      <x:c r="I94" s="12" t="n">
        <x:f>IF(H94="No DT",0,IF(H94="Single",INDEX(Assumptions!$H$5:$H$9,MATCH(G94,Assumptions!$G$5:$G$9,0)),INDEX(Assumptions!$K$5:$K$13,MATCH(G94,Assumptions!$J$5:$J$13,0))))</x:f>
        <x:v>1071</x:v>
      </x:c>
      <x:c r="J94" s="12" t="n">
        <x:f>Assumptions!$B$6</x:f>
        <x:v>525</x:v>
      </x:c>
      <x:c r="K94" s="12" t="n">
        <x:f>E94+I94+J94</x:f>
        <x:v>2924</x:v>
      </x:c>
      <x:c r="L94" t="str">
        <x:f>IF(H94="Dual","Dual","Standard")</x:f>
        <x:v>Standard</x:v>
      </x:c>
      <x:c r="M94" s="12" t="n">
        <x:f>IF(L94="Dual",Assumptions!$B$10,Assumptions!$B$9)</x:f>
        <x:v>90</x:v>
      </x:c>
    </x:row>
    <x:row r="95">
      <x:c r="A95" t="str">
        <x:v>R158-Round Rock</x:v>
      </x:c>
      <x:c r="B95" t="n">
        <x:v>5</x:v>
      </x:c>
      <x:c r="C95" t="n">
        <x:v>0</x:v>
      </x:c>
      <x:c r="D95" t="n">
        <x:v>0</x:v>
      </x:c>
      <x:c r="E95" s="12" t="n">
        <x:f>INDEX(Assumptions!$E$5:$E$8,MATCH(D95,Assumptions!$D$5:$D$8,0))</x:f>
        <x:v>1328</x:v>
      </x:c>
      <x:c r="F95" t="n">
        <x:v>0</x:v>
      </x:c>
      <x:c r="G95" t="n">
        <x:v>4</x:v>
      </x:c>
      <x:c r="H95" t="str">
        <x:v>Single</x:v>
      </x:c>
      <x:c r="I95" s="12" t="n">
        <x:f>IF(H95="No DT",0,IF(H95="Single",INDEX(Assumptions!$H$5:$H$9,MATCH(G95,Assumptions!$G$5:$G$9,0)),INDEX(Assumptions!$K$5:$K$13,MATCH(G95,Assumptions!$J$5:$J$13,0))))</x:f>
        <x:v>4397</x:v>
      </x:c>
      <x:c r="J95" s="12" t="n">
        <x:f>Assumptions!$B$6</x:f>
        <x:v>525</x:v>
      </x:c>
      <x:c r="K95" s="12" t="n">
        <x:f>E95+I95+J95</x:f>
        <x:v>6250</x:v>
      </x:c>
      <x:c r="L95" t="str">
        <x:f>IF(H95="Dual","Dual","Standard")</x:f>
        <x:v>Standard</x:v>
      </x:c>
      <x:c r="M95" s="12" t="n">
        <x:f>IF(L95="Dual",Assumptions!$B$10,Assumptions!$B$9)</x:f>
        <x:v>90</x:v>
      </x:c>
    </x:row>
    <x:row r="96">
      <x:c r="A96" t="str">
        <x:v>R159-Penn Station</x:v>
      </x:c>
      <x:c r="B96" t="n">
        <x:v>6</x:v>
      </x:c>
      <x:c r="C96" t="n">
        <x:v>0</x:v>
      </x:c>
      <x:c r="D96" t="n">
        <x:v>0</x:v>
      </x:c>
      <x:c r="E96" s="12" t="n">
        <x:f>INDEX(Assumptions!$E$5:$E$8,MATCH(D96,Assumptions!$D$5:$D$8,0))</x:f>
        <x:v>1328</x:v>
      </x:c>
      <x:c r="F96" t="n">
        <x:v>0</x:v>
      </x:c>
      <x:c r="G96" t="n">
        <x:v>0</x:v>
      </x:c>
      <x:c r="H96" t="str">
        <x:v>No DT</x:v>
      </x:c>
      <x:c r="I96" s="12" t="n">
        <x:f>IF(H96="No DT",0,IF(H96="Single",INDEX(Assumptions!$H$5:$H$9,MATCH(G96,Assumptions!$G$5:$G$9,0)),INDEX(Assumptions!$K$5:$K$13,MATCH(G96,Assumptions!$J$5:$J$13,0))))</x:f>
        <x:v>0</x:v>
      </x:c>
      <x:c r="J96" s="12" t="n">
        <x:f>Assumptions!$B$6</x:f>
        <x:v>525</x:v>
      </x:c>
      <x:c r="K96" s="12" t="n">
        <x:f>E96+I96+J96</x:f>
        <x:v>1853</x:v>
      </x:c>
      <x:c r="L96" t="str">
        <x:f>IF(H96="Dual","Dual","Standard")</x:f>
        <x:v>Standard</x:v>
      </x:c>
      <x:c r="M96" s="12" t="n">
        <x:f>IF(L96="Dual",Assumptions!$B$10,Assumptions!$B$9)</x:f>
        <x:v>90</x:v>
      </x:c>
    </x:row>
    <x:row r="97">
      <x:c r="A97" t="str">
        <x:v>R160-Chicago - River North</x:v>
      </x:c>
      <x:c r="B97" t="n">
        <x:v>5</x:v>
      </x:c>
      <x:c r="C97" t="n">
        <x:v>0</x:v>
      </x:c>
      <x:c r="D97" t="n">
        <x:v>0</x:v>
      </x:c>
      <x:c r="E97" s="12" t="n">
        <x:f>INDEX(Assumptions!$E$5:$E$8,MATCH(D97,Assumptions!$D$5:$D$8,0))</x:f>
        <x:v>1328</x:v>
      </x:c>
      <x:c r="F97" t="n">
        <x:v>0</x:v>
      </x:c>
      <x:c r="G97" t="n">
        <x:v>0</x:v>
      </x:c>
      <x:c r="H97" t="str">
        <x:v>No DT</x:v>
      </x:c>
      <x:c r="I97" s="12" t="n">
        <x:f>IF(H97="No DT",0,IF(H97="Single",INDEX(Assumptions!$H$5:$H$9,MATCH(G97,Assumptions!$G$5:$G$9,0)),INDEX(Assumptions!$K$5:$K$13,MATCH(G97,Assumptions!$J$5:$J$13,0))))</x:f>
        <x:v>0</x:v>
      </x:c>
      <x:c r="J97" s="12" t="n">
        <x:f>Assumptions!$B$6</x:f>
        <x:v>525</x:v>
      </x:c>
      <x:c r="K97" s="12" t="n">
        <x:f>E97+I97+J97</x:f>
        <x:v>1853</x:v>
      </x:c>
      <x:c r="L97" t="str">
        <x:f>IF(H97="Dual","Dual","Standard")</x:f>
        <x:v>Standard</x:v>
      </x:c>
      <x:c r="M97" s="12" t="n">
        <x:f>IF(L97="Dual",Assumptions!$B$10,Assumptions!$B$9)</x:f>
        <x:v>90</x:v>
      </x:c>
    </x:row>
    <x:row r="98">
      <x:c r="A98" t="str">
        <x:v>R161-Melrose Park</x:v>
      </x:c>
      <x:c r="B98" t="n">
        <x:v>5</x:v>
      </x:c>
      <x:c r="C98" t="n">
        <x:v>0</x:v>
      </x:c>
      <x:c r="D98" t="n">
        <x:v>0</x:v>
      </x:c>
      <x:c r="E98" s="12" t="n">
        <x:f>INDEX(Assumptions!$E$5:$E$8,MATCH(D98,Assumptions!$D$5:$D$8,0))</x:f>
        <x:v>1328</x:v>
      </x:c>
      <x:c r="F98" t="n">
        <x:v>0</x:v>
      </x:c>
      <x:c r="G98" t="n">
        <x:v>8</x:v>
      </x:c>
      <x:c r="H98" t="str">
        <x:v>Dual</x:v>
      </x:c>
      <x:c r="I98" s="12" t="n">
        <x:f>IF(H98="No DT",0,IF(H98="Single",INDEX(Assumptions!$H$5:$H$9,MATCH(G98,Assumptions!$G$5:$G$9,0)),INDEX(Assumptions!$K$5:$K$13,MATCH(G98,Assumptions!$J$5:$J$13,0))))</x:f>
        <x:v>8251</x:v>
      </x:c>
      <x:c r="J98" s="12" t="n">
        <x:f>Assumptions!$B$6</x:f>
        <x:v>525</x:v>
      </x:c>
      <x:c r="K98" s="12" t="n">
        <x:f>E98+I98+J98</x:f>
        <x:v>10104</x:v>
      </x:c>
      <x:c r="L98" t="str">
        <x:f>IF(H98="Dual","Dual","Standard")</x:f>
        <x:v>Dual</x:v>
      </x:c>
      <x:c r="M98" s="12" t="n">
        <x:f>IF(L98="Dual",Assumptions!$B$10,Assumptions!$B$9)</x:f>
        <x:v>120</x:v>
      </x:c>
    </x:row>
    <x:row r="99">
      <x:c r="A99" t="str">
        <x:v>R162-Marquette Park</x:v>
      </x:c>
      <x:c r="B99" t="n">
        <x:v>5</x:v>
      </x:c>
      <x:c r="C99" t="n">
        <x:v>0</x:v>
      </x:c>
      <x:c r="D99" t="n">
        <x:v>0</x:v>
      </x:c>
      <x:c r="E99" s="12" t="n">
        <x:f>INDEX(Assumptions!$E$5:$E$8,MATCH(D99,Assumptions!$D$5:$D$8,0))</x:f>
        <x:v>1328</x:v>
      </x:c>
      <x:c r="F99" t="n">
        <x:v>4</x:v>
      </x:c>
      <x:c r="G99" t="n">
        <x:v>0</x:v>
      </x:c>
      <x:c r="H99" t="str">
        <x:v>Single</x:v>
      </x:c>
      <x:c r="I99" s="12" t="n">
        <x:f>IF(H99="No DT",0,IF(H99="Single",INDEX(Assumptions!$H$5:$H$9,MATCH(G99,Assumptions!$G$5:$G$9,0)),INDEX(Assumptions!$K$5:$K$13,MATCH(G99,Assumptions!$J$5:$J$13,0))))</x:f>
        <x:v>1071</x:v>
      </x:c>
      <x:c r="J99" s="12" t="n">
        <x:f>Assumptions!$B$6</x:f>
        <x:v>525</x:v>
      </x:c>
      <x:c r="K99" s="12" t="n">
        <x:f>E99+I99+J99</x:f>
        <x:v>2924</x:v>
      </x:c>
      <x:c r="L99" t="str">
        <x:f>IF(H99="Dual","Dual","Standard")</x:f>
        <x:v>Standard</x:v>
      </x:c>
      <x:c r="M99" s="12" t="n">
        <x:f>IF(L99="Dual",Assumptions!$B$10,Assumptions!$B$9)</x:f>
        <x:v>90</x:v>
      </x:c>
    </x:row>
    <x:row r="100">
      <x:c r="A100" t="str">
        <x:v>R168-Echo Park</x:v>
      </x:c>
      <x:c r="B100" t="n">
        <x:v>5</x:v>
      </x:c>
      <x:c r="C100" t="n">
        <x:v>0</x:v>
      </x:c>
      <x:c r="D100" t="n">
        <x:v>0</x:v>
      </x:c>
      <x:c r="E100" s="12" t="n">
        <x:f>INDEX(Assumptions!$E$5:$E$8,MATCH(D100,Assumptions!$D$5:$D$8,0))</x:f>
        <x:v>1328</x:v>
      </x:c>
      <x:c r="F100" t="n">
        <x:v>4</x:v>
      </x:c>
      <x:c r="G100" t="n">
        <x:v>0</x:v>
      </x:c>
      <x:c r="H100" t="str">
        <x:v>Single</x:v>
      </x:c>
      <x:c r="I100" s="12" t="n">
        <x:f>IF(H100="No DT",0,IF(H100="Single",INDEX(Assumptions!$H$5:$H$9,MATCH(G100,Assumptions!$G$5:$G$9,0)),INDEX(Assumptions!$K$5:$K$13,MATCH(G100,Assumptions!$J$5:$J$13,0))))</x:f>
        <x:v>1071</x:v>
      </x:c>
      <x:c r="J100" s="12" t="n">
        <x:f>Assumptions!$B$6</x:f>
        <x:v>525</x:v>
      </x:c>
      <x:c r="K100" s="12" t="n">
        <x:f>E100+I100+J100</x:f>
        <x:v>2924</x:v>
      </x:c>
      <x:c r="L100" t="str">
        <x:f>IF(H100="Dual","Dual","Standard")</x:f>
        <x:v>Standard</x:v>
      </x:c>
      <x:c r="M100" s="12" t="n">
        <x:f>IF(L100="Dual",Assumptions!$B$10,Assumptions!$B$9)</x:f>
        <x:v>90</x:v>
      </x:c>
    </x:row>
    <x:row r="101">
      <x:c r="A101" t="str">
        <x:v>R170-Orlando (Landstar)</x:v>
      </x:c>
      <x:c r="B101" t="n">
        <x:v>5</x:v>
      </x:c>
      <x:c r="C101" t="n">
        <x:v>0</x:v>
      </x:c>
      <x:c r="D101" t="n">
        <x:v>0</x:v>
      </x:c>
      <x:c r="E101" s="12" t="n">
        <x:f>INDEX(Assumptions!$E$5:$E$8,MATCH(D101,Assumptions!$D$5:$D$8,0))</x:f>
        <x:v>1328</x:v>
      </x:c>
      <x:c r="F101" t="n">
        <x:v>0</x:v>
      </x:c>
      <x:c r="G101" t="n">
        <x:v>3</x:v>
      </x:c>
      <x:c r="H101" t="str">
        <x:v>Single</x:v>
      </x:c>
      <x:c r="I101" s="12" t="n">
        <x:f>IF(H101="No DT",0,IF(H101="Single",INDEX(Assumptions!$H$5:$H$9,MATCH(G101,Assumptions!$G$5:$G$9,0)),INDEX(Assumptions!$K$5:$K$13,MATCH(G101,Assumptions!$J$5:$J$13,0))))</x:f>
        <x:v>3565</x:v>
      </x:c>
      <x:c r="J101" s="12" t="n">
        <x:f>Assumptions!$B$6</x:f>
        <x:v>525</x:v>
      </x:c>
      <x:c r="K101" s="12" t="n">
        <x:f>E101+I101+J101</x:f>
        <x:v>5418</x:v>
      </x:c>
      <x:c r="L101" t="str">
        <x:f>IF(H101="Dual","Dual","Standard")</x:f>
        <x:v>Standard</x:v>
      </x:c>
      <x:c r="M101" s="12" t="n">
        <x:f>IF(L101="Dual",Assumptions!$B$10,Assumptions!$B$9)</x:f>
        <x:v>90</x:v>
      </x:c>
    </x:row>
    <x:row r="102">
      <x:c r="A102" t="str">
        <x:v>R171-Orlando (St. Cloud)</x:v>
      </x:c>
      <x:c r="B102" t="n">
        <x:v>5</x:v>
      </x:c>
      <x:c r="C102" t="n">
        <x:v>0</x:v>
      </x:c>
      <x:c r="D102" t="n">
        <x:v>0</x:v>
      </x:c>
      <x:c r="E102" s="12" t="n">
        <x:f>INDEX(Assumptions!$E$5:$E$8,MATCH(D102,Assumptions!$D$5:$D$8,0))</x:f>
        <x:v>1328</x:v>
      </x:c>
      <x:c r="F102" t="n">
        <x:v>0</x:v>
      </x:c>
      <x:c r="G102" t="n">
        <x:v>4</x:v>
      </x:c>
      <x:c r="H102" t="str">
        <x:v>Single</x:v>
      </x:c>
      <x:c r="I102" s="12" t="n">
        <x:f>IF(H102="No DT",0,IF(H102="Single",INDEX(Assumptions!$H$5:$H$9,MATCH(G102,Assumptions!$G$5:$G$9,0)),INDEX(Assumptions!$K$5:$K$13,MATCH(G102,Assumptions!$J$5:$J$13,0))))</x:f>
        <x:v>4397</x:v>
      </x:c>
      <x:c r="J102" s="12" t="n">
        <x:f>Assumptions!$B$6</x:f>
        <x:v>525</x:v>
      </x:c>
      <x:c r="K102" s="12" t="n">
        <x:f>E102+I102+J102</x:f>
        <x:v>6250</x:v>
      </x:c>
      <x:c r="L102" t="str">
        <x:f>IF(H102="Dual","Dual","Standard")</x:f>
        <x:v>Standard</x:v>
      </x:c>
      <x:c r="M102" s="12" t="n">
        <x:f>IF(L102="Dual",Assumptions!$B$10,Assumptions!$B$9)</x:f>
        <x:v>90</x:v>
      </x:c>
    </x:row>
    <x:row r="103">
      <x:c r="A103" t="str">
        <x:v>R172-Orlando (SoDo)</x:v>
      </x:c>
      <x:c r="B103" t="n">
        <x:v>5</x:v>
      </x:c>
      <x:c r="C103" t="n">
        <x:v>0</x:v>
      </x:c>
      <x:c r="D103" t="n">
        <x:v>0</x:v>
      </x:c>
      <x:c r="E103" s="12" t="n">
        <x:f>INDEX(Assumptions!$E$5:$E$8,MATCH(D103,Assumptions!$D$5:$D$8,0))</x:f>
        <x:v>1328</x:v>
      </x:c>
      <x:c r="F103" t="n">
        <x:v>0</x:v>
      </x:c>
      <x:c r="G103" t="n">
        <x:v>4</x:v>
      </x:c>
      <x:c r="H103" t="str">
        <x:v>Single</x:v>
      </x:c>
      <x:c r="I103" s="12" t="n">
        <x:f>IF(H103="No DT",0,IF(H103="Single",INDEX(Assumptions!$H$5:$H$9,MATCH(G103,Assumptions!$G$5:$G$9,0)),INDEX(Assumptions!$K$5:$K$13,MATCH(G103,Assumptions!$J$5:$J$13,0))))</x:f>
        <x:v>4397</x:v>
      </x:c>
      <x:c r="J103" s="12" t="n">
        <x:f>Assumptions!$B$6</x:f>
        <x:v>525</x:v>
      </x:c>
      <x:c r="K103" s="12" t="n">
        <x:f>E103+I103+J103</x:f>
        <x:v>6250</x:v>
      </x:c>
      <x:c r="L103" t="str">
        <x:f>IF(H103="Dual","Dual","Standard")</x:f>
        <x:v>Standard</x:v>
      </x:c>
      <x:c r="M103" s="12" t="n">
        <x:f>IF(L103="Dual",Assumptions!$B$10,Assumptions!$B$9)</x:f>
        <x:v>90</x:v>
      </x:c>
    </x:row>
    <x:row r="104">
      <x:c r="A104" t="str">
        <x:v>R174-Orlando (Vista Palms)</x:v>
      </x:c>
      <x:c r="B104" t="n">
        <x:v>4</x:v>
      </x:c>
      <x:c r="C104" t="n">
        <x:v>1</x:v>
      </x:c>
      <x:c r="D104" t="n">
        <x:v>1</x:v>
      </x:c>
      <x:c r="E104" s="12" t="n">
        <x:f>INDEX(Assumptions!$E$5:$E$8,MATCH(D104,Assumptions!$D$5:$D$8,0))</x:f>
        <x:v>2980</x:v>
      </x:c>
      <x:c r="F104" t="n">
        <x:v>0</x:v>
      </x:c>
      <x:c r="G104" t="n">
        <x:v>4</x:v>
      </x:c>
      <x:c r="H104" t="str">
        <x:v>Single</x:v>
      </x:c>
      <x:c r="I104" s="12" t="n">
        <x:f>IF(H104="No DT",0,IF(H104="Single",INDEX(Assumptions!$H$5:$H$9,MATCH(G104,Assumptions!$G$5:$G$9,0)),INDEX(Assumptions!$K$5:$K$13,MATCH(G104,Assumptions!$J$5:$J$13,0))))</x:f>
        <x:v>4397</x:v>
      </x:c>
      <x:c r="J104" s="12" t="n">
        <x:f>Assumptions!$B$6</x:f>
        <x:v>525</x:v>
      </x:c>
      <x:c r="K104" s="12" t="n">
        <x:f>E104+I104+J104</x:f>
        <x:v>7902</x:v>
      </x:c>
      <x:c r="L104" t="str">
        <x:f>IF(H104="Dual","Dual","Standard")</x:f>
        <x:v>Standard</x:v>
      </x:c>
      <x:c r="M104" s="12" t="n">
        <x:f>IF(L104="Dual",Assumptions!$B$10,Assumptions!$B$9)</x:f>
        <x:v>90</x:v>
      </x:c>
    </x:row>
    <x:row r="105">
      <x:c r="A105" t="str">
        <x:v>R175-Doral</x:v>
      </x:c>
      <x:c r="B105" t="n">
        <x:v>5</x:v>
      </x:c>
      <x:c r="C105" t="n">
        <x:v>0</x:v>
      </x:c>
      <x:c r="D105" t="n">
        <x:v>0</x:v>
      </x:c>
      <x:c r="E105" s="12" t="n">
        <x:f>INDEX(Assumptions!$E$5:$E$8,MATCH(D105,Assumptions!$D$5:$D$8,0))</x:f>
        <x:v>1328</x:v>
      </x:c>
      <x:c r="F105" t="n">
        <x:v>0</x:v>
      </x:c>
      <x:c r="G105" t="n">
        <x:v>4</x:v>
      </x:c>
      <x:c r="H105" t="str">
        <x:v>Single</x:v>
      </x:c>
      <x:c r="I105" s="12" t="n">
        <x:f>IF(H105="No DT",0,IF(H105="Single",INDEX(Assumptions!$H$5:$H$9,MATCH(G105,Assumptions!$G$5:$G$9,0)),INDEX(Assumptions!$K$5:$K$13,MATCH(G105,Assumptions!$J$5:$J$13,0))))</x:f>
        <x:v>4397</x:v>
      </x:c>
      <x:c r="J105" s="12" t="n">
        <x:f>Assumptions!$B$6</x:f>
        <x:v>525</x:v>
      </x:c>
      <x:c r="K105" s="12" t="n">
        <x:f>E105+I105+J105</x:f>
        <x:v>6250</x:v>
      </x:c>
      <x:c r="L105" t="str">
        <x:f>IF(H105="Dual","Dual","Standard")</x:f>
        <x:v>Standard</x:v>
      </x:c>
      <x:c r="M105" s="12" t="n">
        <x:f>IF(L105="Dual",Assumptions!$B$10,Assumptions!$B$9)</x:f>
        <x:v>90</x:v>
      </x:c>
    </x:row>
    <x:row r="106">
      <x:c r="A106" t="str">
        <x:v>R177-Tampa (Waters Ave)</x:v>
      </x:c>
      <x:c r="B106" t="n">
        <x:v>5</x:v>
      </x:c>
      <x:c r="C106" t="n">
        <x:v>0</x:v>
      </x:c>
      <x:c r="D106" t="n">
        <x:v>0</x:v>
      </x:c>
      <x:c r="E106" s="12" t="n">
        <x:f>INDEX(Assumptions!$E$5:$E$8,MATCH(D106,Assumptions!$D$5:$D$8,0))</x:f>
        <x:v>1328</x:v>
      </x:c>
      <x:c r="F106" t="n">
        <x:v>1</x:v>
      </x:c>
      <x:c r="G106" t="n">
        <x:v>3</x:v>
      </x:c>
      <x:c r="H106" t="str">
        <x:v>Single</x:v>
      </x:c>
      <x:c r="I106" s="12" t="n">
        <x:f>IF(H106="No DT",0,IF(H106="Single",INDEX(Assumptions!$H$5:$H$9,MATCH(G106,Assumptions!$G$5:$G$9,0)),INDEX(Assumptions!$K$5:$K$13,MATCH(G106,Assumptions!$J$5:$J$13,0))))</x:f>
        <x:v>3565</x:v>
      </x:c>
      <x:c r="J106" s="12" t="n">
        <x:f>Assumptions!$B$6</x:f>
        <x:v>525</x:v>
      </x:c>
      <x:c r="K106" s="12" t="n">
        <x:f>E106+I106+J106</x:f>
        <x:v>5418</x:v>
      </x:c>
      <x:c r="L106" t="str">
        <x:f>IF(H106="Dual","Dual","Standard")</x:f>
        <x:v>Standard</x:v>
      </x:c>
      <x:c r="M106" s="12" t="n">
        <x:f>IF(L106="Dual",Assumptions!$B$10,Assumptions!$B$9)</x:f>
        <x:v>90</x:v>
      </x:c>
    </x:row>
    <x:row r="107">
      <x:c r="A107" t="str">
        <x:v>R178-Annapolis Mall</x:v>
      </x:c>
      <x:c r="B107" t="n">
        <x:v>5</x:v>
      </x:c>
      <x:c r="C107" t="n">
        <x:v>0</x:v>
      </x:c>
      <x:c r="D107" t="n">
        <x:v>0</x:v>
      </x:c>
      <x:c r="E107" s="12" t="n">
        <x:f>INDEX(Assumptions!$E$5:$E$8,MATCH(D107,Assumptions!$D$5:$D$8,0))</x:f>
        <x:v>1328</x:v>
      </x:c>
      <x:c r="F107" t="n">
        <x:v>4</x:v>
      </x:c>
      <x:c r="G107" t="n">
        <x:v>0</x:v>
      </x:c>
      <x:c r="H107" t="str">
        <x:v>Single</x:v>
      </x:c>
      <x:c r="I107" s="12" t="n">
        <x:f>IF(H107="No DT",0,IF(H107="Single",INDEX(Assumptions!$H$5:$H$9,MATCH(G107,Assumptions!$G$5:$G$9,0)),INDEX(Assumptions!$K$5:$K$13,MATCH(G107,Assumptions!$J$5:$J$13,0))))</x:f>
        <x:v>1071</x:v>
      </x:c>
      <x:c r="J107" s="12" t="n">
        <x:f>Assumptions!$B$6</x:f>
        <x:v>525</x:v>
      </x:c>
      <x:c r="K107" s="12" t="n">
        <x:f>E107+I107+J107</x:f>
        <x:v>2924</x:v>
      </x:c>
      <x:c r="L107" t="str">
        <x:f>IF(H107="Dual","Dual","Standard")</x:f>
        <x:v>Standard</x:v>
      </x:c>
      <x:c r="M107" s="12" t="n">
        <x:f>IF(L107="Dual",Assumptions!$B$10,Assumptions!$B$9)</x:f>
        <x:v>90</x:v>
      </x:c>
    </x:row>
    <x:row r="108">
      <x:c r="A108" t="str">
        <x:v>R186-Houston (Copperfield)</x:v>
      </x:c>
      <x:c r="B108" t="n">
        <x:v>5</x:v>
      </x:c>
      <x:c r="C108" t="n">
        <x:v>0</x:v>
      </x:c>
      <x:c r="D108" t="n">
        <x:v>0</x:v>
      </x:c>
      <x:c r="E108" s="12" t="n">
        <x:f>INDEX(Assumptions!$E$5:$E$8,MATCH(D108,Assumptions!$D$5:$D$8,0))</x:f>
        <x:v>1328</x:v>
      </x:c>
      <x:c r="F108" t="n">
        <x:v>0</x:v>
      </x:c>
      <x:c r="G108" t="n">
        <x:v>4</x:v>
      </x:c>
      <x:c r="H108" t="str">
        <x:v>Single</x:v>
      </x:c>
      <x:c r="I108" s="12" t="n">
        <x:f>IF(H108="No DT",0,IF(H108="Single",INDEX(Assumptions!$H$5:$H$9,MATCH(G108,Assumptions!$G$5:$G$9,0)),INDEX(Assumptions!$K$5:$K$13,MATCH(G108,Assumptions!$J$5:$J$13,0))))</x:f>
        <x:v>4397</x:v>
      </x:c>
      <x:c r="J108" s="12" t="n">
        <x:f>Assumptions!$B$6</x:f>
        <x:v>525</x:v>
      </x:c>
      <x:c r="K108" s="12" t="n">
        <x:f>E108+I108+J108</x:f>
        <x:v>6250</x:v>
      </x:c>
      <x:c r="L108" t="str">
        <x:f>IF(H108="Dual","Dual","Standard")</x:f>
        <x:v>Standard</x:v>
      </x:c>
      <x:c r="M108" s="12" t="n">
        <x:f>IF(L108="Dual",Assumptions!$B$10,Assumptions!$B$9)</x:f>
        <x:v>90</x:v>
      </x:c>
    </x:row>
    <x:row r="109">
      <x:c r="A109" t="str">
        <x:v>R189-Pulaski/Albany</x:v>
      </x:c>
      <x:c r="B109" t="n">
        <x:v>7</x:v>
      </x:c>
      <x:c r="C109" t="n">
        <x:v>0</x:v>
      </x:c>
      <x:c r="D109" t="n">
        <x:v>0</x:v>
      </x:c>
      <x:c r="E109" s="12" t="n">
        <x:f>INDEX(Assumptions!$E$5:$E$8,MATCH(D109,Assumptions!$D$5:$D$8,0))</x:f>
        <x:v>1328</x:v>
      </x:c>
      <x:c r="F109" t="n">
        <x:v>0</x:v>
      </x:c>
      <x:c r="G109" t="n">
        <x:v>0</x:v>
      </x:c>
      <x:c r="H109" t="str">
        <x:v>No DT</x:v>
      </x:c>
      <x:c r="I109" s="12" t="n">
        <x:f>IF(H109="No DT",0,IF(H109="Single",INDEX(Assumptions!$H$5:$H$9,MATCH(G109,Assumptions!$G$5:$G$9,0)),INDEX(Assumptions!$K$5:$K$13,MATCH(G109,Assumptions!$J$5:$J$13,0))))</x:f>
        <x:v>0</x:v>
      </x:c>
      <x:c r="J109" s="12" t="n">
        <x:f>Assumptions!$B$6</x:f>
        <x:v>525</x:v>
      </x:c>
      <x:c r="K109" s="12" t="n">
        <x:f>E109+I109+J109</x:f>
        <x:v>1853</x:v>
      </x:c>
      <x:c r="L109" t="str">
        <x:f>IF(H109="Dual","Dual","Standard")</x:f>
        <x:v>Standard</x:v>
      </x:c>
      <x:c r="M109" s="12" t="n">
        <x:f>IF(L109="Dual",Assumptions!$B$10,Assumptions!$B$9)</x:f>
        <x:v>90</x:v>
      </x:c>
    </x:row>
    <x:row r="110">
      <x:c r="A110" t="str">
        <x:v>R190-6th Ave &amp; West 35th Street
(Herald Square)</x:v>
      </x:c>
      <x:c r="B110" t="n">
        <x:v>6</x:v>
      </x:c>
      <x:c r="C110" t="n">
        <x:v>0</x:v>
      </x:c>
      <x:c r="D110" t="n">
        <x:v>0</x:v>
      </x:c>
      <x:c r="E110" s="12" t="n">
        <x:f>INDEX(Assumptions!$E$5:$E$8,MATCH(D110,Assumptions!$D$5:$D$8,0))</x:f>
        <x:v>1328</x:v>
      </x:c>
      <x:c r="F110" t="n">
        <x:v>0</x:v>
      </x:c>
      <x:c r="G110" t="n">
        <x:v>0</x:v>
      </x:c>
      <x:c r="H110" t="str">
        <x:v>No DT</x:v>
      </x:c>
      <x:c r="I110" s="12" t="n">
        <x:f>IF(H110="No DT",0,IF(H110="Single",INDEX(Assumptions!$H$5:$H$9,MATCH(G110,Assumptions!$G$5:$G$9,0)),INDEX(Assumptions!$K$5:$K$13,MATCH(G110,Assumptions!$J$5:$J$13,0))))</x:f>
        <x:v>0</x:v>
      </x:c>
      <x:c r="J110" s="12" t="n">
        <x:f>Assumptions!$B$6</x:f>
        <x:v>525</x:v>
      </x:c>
      <x:c r="K110" s="12" t="n">
        <x:f>E110+I110+J110</x:f>
        <x:v>1853</x:v>
      </x:c>
      <x:c r="L110" t="str">
        <x:f>IF(H110="Dual","Dual","Standard")</x:f>
        <x:v>Standard</x:v>
      </x:c>
      <x:c r="M110" s="12" t="n">
        <x:f>IF(L110="Dual",Assumptions!$B$10,Assumptions!$B$9)</x:f>
        <x:v>90</x:v>
      </x:c>
    </x:row>
    <x:row r="111">
      <x:c r="A111" t="str">
        <x:v>R191-Midtown East</x:v>
      </x:c>
      <x:c r="B111" t="n">
        <x:v>5</x:v>
      </x:c>
      <x:c r="C111" t="n">
        <x:v>0</x:v>
      </x:c>
      <x:c r="D111" t="n">
        <x:v>0</x:v>
      </x:c>
      <x:c r="E111" s="12" t="n">
        <x:f>INDEX(Assumptions!$E$5:$E$8,MATCH(D111,Assumptions!$D$5:$D$8,0))</x:f>
        <x:v>1328</x:v>
      </x:c>
      <x:c r="F111" t="n">
        <x:v>0</x:v>
      </x:c>
      <x:c r="G111" t="n">
        <x:v>0</x:v>
      </x:c>
      <x:c r="H111" t="str">
        <x:v>No DT</x:v>
      </x:c>
      <x:c r="I111" s="12" t="n">
        <x:f>IF(H111="No DT",0,IF(H111="Single",INDEX(Assumptions!$H$5:$H$9,MATCH(G111,Assumptions!$G$5:$G$9,0)),INDEX(Assumptions!$K$5:$K$13,MATCH(G111,Assumptions!$J$5:$J$13,0))))</x:f>
        <x:v>0</x:v>
      </x:c>
      <x:c r="J111" s="12" t="n">
        <x:f>Assumptions!$B$6</x:f>
        <x:v>525</x:v>
      </x:c>
      <x:c r="K111" s="12" t="n">
        <x:f>E111+I111+J111</x:f>
        <x:v>1853</x:v>
      </x:c>
      <x:c r="L111" t="str">
        <x:f>IF(H111="Dual","Dual","Standard")</x:f>
        <x:v>Standard</x:v>
      </x:c>
      <x:c r="M111" s="12" t="n">
        <x:f>IF(L111="Dual",Assumptions!$B$10,Assumptions!$B$9)</x:f>
        <x:v>90</x:v>
      </x:c>
    </x:row>
    <x:row r="112">
      <x:c r="A112" t="str">
        <x:v>R194-Amityville</x:v>
      </x:c>
      <x:c r="B112" t="n">
        <x:v>5</x:v>
      </x:c>
      <x:c r="C112" t="n">
        <x:v>0</x:v>
      </x:c>
      <x:c r="D112" t="n">
        <x:v>0</x:v>
      </x:c>
      <x:c r="E112" s="12" t="n">
        <x:f>INDEX(Assumptions!$E$5:$E$8,MATCH(D112,Assumptions!$D$5:$D$8,0))</x:f>
        <x:v>1328</x:v>
      </x:c>
      <x:c r="F112" t="n">
        <x:v>4</x:v>
      </x:c>
      <x:c r="G112" t="n">
        <x:v>0</x:v>
      </x:c>
      <x:c r="H112" t="str">
        <x:v>Single</x:v>
      </x:c>
      <x:c r="I112" s="12" t="n">
        <x:f>IF(H112="No DT",0,IF(H112="Single",INDEX(Assumptions!$H$5:$H$9,MATCH(G112,Assumptions!$G$5:$G$9,0)),INDEX(Assumptions!$K$5:$K$13,MATCH(G112,Assumptions!$J$5:$J$13,0))))</x:f>
        <x:v>1071</x:v>
      </x:c>
      <x:c r="J112" s="12" t="n">
        <x:f>Assumptions!$B$6</x:f>
        <x:v>525</x:v>
      </x:c>
      <x:c r="K112" s="12" t="n">
        <x:f>E112+I112+J112</x:f>
        <x:v>2924</x:v>
      </x:c>
      <x:c r="L112" t="str">
        <x:f>IF(H112="Dual","Dual","Standard")</x:f>
        <x:v>Standard</x:v>
      </x:c>
      <x:c r="M112" s="12" t="n">
        <x:f>IF(L112="Dual",Assumptions!$B$10,Assumptions!$B$9)</x:f>
        <x:v>90</x:v>
      </x:c>
    </x:row>
    <x:row r="113">
      <x:c r="A113" t="str">
        <x:v>R195-Merrick</x:v>
      </x:c>
      <x:c r="B113" t="n">
        <x:v>5</x:v>
      </x:c>
      <x:c r="C113" t="n">
        <x:v>0</x:v>
      </x:c>
      <x:c r="D113" t="n">
        <x:v>0</x:v>
      </x:c>
      <x:c r="E113" s="12" t="n">
        <x:f>INDEX(Assumptions!$E$5:$E$8,MATCH(D113,Assumptions!$D$5:$D$8,0))</x:f>
        <x:v>1328</x:v>
      </x:c>
      <x:c r="F113" t="n">
        <x:v>0</x:v>
      </x:c>
      <x:c r="G113" t="n">
        <x:v>1</x:v>
      </x:c>
      <x:c r="H113" t="str">
        <x:v>Single</x:v>
      </x:c>
      <x:c r="I113" s="12" t="n">
        <x:f>IF(H113="No DT",0,IF(H113="Single",INDEX(Assumptions!$H$5:$H$9,MATCH(G113,Assumptions!$G$5:$G$9,0)),INDEX(Assumptions!$K$5:$K$13,MATCH(G113,Assumptions!$J$5:$J$13,0))))</x:f>
        <x:v>1901</x:v>
      </x:c>
      <x:c r="J113" s="12" t="n">
        <x:f>Assumptions!$B$6</x:f>
        <x:v>525</x:v>
      </x:c>
      <x:c r="K113" s="12" t="n">
        <x:f>E113+I113+J113</x:f>
        <x:v>3754</x:v>
      </x:c>
      <x:c r="L113" t="str">
        <x:f>IF(H113="Dual","Dual","Standard")</x:f>
        <x:v>Standard</x:v>
      </x:c>
      <x:c r="M113" s="12" t="n">
        <x:f>IF(L113="Dual",Assumptions!$B$10,Assumptions!$B$9)</x:f>
        <x:v>90</x:v>
      </x:c>
    </x:row>
    <x:row r="114">
      <x:c r="A114" t="str">
        <x:v>R199-Nottingham</x:v>
      </x:c>
      <x:c r="B114" t="n">
        <x:v>5</x:v>
      </x:c>
      <x:c r="C114" t="n">
        <x:v>0</x:v>
      </x:c>
      <x:c r="D114" t="n">
        <x:v>0</x:v>
      </x:c>
      <x:c r="E114" s="12" t="n">
        <x:f>INDEX(Assumptions!$E$5:$E$8,MATCH(D114,Assumptions!$D$5:$D$8,0))</x:f>
        <x:v>1328</x:v>
      </x:c>
      <x:c r="F114" t="n">
        <x:v>4</x:v>
      </x:c>
      <x:c r="G114" t="n">
        <x:v>0</x:v>
      </x:c>
      <x:c r="H114" t="str">
        <x:v>Single</x:v>
      </x:c>
      <x:c r="I114" s="12" t="n">
        <x:f>IF(H114="No DT",0,IF(H114="Single",INDEX(Assumptions!$H$5:$H$9,MATCH(G114,Assumptions!$G$5:$G$9,0)),INDEX(Assumptions!$K$5:$K$13,MATCH(G114,Assumptions!$J$5:$J$13,0))))</x:f>
        <x:v>1071</x:v>
      </x:c>
      <x:c r="J114" s="12" t="n">
        <x:f>Assumptions!$B$6</x:f>
        <x:v>525</x:v>
      </x:c>
      <x:c r="K114" s="12" t="n">
        <x:f>E114+I114+J114</x:f>
        <x:v>2924</x:v>
      </x:c>
      <x:c r="L114" t="str">
        <x:f>IF(H114="Dual","Dual","Standard")</x:f>
        <x:v>Standard</x:v>
      </x:c>
      <x:c r="M114" s="12" t="n">
        <x:f>IF(L114="Dual",Assumptions!$B$10,Assumptions!$B$9)</x:f>
        <x:v>90</x:v>
      </x:c>
    </x:row>
    <x:row r="115">
      <x:c r="A115" t="str">
        <x:v>R200-Houston 249 (Tomball Parkway)</x:v>
      </x:c>
      <x:c r="B115" t="n">
        <x:v>5</x:v>
      </x:c>
      <x:c r="C115" t="n">
        <x:v>0</x:v>
      </x:c>
      <x:c r="D115" t="n">
        <x:v>0</x:v>
      </x:c>
      <x:c r="E115" s="12" t="n">
        <x:f>INDEX(Assumptions!$E$5:$E$8,MATCH(D115,Assumptions!$D$5:$D$8,0))</x:f>
        <x:v>1328</x:v>
      </x:c>
      <x:c r="F115" t="n">
        <x:v>0</x:v>
      </x:c>
      <x:c r="G115" t="n">
        <x:v>4</x:v>
      </x:c>
      <x:c r="H115" t="str">
        <x:v>Single</x:v>
      </x:c>
      <x:c r="I115" s="12" t="n">
        <x:f>IF(H115="No DT",0,IF(H115="Single",INDEX(Assumptions!$H$5:$H$9,MATCH(G115,Assumptions!$G$5:$G$9,0)),INDEX(Assumptions!$K$5:$K$13,MATCH(G115,Assumptions!$J$5:$J$13,0))))</x:f>
        <x:v>4397</x:v>
      </x:c>
      <x:c r="J115" s="12" t="n">
        <x:f>Assumptions!$B$6</x:f>
        <x:v>525</x:v>
      </x:c>
      <x:c r="K115" s="12" t="n">
        <x:f>E115+I115+J115</x:f>
        <x:v>6250</x:v>
      </x:c>
      <x:c r="L115" t="str">
        <x:f>IF(H115="Dual","Dual","Standard")</x:f>
        <x:v>Standard</x:v>
      </x:c>
      <x:c r="M115" s="12" t="n">
        <x:f>IF(L115="Dual",Assumptions!$B$10,Assumptions!$B$9)</x:f>
        <x:v>90</x:v>
      </x:c>
    </x:row>
    <x:row r="116">
      <x:c r="A116" t="str">
        <x:v>R201-Pompano Beach</x:v>
      </x:c>
      <x:c r="B116" t="n">
        <x:v>5</x:v>
      </x:c>
      <x:c r="C116" t="n">
        <x:v>0</x:v>
      </x:c>
      <x:c r="D116" t="n">
        <x:v>0</x:v>
      </x:c>
      <x:c r="E116" s="12" t="n">
        <x:f>INDEX(Assumptions!$E$5:$E$8,MATCH(D116,Assumptions!$D$5:$D$8,0))</x:f>
        <x:v>1328</x:v>
      </x:c>
      <x:c r="F116" t="n">
        <x:v>0</x:v>
      </x:c>
      <x:c r="G116" t="n">
        <x:v>0</x:v>
      </x:c>
      <x:c r="H116" t="str">
        <x:v>No DT</x:v>
      </x:c>
      <x:c r="I116" s="12" t="n">
        <x:f>IF(H116="No DT",0,IF(H116="Single",INDEX(Assumptions!$H$5:$H$9,MATCH(G116,Assumptions!$G$5:$G$9,0)),INDEX(Assumptions!$K$5:$K$13,MATCH(G116,Assumptions!$J$5:$J$13,0))))</x:f>
        <x:v>0</x:v>
      </x:c>
      <x:c r="J116" s="12" t="n">
        <x:f>Assumptions!$B$6</x:f>
        <x:v>525</x:v>
      </x:c>
      <x:c r="K116" s="12" t="n">
        <x:f>E116+I116+J116</x:f>
        <x:v>1853</x:v>
      </x:c>
      <x:c r="L116" t="str">
        <x:f>IF(H116="Dual","Dual","Standard")</x:f>
        <x:v>Standard</x:v>
      </x:c>
      <x:c r="M116" s="12" t="n">
        <x:f>IF(L116="Dual",Assumptions!$B$10,Assumptions!$B$9)</x:f>
        <x:v>90</x:v>
      </x:c>
    </x:row>
    <x:row r="117">
      <x:c r="A117" t="str">
        <x:v>R203-Fort Worth (Alliance)</x:v>
      </x:c>
      <x:c r="B117" t="n">
        <x:v>5</x:v>
      </x:c>
      <x:c r="C117" t="n">
        <x:v>0</x:v>
      </x:c>
      <x:c r="D117" t="n">
        <x:v>0</x:v>
      </x:c>
      <x:c r="E117" s="12" t="n">
        <x:f>INDEX(Assumptions!$E$5:$E$8,MATCH(D117,Assumptions!$D$5:$D$8,0))</x:f>
        <x:v>1328</x:v>
      </x:c>
      <x:c r="F117" t="n">
        <x:v>0</x:v>
      </x:c>
      <x:c r="G117" t="n">
        <x:v>4</x:v>
      </x:c>
      <x:c r="H117" t="str">
        <x:v>Single</x:v>
      </x:c>
      <x:c r="I117" s="12" t="n">
        <x:f>IF(H117="No DT",0,IF(H117="Single",INDEX(Assumptions!$H$5:$H$9,MATCH(G117,Assumptions!$G$5:$G$9,0)),INDEX(Assumptions!$K$5:$K$13,MATCH(G117,Assumptions!$J$5:$J$13,0))))</x:f>
        <x:v>4397</x:v>
      </x:c>
      <x:c r="J117" s="12" t="n">
        <x:f>Assumptions!$B$6</x:f>
        <x:v>525</x:v>
      </x:c>
      <x:c r="K117" s="12" t="n">
        <x:f>E117+I117+J117</x:f>
        <x:v>6250</x:v>
      </x:c>
      <x:c r="L117" t="str">
        <x:f>IF(H117="Dual","Dual","Standard")</x:f>
        <x:v>Standard</x:v>
      </x:c>
      <x:c r="M117" s="12" t="n">
        <x:f>IF(L117="Dual",Assumptions!$B$10,Assumptions!$B$9)</x:f>
        <x:v>90</x:v>
      </x:c>
    </x:row>
    <x:row r="118">
      <x:c r="A118" t="str">
        <x:v>R206-Waldorf</x:v>
      </x:c>
      <x:c r="B118" t="n">
        <x:v>5</x:v>
      </x:c>
      <x:c r="C118" t="n">
        <x:v>0</x:v>
      </x:c>
      <x:c r="D118" t="n">
        <x:v>0</x:v>
      </x:c>
      <x:c r="E118" s="12" t="n">
        <x:f>INDEX(Assumptions!$E$5:$E$8,MATCH(D118,Assumptions!$D$5:$D$8,0))</x:f>
        <x:v>1328</x:v>
      </x:c>
      <x:c r="F118" t="n">
        <x:v>4</x:v>
      </x:c>
      <x:c r="G118" t="n">
        <x:v>0</x:v>
      </x:c>
      <x:c r="H118" t="str">
        <x:v>Single</x:v>
      </x:c>
      <x:c r="I118" s="12" t="n">
        <x:f>IF(H118="No DT",0,IF(H118="Single",INDEX(Assumptions!$H$5:$H$9,MATCH(G118,Assumptions!$G$5:$G$9,0)),INDEX(Assumptions!$K$5:$K$13,MATCH(G118,Assumptions!$J$5:$J$13,0))))</x:f>
        <x:v>1071</x:v>
      </x:c>
      <x:c r="J118" s="12" t="n">
        <x:f>Assumptions!$B$6</x:f>
        <x:v>525</x:v>
      </x:c>
      <x:c r="K118" s="12" t="n">
        <x:f>E118+I118+J118</x:f>
        <x:v>2924</x:v>
      </x:c>
      <x:c r="L118" t="str">
        <x:f>IF(H118="Dual","Dual","Standard")</x:f>
        <x:v>Standard</x:v>
      </x:c>
      <x:c r="M118" s="12" t="n">
        <x:f>IF(L118="Dual",Assumptions!$B$10,Assumptions!$B$9)</x:f>
        <x:v>90</x:v>
      </x:c>
    </x:row>
    <x:row r="119">
      <x:c r="A119" t="str">
        <x:v>R209-N. Central Expressway</x:v>
      </x:c>
      <x:c r="B119" t="n">
        <x:v>5</x:v>
      </x:c>
      <x:c r="C119" t="n">
        <x:v>0</x:v>
      </x:c>
      <x:c r="D119" t="n">
        <x:v>0</x:v>
      </x:c>
      <x:c r="E119" s="12" t="n">
        <x:f>INDEX(Assumptions!$E$5:$E$8,MATCH(D119,Assumptions!$D$5:$D$8,0))</x:f>
        <x:v>1328</x:v>
      </x:c>
      <x:c r="F119" t="n">
        <x:v>4</x:v>
      </x:c>
      <x:c r="G119" t="n">
        <x:v>0</x:v>
      </x:c>
      <x:c r="H119" t="str">
        <x:v>Single</x:v>
      </x:c>
      <x:c r="I119" s="12" t="n">
        <x:f>IF(H119="No DT",0,IF(H119="Single",INDEX(Assumptions!$H$5:$H$9,MATCH(G119,Assumptions!$G$5:$G$9,0)),INDEX(Assumptions!$K$5:$K$13,MATCH(G119,Assumptions!$J$5:$J$13,0))))</x:f>
        <x:v>1071</x:v>
      </x:c>
      <x:c r="J119" s="12" t="n">
        <x:f>Assumptions!$B$6</x:f>
        <x:v>525</x:v>
      </x:c>
      <x:c r="K119" s="12" t="n">
        <x:f>E119+I119+J119</x:f>
        <x:v>2924</x:v>
      </x:c>
      <x:c r="L119" t="str">
        <x:f>IF(H119="Dual","Dual","Standard")</x:f>
        <x:v>Standard</x:v>
      </x:c>
      <x:c r="M119" s="12" t="n">
        <x:f>IF(L119="Dual",Assumptions!$B$10,Assumptions!$B$9)</x:f>
        <x:v>90</x:v>
      </x:c>
    </x:row>
    <x:row r="120">
      <x:c r="A120" t="str">
        <x:v>R211-EAST PROVIDENCE</x:v>
      </x:c>
      <x:c r="B120" t="n">
        <x:v>5</x:v>
      </x:c>
      <x:c r="C120" t="n">
        <x:v>0</x:v>
      </x:c>
      <x:c r="D120" t="n">
        <x:v>0</x:v>
      </x:c>
      <x:c r="E120" s="12" t="n">
        <x:f>INDEX(Assumptions!$E$5:$E$8,MATCH(D120,Assumptions!$D$5:$D$8,0))</x:f>
        <x:v>1328</x:v>
      </x:c>
      <x:c r="F120" t="n">
        <x:v>4</x:v>
      </x:c>
      <x:c r="G120" t="n">
        <x:v>0</x:v>
      </x:c>
      <x:c r="H120" t="str">
        <x:v>Single</x:v>
      </x:c>
      <x:c r="I120" s="12" t="n">
        <x:f>IF(H120="No DT",0,IF(H120="Single",INDEX(Assumptions!$H$5:$H$9,MATCH(G120,Assumptions!$G$5:$G$9,0)),INDEX(Assumptions!$K$5:$K$13,MATCH(G120,Assumptions!$J$5:$J$13,0))))</x:f>
        <x:v>1071</x:v>
      </x:c>
      <x:c r="J120" s="12" t="n">
        <x:f>Assumptions!$B$6</x:f>
        <x:v>525</x:v>
      </x:c>
      <x:c r="K120" s="12" t="n">
        <x:f>E120+I120+J120</x:f>
        <x:v>2924</x:v>
      </x:c>
      <x:c r="L120" t="str">
        <x:f>IF(H120="Dual","Dual","Standard")</x:f>
        <x:v>Standard</x:v>
      </x:c>
      <x:c r="M120" s="12" t="n">
        <x:f>IF(L120="Dual",Assumptions!$B$10,Assumptions!$B$9)</x:f>
        <x:v>90</x:v>
      </x:c>
    </x:row>
    <x:row r="121">
      <x:c r="A121" t="str">
        <x:v>R214-Huntington Station</x:v>
      </x:c>
      <x:c r="B121" t="n">
        <x:v>5</x:v>
      </x:c>
      <x:c r="C121" t="n">
        <x:v>0</x:v>
      </x:c>
      <x:c r="D121" t="n">
        <x:v>0</x:v>
      </x:c>
      <x:c r="E121" s="12" t="n">
        <x:f>INDEX(Assumptions!$E$5:$E$8,MATCH(D121,Assumptions!$D$5:$D$8,0))</x:f>
        <x:v>1328</x:v>
      </x:c>
      <x:c r="F121" t="n">
        <x:v>0</x:v>
      </x:c>
      <x:c r="G121" t="n">
        <x:v>1</x:v>
      </x:c>
      <x:c r="H121" t="str">
        <x:v>Single</x:v>
      </x:c>
      <x:c r="I121" s="12" t="n">
        <x:f>IF(H121="No DT",0,IF(H121="Single",INDEX(Assumptions!$H$5:$H$9,MATCH(G121,Assumptions!$G$5:$G$9,0)),INDEX(Assumptions!$K$5:$K$13,MATCH(G121,Assumptions!$J$5:$J$13,0))))</x:f>
        <x:v>1901</x:v>
      </x:c>
      <x:c r="J121" s="12" t="n">
        <x:f>Assumptions!$B$6</x:f>
        <x:v>525</x:v>
      </x:c>
      <x:c r="K121" s="12" t="n">
        <x:f>E121+I121+J121</x:f>
        <x:v>3754</x:v>
      </x:c>
      <x:c r="L121" t="str">
        <x:f>IF(H121="Dual","Dual","Standard")</x:f>
        <x:v>Standard</x:v>
      </x:c>
      <x:c r="M121" s="12" t="n">
        <x:f>IF(L121="Dual",Assumptions!$B$10,Assumptions!$B$9)</x:f>
        <x:v>90</x:v>
      </x:c>
    </x:row>
    <x:row r="122">
      <x:c r="A122" t="str">
        <x:v>R216-Vine St</x:v>
      </x:c>
      <x:c r="B122" t="n">
        <x:v>5</x:v>
      </x:c>
      <x:c r="C122" t="n">
        <x:v>0</x:v>
      </x:c>
      <x:c r="D122" t="n">
        <x:v>0</x:v>
      </x:c>
      <x:c r="E122" s="12" t="n">
        <x:f>INDEX(Assumptions!$E$5:$E$8,MATCH(D122,Assumptions!$D$5:$D$8,0))</x:f>
        <x:v>1328</x:v>
      </x:c>
      <x:c r="F122" t="n">
        <x:v>4</x:v>
      </x:c>
      <x:c r="G122" t="n">
        <x:v>0</x:v>
      </x:c>
      <x:c r="H122" t="str">
        <x:v>Single</x:v>
      </x:c>
      <x:c r="I122" s="12" t="n">
        <x:f>IF(H122="No DT",0,IF(H122="Single",INDEX(Assumptions!$H$5:$H$9,MATCH(G122,Assumptions!$G$5:$G$9,0)),INDEX(Assumptions!$K$5:$K$13,MATCH(G122,Assumptions!$J$5:$J$13,0))))</x:f>
        <x:v>1071</x:v>
      </x:c>
      <x:c r="J122" s="12" t="n">
        <x:f>Assumptions!$B$6</x:f>
        <x:v>525</x:v>
      </x:c>
      <x:c r="K122" s="12" t="n">
        <x:f>E122+I122+J122</x:f>
        <x:v>2924</x:v>
      </x:c>
      <x:c r="L122" t="str">
        <x:f>IF(H122="Dual","Dual","Standard")</x:f>
        <x:v>Standard</x:v>
      </x:c>
      <x:c r="M122" s="12" t="n">
        <x:f>IF(L122="Dual",Assumptions!$B$10,Assumptions!$B$9)</x:f>
        <x:v>90</x:v>
      </x:c>
    </x:row>
    <x:row r="123">
      <x:c r="A123" t="str">
        <x:v>R220-Richmond (Midlothian)</x:v>
      </x:c>
      <x:c r="B123" t="n">
        <x:v>5</x:v>
      </x:c>
      <x:c r="C123" t="n">
        <x:v>0</x:v>
      </x:c>
      <x:c r="D123" t="n">
        <x:v>0</x:v>
      </x:c>
      <x:c r="E123" s="12" t="n">
        <x:f>INDEX(Assumptions!$E$5:$E$8,MATCH(D123,Assumptions!$D$5:$D$8,0))</x:f>
        <x:v>1328</x:v>
      </x:c>
      <x:c r="F123" t="n">
        <x:v>4</x:v>
      </x:c>
      <x:c r="G123" t="n">
        <x:v>0</x:v>
      </x:c>
      <x:c r="H123" t="str">
        <x:v>Single</x:v>
      </x:c>
      <x:c r="I123" s="12" t="n">
        <x:f>IF(H123="No DT",0,IF(H123="Single",INDEX(Assumptions!$H$5:$H$9,MATCH(G123,Assumptions!$G$5:$G$9,0)),INDEX(Assumptions!$K$5:$K$13,MATCH(G123,Assumptions!$J$5:$J$13,0))))</x:f>
        <x:v>1071</x:v>
      </x:c>
      <x:c r="J123" s="12" t="n">
        <x:f>Assumptions!$B$6</x:f>
        <x:v>525</x:v>
      </x:c>
      <x:c r="K123" s="12" t="n">
        <x:f>E123+I123+J123</x:f>
        <x:v>2924</x:v>
      </x:c>
      <x:c r="L123" t="str">
        <x:f>IF(H123="Dual","Dual","Standard")</x:f>
        <x:v>Standard</x:v>
      </x:c>
      <x:c r="M123" s="12" t="n">
        <x:f>IF(L123="Dual",Assumptions!$B$10,Assumptions!$B$9)</x:f>
        <x:v>90</x:v>
      </x:c>
    </x:row>
    <x:row r="124">
      <x:c r="A124" t="str">
        <x:v>R222-Columbia (Snowden River)</x:v>
      </x:c>
      <x:c r="B124" t="n">
        <x:v>5</x:v>
      </x:c>
      <x:c r="C124" t="n">
        <x:v>0</x:v>
      </x:c>
      <x:c r="D124" t="n">
        <x:v>0</x:v>
      </x:c>
      <x:c r="E124" s="12" t="n">
        <x:f>INDEX(Assumptions!$E$5:$E$8,MATCH(D124,Assumptions!$D$5:$D$8,0))</x:f>
        <x:v>1328</x:v>
      </x:c>
      <x:c r="F124" t="n">
        <x:v>4</x:v>
      </x:c>
      <x:c r="G124" t="n">
        <x:v>0</x:v>
      </x:c>
      <x:c r="H124" t="str">
        <x:v>Single</x:v>
      </x:c>
      <x:c r="I124" s="12" t="n">
        <x:f>IF(H124="No DT",0,IF(H124="Single",INDEX(Assumptions!$H$5:$H$9,MATCH(G124,Assumptions!$G$5:$G$9,0)),INDEX(Assumptions!$K$5:$K$13,MATCH(G124,Assumptions!$J$5:$J$13,0))))</x:f>
        <x:v>1071</x:v>
      </x:c>
      <x:c r="J124" s="12" t="n">
        <x:f>Assumptions!$B$6</x:f>
        <x:v>525</x:v>
      </x:c>
      <x:c r="K124" s="12" t="n">
        <x:f>E124+I124+J124</x:f>
        <x:v>2924</x:v>
      </x:c>
      <x:c r="L124" t="str">
        <x:f>IF(H124="Dual","Dual","Standard")</x:f>
        <x:v>Standard</x:v>
      </x:c>
      <x:c r="M124" s="12" t="n">
        <x:f>IF(L124="Dual",Assumptions!$B$10,Assumptions!$B$9)</x:f>
        <x:v>90</x:v>
      </x:c>
    </x:row>
    <x:row r="125">
      <x:c r="A125" t="str">
        <x:v>R223-Lawrenceville (Commons)</x:v>
      </x:c>
      <x:c r="B125" t="n">
        <x:v>5</x:v>
      </x:c>
      <x:c r="C125" t="n">
        <x:v>0</x:v>
      </x:c>
      <x:c r="D125" t="n">
        <x:v>0</x:v>
      </x:c>
      <x:c r="E125" s="12" t="n">
        <x:f>INDEX(Assumptions!$E$5:$E$8,MATCH(D125,Assumptions!$D$5:$D$8,0))</x:f>
        <x:v>1328</x:v>
      </x:c>
      <x:c r="F125" t="n">
        <x:v>4</x:v>
      </x:c>
      <x:c r="G125" t="n">
        <x:v>0</x:v>
      </x:c>
      <x:c r="H125" t="str">
        <x:v>Single</x:v>
      </x:c>
      <x:c r="I125" s="12" t="n">
        <x:f>IF(H125="No DT",0,IF(H125="Single",INDEX(Assumptions!$H$5:$H$9,MATCH(G125,Assumptions!$G$5:$G$9,0)),INDEX(Assumptions!$K$5:$K$13,MATCH(G125,Assumptions!$J$5:$J$13,0))))</x:f>
        <x:v>1071</x:v>
      </x:c>
      <x:c r="J125" s="12" t="n">
        <x:f>Assumptions!$B$6</x:f>
        <x:v>525</x:v>
      </x:c>
      <x:c r="K125" s="12" t="n">
        <x:f>E125+I125+J125</x:f>
        <x:v>2924</x:v>
      </x:c>
      <x:c r="L125" t="str">
        <x:f>IF(H125="Dual","Dual","Standard")</x:f>
        <x:v>Standard</x:v>
      </x:c>
      <x:c r="M125" s="12" t="n">
        <x:f>IF(L125="Dual",Assumptions!$B$10,Assumptions!$B$9)</x:f>
        <x:v>90</x:v>
      </x:c>
    </x:row>
    <x:row r="126">
      <x:c r="A126" t="str">
        <x:v>R227-Wheaton Mall</x:v>
      </x:c>
      <x:c r="B126" t="n">
        <x:v>5</x:v>
      </x:c>
      <x:c r="C126" t="n">
        <x:v>0</x:v>
      </x:c>
      <x:c r="D126" t="n">
        <x:v>0</x:v>
      </x:c>
      <x:c r="E126" s="12" t="n">
        <x:f>INDEX(Assumptions!$E$5:$E$8,MATCH(D126,Assumptions!$D$5:$D$8,0))</x:f>
        <x:v>1328</x:v>
      </x:c>
      <x:c r="F126" t="n">
        <x:v>0</x:v>
      </x:c>
      <x:c r="G126" t="n">
        <x:v>0</x:v>
      </x:c>
      <x:c r="H126" t="str">
        <x:v>No DT</x:v>
      </x:c>
      <x:c r="I126" s="12" t="n">
        <x:f>IF(H126="No DT",0,IF(H126="Single",INDEX(Assumptions!$H$5:$H$9,MATCH(G126,Assumptions!$G$5:$G$9,0)),INDEX(Assumptions!$K$5:$K$13,MATCH(G126,Assumptions!$J$5:$J$13,0))))</x:f>
        <x:v>0</x:v>
      </x:c>
      <x:c r="J126" s="12" t="n">
        <x:f>Assumptions!$B$6</x:f>
        <x:v>525</x:v>
      </x:c>
      <x:c r="K126" s="12" t="n">
        <x:f>E126+I126+J126</x:f>
        <x:v>1853</x:v>
      </x:c>
      <x:c r="L126" t="str">
        <x:f>IF(H126="Dual","Dual","Standard")</x:f>
        <x:v>Standard</x:v>
      </x:c>
      <x:c r="M126" s="12" t="n">
        <x:f>IF(L126="Dual",Assumptions!$B$10,Assumptions!$B$9)</x:f>
        <x:v>90</x:v>
      </x:c>
    </x:row>
    <x:row r="127">
      <x:c r="A127" t="str">
        <x:v>R244-MARIETTA (AUSTELL)</x:v>
      </x:c>
      <x:c r="B127" t="n">
        <x:v>5</x:v>
      </x:c>
      <x:c r="C127" t="n">
        <x:v>0</x:v>
      </x:c>
      <x:c r="D127" t="n">
        <x:v>0</x:v>
      </x:c>
      <x:c r="E127" s="12" t="n">
        <x:f>INDEX(Assumptions!$E$5:$E$8,MATCH(D127,Assumptions!$D$5:$D$8,0))</x:f>
        <x:v>1328</x:v>
      </x:c>
      <x:c r="F127" t="n">
        <x:v>0</x:v>
      </x:c>
      <x:c r="G127" t="n">
        <x:v>0</x:v>
      </x:c>
      <x:c r="H127" t="str">
        <x:v>No DT</x:v>
      </x:c>
      <x:c r="I127" s="12" t="n">
        <x:f>IF(H127="No DT",0,IF(H127="Single",INDEX(Assumptions!$H$5:$H$9,MATCH(G127,Assumptions!$G$5:$G$9,0)),INDEX(Assumptions!$K$5:$K$13,MATCH(G127,Assumptions!$J$5:$J$13,0))))</x:f>
        <x:v>0</x:v>
      </x:c>
      <x:c r="J127" s="12" t="n">
        <x:f>Assumptions!$B$6</x:f>
        <x:v>525</x:v>
      </x:c>
      <x:c r="K127" s="12" t="n">
        <x:f>E127+I127+J127</x:f>
        <x:v>1853</x:v>
      </x:c>
      <x:c r="L127" t="str">
        <x:f>IF(H127="Dual","Dual","Standard")</x:f>
        <x:v>Standard</x:v>
      </x:c>
      <x:c r="M127" s="12" t="n">
        <x:f>IF(L127="Dual",Assumptions!$B$10,Assumptions!$B$9)</x:f>
        <x:v>90</x:v>
      </x:c>
    </x:row>
    <x:row r="128">
      <x:c r="A128" t="str">
        <x:v>R245-Fayetteville</x:v>
      </x:c>
      <x:c r="B128" t="n">
        <x:v>5</x:v>
      </x:c>
      <x:c r="C128" t="n">
        <x:v>0</x:v>
      </x:c>
      <x:c r="D128" t="n">
        <x:v>0</x:v>
      </x:c>
      <x:c r="E128" s="12" t="n">
        <x:f>INDEX(Assumptions!$E$5:$E$8,MATCH(D128,Assumptions!$D$5:$D$8,0))</x:f>
        <x:v>1328</x:v>
      </x:c>
      <x:c r="F128" t="n">
        <x:v>4</x:v>
      </x:c>
      <x:c r="G128" t="n">
        <x:v>0</x:v>
      </x:c>
      <x:c r="H128" t="str">
        <x:v>Single</x:v>
      </x:c>
      <x:c r="I128" s="12" t="n">
        <x:f>IF(H128="No DT",0,IF(H128="Single",INDEX(Assumptions!$H$5:$H$9,MATCH(G128,Assumptions!$G$5:$G$9,0)),INDEX(Assumptions!$K$5:$K$13,MATCH(G128,Assumptions!$J$5:$J$13,0))))</x:f>
        <x:v>1071</x:v>
      </x:c>
      <x:c r="J128" s="12" t="n">
        <x:f>Assumptions!$B$6</x:f>
        <x:v>525</x:v>
      </x:c>
      <x:c r="K128" s="12" t="n">
        <x:f>E128+I128+J128</x:f>
        <x:v>2924</x:v>
      </x:c>
      <x:c r="L128" t="str">
        <x:f>IF(H128="Dual","Dual","Standard")</x:f>
        <x:v>Standard</x:v>
      </x:c>
      <x:c r="M128" s="12" t="n">
        <x:f>IF(L128="Dual",Assumptions!$B$10,Assumptions!$B$9)</x:f>
        <x:v>90</x:v>
      </x:c>
    </x:row>
    <x:row r="129">
      <x:c r="A129" t="str">
        <x:v>R247-Irving</x:v>
      </x:c>
      <x:c r="B129" t="n">
        <x:v>5</x:v>
      </x:c>
      <x:c r="C129" t="n">
        <x:v>0</x:v>
      </x:c>
      <x:c r="D129" t="n">
        <x:v>0</x:v>
      </x:c>
      <x:c r="E129" s="12" t="n">
        <x:f>INDEX(Assumptions!$E$5:$E$8,MATCH(D129,Assumptions!$D$5:$D$8,0))</x:f>
        <x:v>1328</x:v>
      </x:c>
      <x:c r="F129" t="n">
        <x:v>4</x:v>
      </x:c>
      <x:c r="G129" t="n">
        <x:v>0</x:v>
      </x:c>
      <x:c r="H129" t="str">
        <x:v>Single</x:v>
      </x:c>
      <x:c r="I129" s="12" t="n">
        <x:f>IF(H129="No DT",0,IF(H129="Single",INDEX(Assumptions!$H$5:$H$9,MATCH(G129,Assumptions!$G$5:$G$9,0)),INDEX(Assumptions!$K$5:$K$13,MATCH(G129,Assumptions!$J$5:$J$13,0))))</x:f>
        <x:v>1071</x:v>
      </x:c>
      <x:c r="J129" s="12" t="n">
        <x:f>Assumptions!$B$6</x:f>
        <x:v>525</x:v>
      </x:c>
      <x:c r="K129" s="12" t="n">
        <x:f>E129+I129+J129</x:f>
        <x:v>2924</x:v>
      </x:c>
      <x:c r="L129" t="str">
        <x:f>IF(H129="Dual","Dual","Standard")</x:f>
        <x:v>Standard</x:v>
      </x:c>
      <x:c r="M129" s="12" t="n">
        <x:f>IF(L129="Dual",Assumptions!$B$10,Assumptions!$B$9)</x:f>
        <x:v>90</x:v>
      </x:c>
    </x:row>
    <x:row r="130">
      <x:c r="A130" s="18" t="str">
        <x:v>TOTAL</x:v>
      </x:c>
      <x:c r="B130" s="18" t="n">
        <x:f>SUM(B5:B129)</x:f>
        <x:v>400</x:v>
      </x:c>
      <x:c r="C130" s="18" t="n">
        <x:f>SUM(C5:C129)</x:f>
        <x:v>196</x:v>
      </x:c>
      <x:c r="D130" s="18" t="n">
        <x:f>SUM(D5:D129)</x:f>
        <x:v>115</x:v>
      </x:c>
      <x:c r="E130" s="19" t="n">
        <x:f>SUM(E5:E129)</x:f>
        <x:v>300988</x:v>
      </x:c>
      <x:c r="F130" s="18" t="n">
        <x:f>SUM(F5:F129)</x:f>
        <x:v>100</x:v>
      </x:c>
      <x:c r="G130" s="18" t="n">
        <x:f>SUM(G5:G129)</x:f>
        <x:v>207</x:v>
      </x:c>
      <x:c r="H130" s="18"/>
      <x:c r="I130" s="19" t="n">
        <x:f>SUM(I5:I129)</x:f>
        <x:v>259906</x:v>
      </x:c>
      <x:c r="J130" s="19" t="n">
        <x:f>SUM(J5:J129)</x:f>
        <x:v>65625</x:v>
      </x:c>
      <x:c r="K130" s="19" t="n">
        <x:f>SUM(K5:K129)</x:f>
        <x:v>626519</x:v>
      </x:c>
      <x:c r="L130" s="18"/>
      <x:c r="M130" s="19" t="n">
        <x:f>SUM(M5:M129)</x:f>
        <x:v>11370</x:v>
      </x:c>
    </x:row>
  </x:sheetData>
  <x:mergeCells>
    <x:mergeCell ref="A2:M2"/>
  </x:mergeCells>
  <x:pageMargins left="0.7" right="0.7" top="0.75" bottom="0.75" header="0.3" footer="0.3"/>
</x:worksheet>
</file>