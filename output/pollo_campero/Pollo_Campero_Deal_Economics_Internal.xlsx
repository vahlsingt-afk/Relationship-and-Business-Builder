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leet Economics" sheetId="3" state="visible" r:id="rId3"/>
    <sheet xmlns:r="http://schemas.openxmlformats.org/officeDocument/2006/relationships" name="Outdoor Mix" sheetId="4" state="visible" r:id="rId4"/>
    <sheet xmlns:r="http://schemas.openxmlformats.org/officeDocument/2006/relationships" name="Sources" sheetId="5" state="visible" r:id="rId5"/>
  </sheets>
  <definedNames>
    <definedName name="_xlnm._FilterDatabase" localSheetId="4" hidden="1">'Sources'!$A$1:$H$10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FFFFFF"/>
    </font>
    <font>
      <name val="Arial"/>
      <color rgb="00008000"/>
      <sz val="10"/>
    </font>
    <font>
      <name val="Arial"/>
      <color rgb="000000FF"/>
      <sz val="10"/>
    </font>
    <font>
      <name val="Arial"/>
      <b val="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4" borderId="1" pivotButton="0" quotePrefix="0" xfId="0"/>
    <xf numFmtId="164" fontId="6" fillId="4" borderId="1" pivotButton="0" quotePrefix="0" xfId="0"/>
    <xf numFmtId="0" fontId="7" fillId="0" borderId="0" pivotButton="0" quotePrefix="0" xfId="0"/>
    <xf numFmtId="164" fontId="7" fillId="0" borderId="0" pivotButton="0" quotePrefix="0" xfId="0"/>
    <xf numFmtId="164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Editable hardcoded input. See source or rationale in column E.</t>
      </text>
    </comment>
    <comment ref="B6" authorId="0" shapeId="0">
      <text>
        <t>Editable hardcoded input. See source or rationale in column E.</t>
      </text>
    </comment>
    <comment ref="B7" authorId="0" shapeId="0">
      <text>
        <t>Editable hardcoded input. See source or rationale in column E.</t>
      </text>
    </comment>
    <comment ref="B8" authorId="0" shapeId="0">
      <text>
        <t>Editable hardcoded input. See source or rationale in column E.</t>
      </text>
    </comment>
    <comment ref="B9" authorId="0" shapeId="0">
      <text>
        <t>Editable hardcoded input. See source or rationale in column E.</t>
      </text>
    </comment>
    <comment ref="B10" authorId="0" shapeId="0">
      <text>
        <t>Editable hardcoded input. See source or rationale in column E.</t>
      </text>
    </comment>
    <comment ref="B11" authorId="0" shapeId="0">
      <text>
        <t>Editable hardcoded input. See source or rationale in column E.</t>
      </text>
    </comment>
    <comment ref="B12" authorId="0" shapeId="0">
      <text>
        <t>Editable hardcoded input. See source or rationale in column E.</t>
      </text>
    </comment>
    <comment ref="B13" authorId="0" shapeId="0">
      <text>
        <t>Editable hardcoded input. See source or rationale in column E.</t>
      </text>
    </comment>
    <comment ref="B14" authorId="0" shapeId="0">
      <text>
        <t>Editable hardcoded input. See source or rationale in column E.</t>
      </text>
    </comment>
    <comment ref="B15" authorId="0" shapeId="0">
      <text>
        <t>Editable hardcoded input. See source or rationale in column E.</t>
      </text>
    </comment>
    <comment ref="B16" authorId="0" shapeId="0">
      <text>
        <t>Editable hardcoded input. See source or rationale in column E.</t>
      </text>
    </comment>
    <comment ref="B17" authorId="0" shapeId="0">
      <text>
        <t>Editable hardcoded input. See source or rationale in column E.</t>
      </text>
    </comment>
    <comment ref="B18" authorId="0" shapeId="0">
      <text>
        <t>Editable hardcoded input. See source or rationale in column E.</t>
      </text>
    </comment>
    <comment ref="B19" authorId="0" shapeId="0">
      <text>
        <t>Editable hardcoded input. See source or rationale in column E.</t>
      </text>
    </comment>
    <comment ref="B20" authorId="0" shapeId="0">
      <text>
        <t>Editable hardcoded input. See source or rationale in column E.</t>
      </text>
    </comment>
    <comment ref="B21" authorId="0" shapeId="0">
      <text>
        <t>Editable hardcoded input. See source or rationale in column E.</t>
      </text>
    </comment>
    <comment ref="B22" authorId="0" shapeId="0">
      <text>
        <t>Editable hardcoded input. See source or rationale in column E.</t>
      </text>
    </comment>
    <comment ref="B23" authorId="0" shapeId="0">
      <text>
        <t>Editable hardcoded input. See source or rationale in column 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6" customWidth="1" min="4" max="4"/>
    <col width="58" customWidth="1" min="5" max="5"/>
  </cols>
  <sheetData>
    <row r="1" ht="30" customHeight="1">
      <c r="A1" s="1" t="inlineStr">
        <is>
          <t>Pollo Campero Deal Economics</t>
        </is>
      </c>
    </row>
    <row r="2" ht="22" customHeight="1">
      <c r="A2" s="2" t="inlineStr">
        <is>
          <t>Internal planning model  |  September 30 2026  |  Installation for native SoC remains TBD</t>
        </is>
      </c>
    </row>
    <row r="3"/>
    <row r="4" ht="21" customHeight="1">
      <c r="A4" s="3" t="inlineStr">
        <is>
          <t>Commercial Snapshot</t>
        </is>
      </c>
    </row>
    <row r="5">
      <c r="A5" s="4" t="inlineStr">
        <is>
          <t>Metric</t>
        </is>
      </c>
      <c r="B5" s="4" t="inlineStr">
        <is>
          <t>Low case</t>
        </is>
      </c>
      <c r="C5" s="4" t="inlineStr">
        <is>
          <t>High case</t>
        </is>
      </c>
      <c r="D5" s="4" t="inlineStr">
        <is>
          <t>Status</t>
        </is>
      </c>
      <c r="E5" s="4" t="inlineStr">
        <is>
          <t>Notes</t>
        </is>
      </c>
    </row>
    <row r="6" ht="32" customHeight="1">
      <c r="A6" s="5" t="inlineStr">
        <is>
          <t>One-time revenue excluding native SoC installation</t>
        </is>
      </c>
      <c r="B6" s="6">
        <f>'Fleet Economics'!F13</f>
        <v/>
      </c>
      <c r="C6" s="6">
        <f>'Fleet Economics'!G13</f>
        <v/>
      </c>
      <c r="D6" s="5" t="inlineStr">
        <is>
          <t>Planning range</t>
        </is>
      </c>
      <c r="E6" s="5" t="inlineStr">
        <is>
          <t>Outdoor range uses normalized dual-lane and single-lane rates.</t>
        </is>
      </c>
    </row>
    <row r="7" ht="32" customHeight="1">
      <c r="A7" s="5" t="inlineStr">
        <is>
          <t>Target cost ceiling at 30% gross margin</t>
        </is>
      </c>
      <c r="B7" s="6">
        <f>'Fleet Economics'!F16</f>
        <v/>
      </c>
      <c r="C7" s="6">
        <f>'Fleet Economics'!G16</f>
        <v/>
      </c>
      <c r="D7" s="5" t="inlineStr">
        <is>
          <t>Planning range</t>
        </is>
      </c>
      <c r="E7" s="5" t="inlineStr">
        <is>
          <t>Maximum total delivery cost consistent with target margin.</t>
        </is>
      </c>
    </row>
    <row r="8" ht="32" customHeight="1">
      <c r="A8" s="5" t="inlineStr">
        <is>
          <t>Annual recurring revenue</t>
        </is>
      </c>
      <c r="B8" s="6">
        <f>'Fleet Economics'!F20</f>
        <v/>
      </c>
      <c r="C8" s="6">
        <f>'Fleet Economics'!F20</f>
        <v/>
      </c>
      <c r="D8" s="7" t="inlineStr">
        <is>
          <t>Incomplete</t>
        </is>
      </c>
      <c r="E8" s="5" t="inlineStr">
        <is>
          <t>Enter site counts for the $90 and $120 monthly packages.</t>
        </is>
      </c>
    </row>
    <row r="9" ht="32" customHeight="1">
      <c r="A9" s="5" t="inlineStr">
        <is>
          <t>Native SoC installation revenue</t>
        </is>
      </c>
      <c r="B9" s="6">
        <f>'Assumptions'!B12</f>
        <v/>
      </c>
      <c r="C9" s="6">
        <f>'Assumptions'!B12</f>
        <v/>
      </c>
      <c r="D9" s="7" t="inlineStr">
        <is>
          <t>TBD</t>
        </is>
      </c>
      <c r="E9" s="5" t="inlineStr">
        <is>
          <t>Held at zero until Cesar confirms pricing.</t>
        </is>
      </c>
    </row>
    <row r="10"/>
    <row r="11"/>
    <row r="12" ht="21" customHeight="1">
      <c r="A12" s="3" t="inlineStr">
        <is>
          <t>Decision Items</t>
        </is>
      </c>
    </row>
    <row r="13" ht="30" customHeight="1">
      <c r="A13" s="8" t="inlineStr">
        <is>
          <t>1. Obtain the native SoC installation price from Cesar and enter it in Assumptions B10.</t>
        </is>
      </c>
    </row>
    <row r="14" ht="30" customHeight="1">
      <c r="A14" s="8" t="inlineStr">
        <is>
          <t>2. Confirm the outdoor single-lane and dual-lane location mix; 211 controllers cannot be converted into an exact site total without it.</t>
        </is>
      </c>
    </row>
    <row r="15" ht="30" customHeight="1">
      <c r="A15" s="8" t="inlineStr">
        <is>
          <t>3. Enter actual controller, labor, licensing, freight, and project-delivery costs before relying on gross profit outputs.</t>
        </is>
      </c>
    </row>
    <row r="16" ht="30" customHeight="1">
      <c r="A16" s="8" t="inlineStr">
        <is>
          <t>4. Confirm whether the 61 indoor locations are separate from, or overlap with, the sites used for recurring CMS pricing.</t>
        </is>
      </c>
    </row>
  </sheetData>
  <mergeCells count="8">
    <mergeCell ref="A12:H12"/>
    <mergeCell ref="A4:H4"/>
    <mergeCell ref="A16:E16"/>
    <mergeCell ref="A14:E14"/>
    <mergeCell ref="A15:E15"/>
    <mergeCell ref="A2:H2"/>
    <mergeCell ref="A13:E13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20" customWidth="1" min="4" max="4"/>
    <col width="60" customWidth="1" min="5" max="5"/>
  </cols>
  <sheetData>
    <row r="1" ht="30" customHeight="1">
      <c r="A1" s="1" t="inlineStr">
        <is>
          <t>Assumptions</t>
        </is>
      </c>
    </row>
    <row r="2" ht="22" customHeight="1">
      <c r="A2" s="2" t="inlineStr">
        <is>
          <t>Blue font indicates editable inputs. Yellow cells require confirmation.</t>
        </is>
      </c>
    </row>
    <row r="3"/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Status</t>
        </is>
      </c>
      <c r="E4" s="4" t="inlineStr">
        <is>
          <t>Source or rationale</t>
        </is>
      </c>
    </row>
    <row r="5" ht="28" customHeight="1">
      <c r="A5" s="5" t="inlineStr">
        <is>
          <t>Native SoC displays</t>
        </is>
      </c>
      <c r="B5" s="9" t="n">
        <v>426</v>
      </c>
      <c r="C5" s="5" t="inlineStr">
        <is>
          <t>displays</t>
        </is>
      </c>
      <c r="D5" s="5" t="inlineStr">
        <is>
          <t>Confirmed</t>
        </is>
      </c>
      <c r="E5" s="5" t="inlineStr">
        <is>
          <t>Fleet analysis and product review email</t>
        </is>
      </c>
    </row>
    <row r="6" ht="28" customHeight="1">
      <c r="A6" s="5" t="inlineStr">
        <is>
          <t>Native SoC setup and configuration fee</t>
        </is>
      </c>
      <c r="B6" s="10" t="n">
        <v>10</v>
      </c>
      <c r="C6" s="5" t="inlineStr">
        <is>
          <t>$ per display</t>
        </is>
      </c>
      <c r="D6" s="5" t="inlineStr">
        <is>
          <t>Confirmed</t>
        </is>
      </c>
      <c r="E6" s="5" t="inlineStr">
        <is>
          <t>Todd instruction, September 30 2026</t>
        </is>
      </c>
    </row>
    <row r="7" ht="28" customHeight="1">
      <c r="A7" s="5" t="inlineStr">
        <is>
          <t>Indoor legacy displays</t>
        </is>
      </c>
      <c r="B7" s="9" t="n">
        <v>270</v>
      </c>
      <c r="C7" s="5" t="inlineStr">
        <is>
          <t>displays</t>
        </is>
      </c>
      <c r="D7" s="5" t="inlineStr">
        <is>
          <t>Confirmed</t>
        </is>
      </c>
      <c r="E7" s="5" t="inlineStr">
        <is>
          <t>Product review email</t>
        </is>
      </c>
    </row>
    <row r="8" ht="28" customHeight="1">
      <c r="A8" s="5" t="inlineStr">
        <is>
          <t>Indoor MP30 controllers</t>
        </is>
      </c>
      <c r="B8" s="9" t="n">
        <v>149</v>
      </c>
      <c r="C8" s="5" t="inlineStr">
        <is>
          <t>controllers</t>
        </is>
      </c>
      <c r="D8" s="5" t="inlineStr">
        <is>
          <t>Confirmed</t>
        </is>
      </c>
      <c r="E8" s="5" t="inlineStr">
        <is>
          <t>Product review email</t>
        </is>
      </c>
    </row>
    <row r="9" ht="28" customHeight="1">
      <c r="A9" s="5" t="inlineStr">
        <is>
          <t>Indoor locations</t>
        </is>
      </c>
      <c r="B9" s="9" t="n">
        <v>61</v>
      </c>
      <c r="C9" s="5" t="inlineStr">
        <is>
          <t>locations</t>
        </is>
      </c>
      <c r="D9" s="5" t="inlineStr">
        <is>
          <t>Confirmed</t>
        </is>
      </c>
      <c r="E9" s="5" t="inlineStr">
        <is>
          <t>Todd scope email</t>
        </is>
      </c>
    </row>
    <row r="10" ht="28" customHeight="1">
      <c r="A10" s="5" t="inlineStr">
        <is>
          <t>Indoor installed sell price</t>
        </is>
      </c>
      <c r="B10" s="10" t="n">
        <v>3500</v>
      </c>
      <c r="C10" s="5" t="inlineStr">
        <is>
          <t>$ per location</t>
        </is>
      </c>
      <c r="D10" s="5" t="inlineStr">
        <is>
          <t>Confirmed</t>
        </is>
      </c>
      <c r="E10" s="5" t="inlineStr">
        <is>
          <t>RFP response workbook</t>
        </is>
      </c>
    </row>
    <row r="11" ht="28" customHeight="1">
      <c r="A11" s="5" t="inlineStr">
        <is>
          <t>Outdoor MP30 controllers</t>
        </is>
      </c>
      <c r="B11" s="9" t="n">
        <v>211</v>
      </c>
      <c r="C11" s="5" t="inlineStr">
        <is>
          <t>controllers</t>
        </is>
      </c>
      <c r="D11" s="5" t="inlineStr">
        <is>
          <t>Confirmed</t>
        </is>
      </c>
      <c r="E11" s="5" t="inlineStr">
        <is>
          <t>Product review email</t>
        </is>
      </c>
    </row>
    <row r="12" ht="28" customHeight="1">
      <c r="A12" s="5" t="inlineStr">
        <is>
          <t>Native SoC installation sell price</t>
        </is>
      </c>
      <c r="B12" s="9" t="n">
        <v>0</v>
      </c>
      <c r="C12" s="5" t="inlineStr">
        <is>
          <t>$ total</t>
        </is>
      </c>
      <c r="D12" s="7" t="inlineStr">
        <is>
          <t>TBD</t>
        </is>
      </c>
      <c r="E12" s="5" t="inlineStr">
        <is>
          <t>Pending Cesar response; intentionally excluded</t>
        </is>
      </c>
    </row>
    <row r="13" ht="28" customHeight="1">
      <c r="A13" s="5" t="inlineStr">
        <is>
          <t>Single-lane installed sell price</t>
        </is>
      </c>
      <c r="B13" s="10" t="n">
        <v>3163</v>
      </c>
      <c r="C13" s="5" t="inlineStr">
        <is>
          <t>$ per site</t>
        </is>
      </c>
      <c r="D13" s="5" t="inlineStr">
        <is>
          <t>Confirmed</t>
        </is>
      </c>
      <c r="E13" s="5" t="inlineStr">
        <is>
          <t>RFP response workbook</t>
        </is>
      </c>
    </row>
    <row r="14" ht="28" customHeight="1">
      <c r="A14" s="5" t="inlineStr">
        <is>
          <t>Controllers per single-lane site</t>
        </is>
      </c>
      <c r="B14" s="9" t="n">
        <v>4</v>
      </c>
      <c r="C14" s="5" t="inlineStr">
        <is>
          <t>controllers</t>
        </is>
      </c>
      <c r="D14" s="5" t="inlineStr">
        <is>
          <t>Confirmed</t>
        </is>
      </c>
      <c r="E14" s="5" t="inlineStr">
        <is>
          <t>Three menu displays plus one presell display</t>
        </is>
      </c>
    </row>
    <row r="15" ht="28" customHeight="1">
      <c r="A15" s="5" t="inlineStr">
        <is>
          <t>Dual-lane installed sell price</t>
        </is>
      </c>
      <c r="B15" s="10" t="n">
        <v>6160</v>
      </c>
      <c r="C15" s="5" t="inlineStr">
        <is>
          <t>$ per site</t>
        </is>
      </c>
      <c r="D15" s="5" t="inlineStr">
        <is>
          <t>Confirmed</t>
        </is>
      </c>
      <c r="E15" s="5" t="inlineStr">
        <is>
          <t>RFP response workbook</t>
        </is>
      </c>
    </row>
    <row r="16" ht="28" customHeight="1">
      <c r="A16" s="5" t="inlineStr">
        <is>
          <t>Controllers per dual-lane site</t>
        </is>
      </c>
      <c r="B16" s="9" t="n">
        <v>8</v>
      </c>
      <c r="C16" s="5" t="inlineStr">
        <is>
          <t>controllers</t>
        </is>
      </c>
      <c r="D16" s="5" t="inlineStr">
        <is>
          <t>Confirmed</t>
        </is>
      </c>
      <c r="E16" s="5" t="inlineStr">
        <is>
          <t>Six menu displays plus two presell displays</t>
        </is>
      </c>
    </row>
    <row r="17" ht="28" customHeight="1">
      <c r="A17" s="5" t="inlineStr">
        <is>
          <t>Target gross margin</t>
        </is>
      </c>
      <c r="B17" s="11" t="n">
        <v>0.3</v>
      </c>
      <c r="C17" s="5" t="inlineStr">
        <is>
          <t>%</t>
        </is>
      </c>
      <c r="D17" s="5" t="inlineStr">
        <is>
          <t>Planning assumption</t>
        </is>
      </c>
      <c r="E17" s="5" t="inlineStr">
        <is>
          <t>Internal pricing call evidence</t>
        </is>
      </c>
    </row>
    <row r="18" ht="28" customHeight="1">
      <c r="A18" s="5" t="inlineStr">
        <is>
          <t>$90 monthly package sites</t>
        </is>
      </c>
      <c r="B18" s="10" t="n">
        <v>0</v>
      </c>
      <c r="C18" s="5" t="inlineStr">
        <is>
          <t>sites</t>
        </is>
      </c>
      <c r="D18" s="7" t="inlineStr">
        <is>
          <t>TBD</t>
        </is>
      </c>
      <c r="E18" s="5" t="inlineStr">
        <is>
          <t>Enter confirmed site count</t>
        </is>
      </c>
    </row>
    <row r="19" ht="28" customHeight="1">
      <c r="A19" s="5" t="inlineStr">
        <is>
          <t>$120 monthly package sites</t>
        </is>
      </c>
      <c r="B19" s="10" t="n">
        <v>0</v>
      </c>
      <c r="C19" s="5" t="inlineStr">
        <is>
          <t>sites</t>
        </is>
      </c>
      <c r="D19" s="7" t="inlineStr">
        <is>
          <t>TBD</t>
        </is>
      </c>
      <c r="E19" s="5" t="inlineStr">
        <is>
          <t>Enter confirmed site count</t>
        </is>
      </c>
    </row>
    <row r="20" ht="28" customHeight="1">
      <c r="A20" s="5" t="inlineStr">
        <is>
          <t>Optional managed content sites</t>
        </is>
      </c>
      <c r="B20" s="10" t="n">
        <v>0</v>
      </c>
      <c r="C20" s="5" t="inlineStr">
        <is>
          <t>sites</t>
        </is>
      </c>
      <c r="D20" s="5" t="inlineStr">
        <is>
          <t>Optional</t>
        </is>
      </c>
      <c r="E20" s="5" t="inlineStr">
        <is>
          <t>Base package is $100 per month per location</t>
        </is>
      </c>
    </row>
    <row r="21" ht="28" customHeight="1">
      <c r="A21" s="5" t="inlineStr">
        <is>
          <t>Actual native SoC delivery cost</t>
        </is>
      </c>
      <c r="B21" s="10" t="n">
        <v>0</v>
      </c>
      <c r="C21" s="5" t="inlineStr">
        <is>
          <t>$ total</t>
        </is>
      </c>
      <c r="D21" s="7" t="inlineStr">
        <is>
          <t>TBD</t>
        </is>
      </c>
      <c r="E21" s="5" t="inlineStr">
        <is>
          <t>Enter actual labor, licensing, and delivery cost</t>
        </is>
      </c>
    </row>
    <row r="22" ht="28" customHeight="1">
      <c r="A22" s="5" t="inlineStr">
        <is>
          <t>Actual indoor MP30 delivery cost</t>
        </is>
      </c>
      <c r="B22" s="10" t="n">
        <v>0</v>
      </c>
      <c r="C22" s="5" t="inlineStr">
        <is>
          <t>$ total</t>
        </is>
      </c>
      <c r="D22" s="7" t="inlineStr">
        <is>
          <t>TBD</t>
        </is>
      </c>
      <c r="E22" s="5" t="inlineStr">
        <is>
          <t>Enter controller, labor, freight, and project cost</t>
        </is>
      </c>
    </row>
    <row r="23" ht="28" customHeight="1">
      <c r="A23" s="5" t="inlineStr">
        <is>
          <t>Actual outdoor MP30 delivery cost</t>
        </is>
      </c>
      <c r="B23" s="10" t="n">
        <v>0</v>
      </c>
      <c r="C23" s="5" t="inlineStr">
        <is>
          <t>$ total</t>
        </is>
      </c>
      <c r="D23" s="7" t="inlineStr">
        <is>
          <t>TBD</t>
        </is>
      </c>
      <c r="E23" s="5" t="inlineStr">
        <is>
          <t>Enter controller, labor, freight, and project cost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55" customWidth="1" min="8" max="8"/>
  </cols>
  <sheetData>
    <row r="1" ht="30" customHeight="1">
      <c r="A1" s="1" t="inlineStr">
        <is>
          <t>Fleet Economics</t>
        </is>
      </c>
    </row>
    <row r="2" ht="22" customHeight="1">
      <c r="A2" s="2" t="inlineStr">
        <is>
          <t>Formula-driven one-time and recurring revenue view</t>
        </is>
      </c>
    </row>
    <row r="3"/>
    <row r="4">
      <c r="A4" s="4" t="inlineStr">
        <is>
          <t>Revenue component</t>
        </is>
      </c>
      <c r="B4" s="4" t="inlineStr">
        <is>
          <t>Quantity</t>
        </is>
      </c>
      <c r="C4" s="4" t="inlineStr">
        <is>
          <t>Rate</t>
        </is>
      </c>
      <c r="D4" s="4" t="inlineStr">
        <is>
          <t>Low revenue</t>
        </is>
      </c>
      <c r="E4" s="4" t="inlineStr">
        <is>
          <t>High revenue</t>
        </is>
      </c>
      <c r="F4" s="4" t="inlineStr">
        <is>
          <t>Low case total</t>
        </is>
      </c>
      <c r="G4" s="4" t="inlineStr">
        <is>
          <t>High case total</t>
        </is>
      </c>
      <c r="H4" s="4" t="inlineStr">
        <is>
          <t>Notes</t>
        </is>
      </c>
    </row>
    <row r="5" ht="32" customHeight="1">
      <c r="A5" s="5" t="inlineStr">
        <is>
          <t>Native SoC setup and configuration</t>
        </is>
      </c>
      <c r="B5" s="12">
        <f>'Assumptions'!B5</f>
        <v/>
      </c>
      <c r="C5" s="13">
        <f>'Assumptions'!B6</f>
        <v/>
      </c>
      <c r="D5" s="14">
        <f>B5*C5</f>
        <v/>
      </c>
      <c r="E5" s="14">
        <f>B5*C5</f>
        <v/>
      </c>
      <c r="F5" s="15" t="n"/>
      <c r="G5" s="15" t="n"/>
      <c r="H5" s="5" t="inlineStr">
        <is>
          <t>Excludes installation</t>
        </is>
      </c>
    </row>
    <row r="6" ht="32" customHeight="1">
      <c r="A6" s="5" t="inlineStr">
        <is>
          <t>Native SoC installation</t>
        </is>
      </c>
      <c r="B6" s="5" t="n">
        <v>1</v>
      </c>
      <c r="C6" s="13">
        <f>'Assumptions'!B12</f>
        <v/>
      </c>
      <c r="D6" s="14">
        <f>B6*C6</f>
        <v/>
      </c>
      <c r="E6" s="14">
        <f>B6*C6</f>
        <v/>
      </c>
      <c r="F6" s="15" t="n"/>
      <c r="G6" s="15" t="n"/>
      <c r="H6" s="5" t="inlineStr">
        <is>
          <t>Zero until confirmed</t>
        </is>
      </c>
    </row>
    <row r="7" ht="32" customHeight="1">
      <c r="A7" s="5" t="inlineStr">
        <is>
          <t>Indoor shared MP30 installed</t>
        </is>
      </c>
      <c r="B7" s="12">
        <f>'Assumptions'!B9</f>
        <v/>
      </c>
      <c r="C7" s="13">
        <f>'Assumptions'!B10</f>
        <v/>
      </c>
      <c r="D7" s="14">
        <f>B7*C7</f>
        <v/>
      </c>
      <c r="E7" s="14">
        <f>B7*C7</f>
        <v/>
      </c>
      <c r="F7" s="15" t="n"/>
      <c r="G7" s="15" t="n"/>
      <c r="H7" s="5" t="inlineStr">
        <is>
          <t>61 locations at $3,500</t>
        </is>
      </c>
    </row>
    <row r="8" ht="32" customHeight="1">
      <c r="A8" s="5" t="inlineStr">
        <is>
          <t>Outdoor dedicated MP30 normalized</t>
        </is>
      </c>
      <c r="B8" s="12">
        <f>'Assumptions'!B11</f>
        <v/>
      </c>
      <c r="C8" s="13">
        <f>'Assumptions'!B15/'Assumptions'!B16</f>
        <v/>
      </c>
      <c r="D8" s="14">
        <f>B8*C8</f>
        <v/>
      </c>
      <c r="E8" s="14">
        <f>B8*('Assumptions'!B13/'Assumptions'!B14)</f>
        <v/>
      </c>
      <c r="F8" s="15" t="n"/>
      <c r="G8" s="15" t="n"/>
      <c r="H8" s="5" t="inlineStr">
        <is>
          <t>Low uses dual-lane per-controller rate; high uses single-lane rate</t>
        </is>
      </c>
    </row>
    <row r="9"/>
    <row r="10">
      <c r="A10" s="16" t="inlineStr">
        <is>
          <t>One-time revenue total</t>
        </is>
      </c>
      <c r="B10" s="16" t="n"/>
      <c r="C10" s="16" t="n"/>
      <c r="D10" s="17">
        <f>SUM(D5:D8)</f>
        <v/>
      </c>
      <c r="E10" s="17">
        <f>SUM(E5:E8)</f>
        <v/>
      </c>
      <c r="F10" s="16" t="n"/>
      <c r="G10" s="16" t="n"/>
      <c r="H10" s="16" t="n"/>
    </row>
    <row r="11"/>
    <row r="12"/>
    <row r="13">
      <c r="A13" s="18" t="inlineStr">
        <is>
          <t>Revenue range used in summary</t>
        </is>
      </c>
      <c r="F13" s="18">
        <f>D10</f>
        <v/>
      </c>
      <c r="G13" s="18">
        <f>E10</f>
        <v/>
      </c>
    </row>
    <row r="14"/>
    <row r="15">
      <c r="A15" s="18" t="inlineStr">
        <is>
          <t>Target cost ceiling</t>
        </is>
      </c>
    </row>
    <row r="16">
      <c r="A16" s="18" t="inlineStr">
        <is>
          <t>Maximum total cost at target margin</t>
        </is>
      </c>
      <c r="F16" s="19">
        <f>F13*(1-'Assumptions'!B17)</f>
        <v/>
      </c>
      <c r="G16" s="19">
        <f>G13*(1-'Assumptions'!B17)</f>
        <v/>
      </c>
    </row>
    <row r="17"/>
    <row r="18" ht="21" customHeight="1">
      <c r="A18" s="3" t="inlineStr">
        <is>
          <t>Recurring Revenue</t>
        </is>
      </c>
    </row>
    <row r="19">
      <c r="A19" s="4" t="inlineStr">
        <is>
          <t>Revenue component</t>
        </is>
      </c>
      <c r="B19" s="4" t="inlineStr">
        <is>
          <t>Sites</t>
        </is>
      </c>
      <c r="C19" s="4" t="inlineStr">
        <is>
          <t>Monthly rate</t>
        </is>
      </c>
      <c r="D19" s="4" t="inlineStr">
        <is>
          <t>Monthly revenue</t>
        </is>
      </c>
      <c r="E19" s="4" t="inlineStr">
        <is>
          <t>Annual revenue</t>
        </is>
      </c>
      <c r="F19" s="4" t="inlineStr">
        <is>
          <t>Annual total</t>
        </is>
      </c>
      <c r="G19" s="4" t="inlineStr"/>
      <c r="H19" s="4" t="inlineStr">
        <is>
          <t>Notes</t>
        </is>
      </c>
    </row>
    <row r="20">
      <c r="A20" s="5" t="inlineStr">
        <is>
          <t>$90 DMB package</t>
        </is>
      </c>
      <c r="B20" s="5">
        <f>'Assumptions'!B18</f>
        <v/>
      </c>
      <c r="C20" s="20" t="n">
        <v>90</v>
      </c>
      <c r="D20" s="20">
        <f>B20*C20</f>
        <v/>
      </c>
      <c r="E20" s="20">
        <f>D20*12</f>
        <v/>
      </c>
      <c r="F20" s="20">
        <f>SUM(E20:E22)</f>
        <v/>
      </c>
      <c r="G20" s="15" t="n"/>
      <c r="H20" s="5" t="inlineStr">
        <is>
          <t>Standard indoor plus single-lane package</t>
        </is>
      </c>
    </row>
    <row r="21">
      <c r="A21" s="5" t="inlineStr">
        <is>
          <t>$120 DMB package</t>
        </is>
      </c>
      <c r="B21" s="5">
        <f>'Assumptions'!B19</f>
        <v/>
      </c>
      <c r="C21" s="20" t="n">
        <v>120</v>
      </c>
      <c r="D21" s="20">
        <f>B21*C21</f>
        <v/>
      </c>
      <c r="E21" s="20">
        <f>D21*12</f>
        <v/>
      </c>
      <c r="F21" s="15" t="n"/>
      <c r="G21" s="15" t="n"/>
      <c r="H21" s="5" t="inlineStr">
        <is>
          <t>Standard indoor plus dual-lane package</t>
        </is>
      </c>
    </row>
    <row r="22">
      <c r="A22" s="5" t="inlineStr">
        <is>
          <t>Optional managed content</t>
        </is>
      </c>
      <c r="B22" s="5">
        <f>'Assumptions'!B20</f>
        <v/>
      </c>
      <c r="C22" s="20" t="n">
        <v>100</v>
      </c>
      <c r="D22" s="20">
        <f>B22*C22</f>
        <v/>
      </c>
      <c r="E22" s="20">
        <f>D22*12</f>
        <v/>
      </c>
      <c r="F22" s="15" t="n"/>
      <c r="G22" s="15" t="n"/>
      <c r="H22" s="5" t="inlineStr">
        <is>
          <t>Optional base package per location</t>
        </is>
      </c>
    </row>
    <row r="23"/>
    <row r="24">
      <c r="A24" s="16" t="inlineStr">
        <is>
          <t>Annual recurring revenue total</t>
        </is>
      </c>
      <c r="B24" s="16" t="n"/>
      <c r="C24" s="16" t="n"/>
      <c r="D24" s="16" t="n"/>
      <c r="E24" s="17">
        <f>SUM(E20:E22)</f>
        <v/>
      </c>
      <c r="F24" s="16" t="n"/>
      <c r="G24" s="16" t="n"/>
      <c r="H24" s="16" t="n"/>
    </row>
    <row r="25"/>
    <row r="26"/>
    <row r="27" ht="21" customHeight="1">
      <c r="A27" s="3" t="inlineStr">
        <is>
          <t>Actual Cost and Margin Check</t>
        </is>
      </c>
    </row>
    <row r="28">
      <c r="A28" s="4" t="inlineStr">
        <is>
          <t>Metric</t>
        </is>
      </c>
      <c r="B28" s="4" t="inlineStr">
        <is>
          <t>Low case</t>
        </is>
      </c>
      <c r="C28" s="4" t="inlineStr">
        <is>
          <t>High case</t>
        </is>
      </c>
      <c r="D28" s="4" t="inlineStr"/>
      <c r="E28" s="4" t="inlineStr"/>
      <c r="F28" s="4" t="inlineStr"/>
      <c r="G28" s="4" t="inlineStr"/>
      <c r="H28" s="4" t="inlineStr"/>
    </row>
    <row r="29">
      <c r="A29" s="21" t="inlineStr">
        <is>
          <t>Revenue</t>
        </is>
      </c>
      <c r="B29" s="22">
        <f>D10</f>
        <v/>
      </c>
      <c r="C29" s="22">
        <f>E10</f>
        <v/>
      </c>
    </row>
    <row r="30">
      <c r="A30" s="21" t="inlineStr">
        <is>
          <t>Actual cost entered</t>
        </is>
      </c>
      <c r="B30" s="22">
        <f>SUM('Assumptions'!B21:B23)</f>
        <v/>
      </c>
      <c r="C30" s="22">
        <f>SUM('Assumptions'!B21:B23)</f>
        <v/>
      </c>
    </row>
    <row r="31">
      <c r="A31" s="21" t="inlineStr">
        <is>
          <t>Gross profit</t>
        </is>
      </c>
      <c r="B31" s="22">
        <f>B29-B30</f>
        <v/>
      </c>
      <c r="C31" s="22">
        <f>C29-C30</f>
        <v/>
      </c>
    </row>
    <row r="32">
      <c r="A32" s="21" t="inlineStr">
        <is>
          <t>Gross margin</t>
        </is>
      </c>
      <c r="B32" s="23">
        <f>IF(B29=0,0,B31/B29)</f>
        <v/>
      </c>
      <c r="C32" s="23">
        <f>IF(C29=0,0,C31/C29)</f>
        <v/>
      </c>
    </row>
  </sheetData>
  <mergeCells count="4">
    <mergeCell ref="A18:H18"/>
    <mergeCell ref="A27:H27"/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58" customWidth="1" min="5" max="5"/>
  </cols>
  <sheetData>
    <row r="1" ht="30" customHeight="1">
      <c r="A1" s="1" t="inlineStr">
        <is>
          <t>Outdoor Site Mix</t>
        </is>
      </c>
    </row>
    <row r="2" ht="22" customHeight="1">
      <c r="A2" s="2" t="inlineStr">
        <is>
          <t>Enter whole site counts that explain the validated controller quantity</t>
        </is>
      </c>
    </row>
    <row r="3"/>
    <row r="4">
      <c r="A4" s="4" t="inlineStr">
        <is>
          <t>Input or output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Status</t>
        </is>
      </c>
      <c r="E4" s="4" t="inlineStr">
        <is>
          <t>Explanation</t>
        </is>
      </c>
    </row>
    <row r="5">
      <c r="A5" s="7" t="inlineStr">
        <is>
          <t>Single-lane sites</t>
        </is>
      </c>
      <c r="B5" s="24" t="n">
        <v>0</v>
      </c>
      <c r="C5" s="7" t="inlineStr">
        <is>
          <t>sites</t>
        </is>
      </c>
      <c r="D5" s="7" t="inlineStr">
        <is>
          <t>TBD</t>
        </is>
      </c>
      <c r="E5" s="7" t="inlineStr">
        <is>
          <t>Editable</t>
        </is>
      </c>
    </row>
    <row r="6">
      <c r="A6" s="7" t="inlineStr">
        <is>
          <t>Dual-lane sites</t>
        </is>
      </c>
      <c r="B6" s="24" t="n">
        <v>0</v>
      </c>
      <c r="C6" s="7" t="inlineStr">
        <is>
          <t>sites</t>
        </is>
      </c>
      <c r="D6" s="7" t="inlineStr">
        <is>
          <t>TBD</t>
        </is>
      </c>
      <c r="E6" s="7" t="inlineStr">
        <is>
          <t>Editable</t>
        </is>
      </c>
    </row>
    <row r="7">
      <c r="A7" s="5" t="inlineStr">
        <is>
          <t>Controllers represented</t>
        </is>
      </c>
      <c r="B7" s="5">
        <f>B5*'Assumptions'!B14+B6*'Assumptions'!B16</f>
        <v/>
      </c>
      <c r="C7" s="5" t="inlineStr">
        <is>
          <t>controllers</t>
        </is>
      </c>
      <c r="D7" s="5">
        <f>IF(B7='Assumptions'!B11,"Matches","Does not match")</f>
        <v/>
      </c>
      <c r="E7" s="5" t="inlineStr">
        <is>
          <t>Must equal 211 after validation</t>
        </is>
      </c>
    </row>
    <row r="8">
      <c r="A8" s="5" t="inlineStr">
        <is>
          <t>Controller variance</t>
        </is>
      </c>
      <c r="B8" s="5">
        <f>B7-'Assumptions'!B11</f>
        <v/>
      </c>
      <c r="C8" s="5" t="inlineStr">
        <is>
          <t>controllers</t>
        </is>
      </c>
      <c r="D8" s="5">
        <f>IF(B8=0,"OK","Resolve")</f>
        <v/>
      </c>
      <c r="E8" s="5" t="inlineStr">
        <is>
          <t>A nonzero value indicates incomplete site mix or an exception</t>
        </is>
      </c>
    </row>
    <row r="9">
      <c r="A9" s="5" t="inlineStr">
        <is>
          <t>Outdoor installed revenue</t>
        </is>
      </c>
      <c r="B9" s="20">
        <f>B5*'Assumptions'!B13+B6*'Assumptions'!B15</f>
        <v/>
      </c>
      <c r="C9" s="5" t="inlineStr">
        <is>
          <t>$</t>
        </is>
      </c>
      <c r="D9" s="5" t="inlineStr">
        <is>
          <t>Planning output</t>
        </is>
      </c>
      <c r="E9" s="5" t="inlineStr">
        <is>
          <t>Exact only when mix and exceptions are confirmed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26" customWidth="1" min="3" max="3"/>
    <col width="58" customWidth="1" min="4" max="4"/>
    <col width="55" customWidth="1" min="5" max="5"/>
  </cols>
  <sheetData>
    <row r="1" ht="30" customHeight="1">
      <c r="A1" s="1" t="inlineStr">
        <is>
          <t>Sources and Traceability</t>
        </is>
      </c>
    </row>
    <row r="2" ht="22" customHeight="1">
      <c r="A2" s="2" t="inlineStr">
        <is>
          <t>Inputs used to construct the addendum and internal economics model</t>
        </is>
      </c>
    </row>
    <row r="3"/>
    <row r="4">
      <c r="A4" s="4" t="inlineStr">
        <is>
          <t>Source</t>
        </is>
      </c>
      <c r="B4" s="4" t="inlineStr">
        <is>
          <t>Location</t>
        </is>
      </c>
      <c r="C4" s="4" t="inlineStr">
        <is>
          <t>Use</t>
        </is>
      </c>
      <c r="D4" s="4" t="inlineStr">
        <is>
          <t>Key facts</t>
        </is>
      </c>
      <c r="E4" s="4" t="inlineStr">
        <is>
          <t>Caution</t>
        </is>
      </c>
    </row>
    <row r="5" ht="52" customHeight="1">
      <c r="A5" s="5" t="inlineStr">
        <is>
          <t>STOCK Menu Boards RFP.xlsx</t>
        </is>
      </c>
      <c r="B5" s="5" t="inlineStr">
        <is>
          <t>/Users/toddvahlsing/Downloads/STOCK Menu Boards RFP.xlsx</t>
        </is>
      </c>
      <c r="C5" s="5" t="inlineStr">
        <is>
          <t>Raw inventory</t>
        </is>
      </c>
      <c r="D5" s="5" t="inlineStr">
        <is>
          <t>1,001 total displays; 908 active; 93 in stock</t>
        </is>
      </c>
      <c r="E5" s="5" t="inlineStr">
        <is>
          <t>Model labels include a missing value and several variants.</t>
        </is>
      </c>
    </row>
    <row r="6" ht="52" customHeight="1">
      <c r="A6" s="5" t="inlineStr">
        <is>
          <t>Pollo Campero Digital Menu Board Stock Report.xlsx</t>
        </is>
      </c>
      <c r="B6" s="5" t="inlineStr">
        <is>
          <t>/Users/toddvahlsing/Downloads/Pollo_Campero_Digital_Menu_Board_Stock_Report.xlsx</t>
        </is>
      </c>
      <c r="C6" s="5" t="inlineStr">
        <is>
          <t>Fleet classification</t>
        </is>
      </c>
      <c r="D6" s="5" t="inlineStr">
        <is>
          <t>Model, platform, SoC, age, and inventory summary</t>
        </is>
      </c>
      <c r="E6" s="5" t="inlineStr">
        <is>
          <t>Model age is series age, not individual unit age.</t>
        </is>
      </c>
    </row>
    <row r="7" ht="52" customHeight="1">
      <c r="A7" s="5" t="inlineStr">
        <is>
          <t>Pollo Campero SOW MenuBoards GP Genius Response.xlsx</t>
        </is>
      </c>
      <c r="B7" s="5" t="inlineStr">
        <is>
          <t>/Users/toddvahlsing/Documents/Genius Info/Accounts/Pollo Campero/Pollo Campero SOW MenuBoards - GP Genius Response.xlsx</t>
        </is>
      </c>
      <c r="C7" s="5" t="inlineStr">
        <is>
          <t>Commercial baseline</t>
        </is>
      </c>
      <c r="D7" s="5" t="inlineStr">
        <is>
          <t>$3,500 indoor; $3,163 single lane; $6,160 dual lane; recurring rates</t>
        </is>
      </c>
      <c r="E7" s="5" t="inlineStr">
        <is>
          <t>Pricing remains subject to site survey and assumptions.</t>
        </is>
      </c>
    </row>
    <row r="8" ht="52" customHeight="1">
      <c r="A8" s="5" t="inlineStr">
        <is>
          <t>Pollo Campero RFP GP Genius Executive Summary.pdf</t>
        </is>
      </c>
      <c r="B8" s="5" t="inlineStr">
        <is>
          <t>/Users/toddvahlsing/Documents/Genius Info/Accounts/Pollo Campero/Pollo Campero RFP - GP Genius Executive Summary.pdf</t>
        </is>
      </c>
      <c r="C8" s="5" t="inlineStr">
        <is>
          <t>Scope and proposal context</t>
        </is>
      </c>
      <c r="D8" s="5" t="inlineStr">
        <is>
          <t>DMB solution, assumptions, warranty, and installation context</t>
        </is>
      </c>
      <c r="E8" s="5" t="inlineStr">
        <is>
          <t>Original proposal disclaimers continue to apply.</t>
        </is>
      </c>
    </row>
    <row r="9" ht="52" customHeight="1">
      <c r="A9" s="5" t="inlineStr">
        <is>
          <t>Product review email screenshots</t>
        </is>
      </c>
      <c r="B9" s="5" t="inlineStr">
        <is>
          <t>User supplied screenshots dated September 28 and 29 2026</t>
        </is>
      </c>
      <c r="C9" s="5" t="inlineStr">
        <is>
          <t>Approved deployment quantities</t>
        </is>
      </c>
      <c r="D9" s="5" t="inlineStr">
        <is>
          <t>426 native SoC; 270 indoor displays / 149 MP30; 211 outdoor 1:1; 1 unidentified</t>
        </is>
      </c>
      <c r="E9" s="5" t="inlineStr">
        <is>
          <t>Installation and material assumptions remain subject to Cesar and Tim.</t>
        </is>
      </c>
    </row>
    <row r="10" ht="52" customHeight="1">
      <c r="A10" s="5" t="inlineStr">
        <is>
          <t>Todd instruction</t>
        </is>
      </c>
      <c r="B10" s="5" t="inlineStr">
        <is>
          <t>User request dated September 30 2026</t>
        </is>
      </c>
      <c r="C10" s="5" t="inlineStr">
        <is>
          <t>Revised SoC fee and pending price</t>
        </is>
      </c>
      <c r="D10" s="5" t="inlineStr">
        <is>
          <t>$10 one-time setup and configuration per SoC display</t>
        </is>
      </c>
      <c r="E10" s="5" t="inlineStr">
        <is>
          <t>Native SoC installation price must remain TBD pending Cesar.</t>
        </is>
      </c>
    </row>
  </sheetData>
  <autoFilter ref="A1:H10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2026-09-30T18:49:53Z</dcterms:created>
  <dcterms:modified xmlns:dcterms="http://purl.org/dc/terms/" xmlns:xsi="http://www.w3.org/2001/XMLSchema-instance" xsi:type="dcterms:W3CDTF">2026-09-30T18:49:53Z</dcterms:modified>
</cp:coreProperties>
</file>